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" sheetId="1" r:id="rId5"/>
    <sheet state="visible" name="July " sheetId="2" r:id="rId6"/>
    <sheet state="visible" name="Aug" sheetId="3" r:id="rId7"/>
    <sheet state="visible" name="Sept" sheetId="4" r:id="rId8"/>
    <sheet state="visible" name="Oct" sheetId="5" r:id="rId9"/>
    <sheet state="visible" name="Nov" sheetId="6" r:id="rId10"/>
    <sheet state="visible" name="Dec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94">
      <text>
        <t xml:space="preserve">Returned 5 Rugby's (SPV3)</t>
      </text>
    </comment>
    <comment authorId="0" ref="O225">
      <text>
        <t xml:space="preserve">Returned Grinding Disc 300pcs from SPV3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6">
      <text>
        <t xml:space="preserve">Returned from SPV3</t>
      </text>
    </comment>
    <comment authorId="0" ref="L63">
      <text>
        <t xml:space="preserve">Dealer's Order
1 PCS</t>
      </text>
    </comment>
    <comment authorId="0" ref="AE72">
      <text>
        <t xml:space="preserve">218pcs</t>
      </text>
    </comment>
    <comment authorId="0" ref="L85">
      <text>
        <t xml:space="preserve">Dealer's Order
1 PCS</t>
      </text>
    </comment>
    <comment authorId="0" ref="P85">
      <text>
        <t xml:space="preserve">1PCS - FOR WARRANTY
CS# T2-W384
BODY# 17193</t>
      </text>
    </comment>
    <comment authorId="0" ref="Y85">
      <text>
        <t xml:space="preserve">1PC WARRANTY CLAIM</t>
      </text>
    </comment>
    <comment authorId="0" ref="O88">
      <text>
        <t xml:space="preserve">10PCS - L200 10 UNITS</t>
      </text>
    </comment>
    <comment authorId="0" ref="P159">
      <text>
        <t xml:space="preserve">BORROWED FROM SPV3</t>
      </text>
    </comment>
    <comment authorId="0" ref="O175">
      <text>
        <t xml:space="preserve">20PCS - L200 10 UNITS</t>
      </text>
    </comment>
    <comment authorId="0" ref="K191">
      <text>
        <t xml:space="preserve">REPLACEMENT FOR L300 FB SLIDING WINDOW REJECT
2-PCS</t>
      </text>
    </comment>
    <comment authorId="0" ref="O232">
      <text>
        <t xml:space="preserve">Borrowed from SPV3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165">
      <text>
        <t xml:space="preserve">Did not see during inventory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7">
      <text>
        <t xml:space="preserve">DEALER'S ORDER = 2 PCS</t>
      </text>
    </comment>
    <comment authorId="0" ref="T17">
      <text>
        <t xml:space="preserve">40 pcs for L200</t>
      </text>
    </comment>
    <comment authorId="0" ref="V17">
      <text>
        <t xml:space="preserve">80 pcs for L200</t>
      </text>
    </comment>
    <comment authorId="0" ref="T160">
      <text>
        <t xml:space="preserve">80 PCS FOR L200</t>
      </text>
    </comment>
    <comment authorId="0" ref="V160">
      <text>
        <t xml:space="preserve">160 pcs for L200</t>
      </text>
    </comment>
    <comment authorId="0" ref="V229">
      <text>
        <t xml:space="preserve">L200 - 100 PCS</t>
      </text>
    </comment>
    <comment authorId="0" ref="V232">
      <text>
        <t xml:space="preserve">L200 - 25 PCS</t>
      </text>
    </comment>
  </commentList>
</comments>
</file>

<file path=xl/sharedStrings.xml><?xml version="1.0" encoding="utf-8"?>
<sst xmlns="http://schemas.openxmlformats.org/spreadsheetml/2006/main" count="2635" uniqueCount="184">
  <si>
    <t xml:space="preserve"> </t>
  </si>
  <si>
    <t>SECTION</t>
  </si>
  <si>
    <t>LOT</t>
  </si>
  <si>
    <t>CURRENT LOT</t>
  </si>
  <si>
    <t>TRIM</t>
  </si>
  <si>
    <t>As of</t>
  </si>
  <si>
    <t>Completed System:</t>
  </si>
  <si>
    <t>1 LOT</t>
  </si>
  <si>
    <t>METAL</t>
  </si>
  <si>
    <t>No reciving/withdrawal:</t>
  </si>
  <si>
    <t>(for the month of JUNE 2024)</t>
  </si>
  <si>
    <t>DECKING</t>
  </si>
  <si>
    <t>PDI</t>
  </si>
  <si>
    <t>INVENTORY REPORT / MONITORING</t>
  </si>
  <si>
    <t>UNIT</t>
  </si>
  <si>
    <t>SOH (05/31/2024)</t>
  </si>
  <si>
    <t>TOTAL SOH</t>
  </si>
  <si>
    <t>LOTS COVERED</t>
  </si>
  <si>
    <t>SECTION LOTS COVERED</t>
  </si>
  <si>
    <t>METAL COMPONENTS</t>
  </si>
  <si>
    <t>DOOR STRIKER BRACKET</t>
  </si>
  <si>
    <t>PC</t>
  </si>
  <si>
    <t>IN</t>
  </si>
  <si>
    <t>OUT</t>
  </si>
  <si>
    <t>GAS TANK COVER (ND)</t>
  </si>
  <si>
    <t>TAILGATE HINGE (ND)</t>
  </si>
  <si>
    <t>CLAMP HARNESS</t>
  </si>
  <si>
    <t>ADJUSTABLE DOOR HINGE BRACKET</t>
  </si>
  <si>
    <t>ROOF CORNER</t>
  </si>
  <si>
    <t>L300 FB HANDGRAB</t>
  </si>
  <si>
    <t>SET</t>
  </si>
  <si>
    <t>TRIM PARTS</t>
  </si>
  <si>
    <t>SLIDING WINDOW ASSY RH (NEW)</t>
  </si>
  <si>
    <t>SLIDING WINDOW ASSY LH (NEW)</t>
  </si>
  <si>
    <t>TEMPERED GLASS 4.0mm x 321 x 450 small</t>
  </si>
  <si>
    <t>TEMPERED GLASS 4.0mm x 455 x 905 big</t>
  </si>
  <si>
    <t>RUBBER DOOR STOPPER NEW DESIGN</t>
  </si>
  <si>
    <t>FB MUDGUARD</t>
  </si>
  <si>
    <t>REAR DOOR LACING CENTER 1200 MM</t>
  </si>
  <si>
    <t>REAR DOOR LOWER 1450 MM</t>
  </si>
  <si>
    <t>WEATHER SEAL CAB/CHASSIS 2350 MM</t>
  </si>
  <si>
    <t>WEATHER STRIP LEFT REAR WINDOW W/ LOCK 2720 MM</t>
  </si>
  <si>
    <t>WEATHER STRIP REAR DOOR OPENING 3850 MM</t>
  </si>
  <si>
    <t>WEATHER STRIP RIGHT REAR WINDOW W/LOCK 1600 MM</t>
  </si>
  <si>
    <t>WELT RUBBER FINISHER WEATHER STRIP CONNECTOR 2450 MM</t>
  </si>
  <si>
    <t>PLYBELT 1/4 X 2 X 2</t>
  </si>
  <si>
    <t>FT</t>
  </si>
  <si>
    <t>RUBBER SPACER 2 15.5 X 36.7 X 67</t>
  </si>
  <si>
    <t>CT HEADLINING GRAY 1420 X 590 X 6MM</t>
  </si>
  <si>
    <t>CT HEADLINING GRAY 1420 X 500 X 6MM</t>
  </si>
  <si>
    <t>DOOR COMPONENTS / PLASTICS</t>
  </si>
  <si>
    <t>DOOR LOCK MECHANISM LH (set)</t>
  </si>
  <si>
    <t>PLASTIC HANDLE</t>
  </si>
  <si>
    <t>L300 FB BARREL BOLT ASSY</t>
  </si>
  <si>
    <t>ELECTRICAL</t>
  </si>
  <si>
    <t>WIRING HARNESS PIGTAIL # A-073104</t>
  </si>
  <si>
    <t>DOMELAMP WITH BULB 12 VOLTS</t>
  </si>
  <si>
    <t>STICKERS / EMBLEM</t>
  </si>
  <si>
    <t>EPT BLACK W/ ADHESSIVE AND WITH SKIN 4MM 12MM X 278MM</t>
  </si>
  <si>
    <t>EPT BLACK W/ ADHESSIVE AND WITH SKIN 4MM 12MM X 346MM</t>
  </si>
  <si>
    <t>PRODUCTION No. PLATE</t>
  </si>
  <si>
    <t>OK STICKER</t>
  </si>
  <si>
    <t>HARDWARES</t>
  </si>
  <si>
    <t>BLIND RIVET 1/8 X 3/8 (SOH 8160)</t>
  </si>
  <si>
    <t>BLIND RIVET 3/16 X 3/8</t>
  </si>
  <si>
    <t>BOLT FLAT HEAD PHILIP M6 X 20 X 1.0</t>
  </si>
  <si>
    <t>FLAT WASHER M6 x 1.0</t>
  </si>
  <si>
    <t>LOCK WASHER M6 x 1.0</t>
  </si>
  <si>
    <t>NUT M6 X 1.0</t>
  </si>
  <si>
    <t>LOCK WASHER M8 x 1.0 (SOH 41580)</t>
  </si>
  <si>
    <t>FLAT WASHER M8 x 1.0</t>
  </si>
  <si>
    <t>NUT M8 X 25 X 1.25</t>
  </si>
  <si>
    <t>LOCK WASHER M10 x 1.5</t>
  </si>
  <si>
    <t>NUT M10 X 1.5</t>
  </si>
  <si>
    <t>METAL SCREW 8 X 3/4</t>
  </si>
  <si>
    <t>WELD NUT M6 X 1.0</t>
  </si>
  <si>
    <t>WELD NUT M8 X 1.0</t>
  </si>
  <si>
    <t>STOVE BOLT FLAT HEAD PHILIP M8 X 20 X 1.25</t>
  </si>
  <si>
    <t>BOLT HEX HEAD M8 X 25 X 1.25</t>
  </si>
  <si>
    <t>BOLT HEX HEAD M10 X 30 X 1.5HT</t>
  </si>
  <si>
    <t>BOLT HEX HEAD M6 X 20 X 1.0</t>
  </si>
  <si>
    <t>STOVE BOLT ROUND HEAD PHILIP M6 X 15 X 1.0</t>
  </si>
  <si>
    <t>STOVE BOLT ROUND HEAD PHILIP M6 X 20 X 1.0</t>
  </si>
  <si>
    <t>FLAT WASHER M10 X 30mm</t>
  </si>
  <si>
    <t>METAL SCREW8 X 1 1/4</t>
  </si>
  <si>
    <t>SELF TAPPING SCREW M6 x L12</t>
  </si>
  <si>
    <t>STOVE BOLT RHP M5 x 25 P=08</t>
  </si>
  <si>
    <t>SHOP SUPPLIES</t>
  </si>
  <si>
    <t>SIKAFLEX 221 WHITE 600ML</t>
  </si>
  <si>
    <t>SSGS</t>
  </si>
  <si>
    <t>MIGHTY BOND (3g.)</t>
  </si>
  <si>
    <t>RUGBY TF-HS100</t>
  </si>
  <si>
    <t>GAL</t>
  </si>
  <si>
    <t>PALBOND PB-N144R</t>
  </si>
  <si>
    <t>ACCELARATOR AC-131</t>
  </si>
  <si>
    <t>FINE CLEANER 4349</t>
  </si>
  <si>
    <t>ULTRAZINC PRIMER 2120 GRAY</t>
  </si>
  <si>
    <t>THINNER #15</t>
  </si>
  <si>
    <t>RED OXIDE PRIMER</t>
  </si>
  <si>
    <t>PAINT THINNER</t>
  </si>
  <si>
    <t>BLACK ARMOR SOLVENT NAPTHA (4LTRS)</t>
  </si>
  <si>
    <t>TIN</t>
  </si>
  <si>
    <t>WELDING CONSUMABLE</t>
  </si>
  <si>
    <t>MIGWIRE 0.80 X 15kgs</t>
  </si>
  <si>
    <t>BOX</t>
  </si>
  <si>
    <t>CARBON DIOXIDE</t>
  </si>
  <si>
    <t>CYLS</t>
  </si>
  <si>
    <t>HAND TAPS</t>
  </si>
  <si>
    <t>HAND TAP M6 X 1.0</t>
  </si>
  <si>
    <t>DISCS / BLADES</t>
  </si>
  <si>
    <t>CUT OFF WHEEL #16 (NORTON/TAILIN)</t>
  </si>
  <si>
    <t>GRINDING DISC #4 (NORTON/TAILIN)</t>
  </si>
  <si>
    <t>SANDING DISC #120</t>
  </si>
  <si>
    <t>MISCELLANEOUS</t>
  </si>
  <si>
    <t>PAINT BRUSH 1"</t>
  </si>
  <si>
    <t>PAINT BRUSH 2"</t>
  </si>
  <si>
    <t>ORDINARY ROUND RAGS COLORED</t>
  </si>
  <si>
    <t>COTTON RAGS (WHITE)</t>
  </si>
  <si>
    <t>TAIL LIGHT BRKT.</t>
  </si>
  <si>
    <t>SEAT FRAME ASSEMBLY LH/RH (LONG)</t>
  </si>
  <si>
    <t>L300 FB SEAT FRAME ASSY LH/RH</t>
  </si>
  <si>
    <r>
      <rPr>
        <rFont val="&quot;Google Sans&quot;, Roboto, sans-serif"/>
        <b/>
        <color rgb="FF1F1F1F"/>
        <sz val="7.0"/>
      </rPr>
      <t>REBONDED FOAM</t>
    </r>
  </si>
  <si>
    <t>PLASTIC COVER</t>
  </si>
  <si>
    <t>SACK GRAY</t>
  </si>
  <si>
    <t>KEROSENE</t>
  </si>
  <si>
    <t>SOH 6/24</t>
  </si>
  <si>
    <t>DIESEL</t>
  </si>
  <si>
    <t>(for the month of JULY 2024)</t>
  </si>
  <si>
    <t>Not included in System:</t>
  </si>
  <si>
    <t>SOH (06/30/2024)</t>
  </si>
  <si>
    <t>L300 FB DOOR STRIKER</t>
  </si>
  <si>
    <t>BLIND RIVET 1/8 X 3/8</t>
  </si>
  <si>
    <t>LOCK WASHER M8 x 1.0</t>
  </si>
  <si>
    <t>No receiving/withdrawal:</t>
  </si>
  <si>
    <t>(for the month of AUGUST 2024)</t>
  </si>
  <si>
    <t>SOH (08/01/2024)</t>
  </si>
  <si>
    <t>AUV 1</t>
  </si>
  <si>
    <t>MAIN BODY ASSEMBLY</t>
  </si>
  <si>
    <t>SGCC 0.8 X 1219 X 1412</t>
  </si>
  <si>
    <t>MRR</t>
  </si>
  <si>
    <t>WITHDRAWAL</t>
  </si>
  <si>
    <t>SGCC 0.8 X 1219 X 1685</t>
  </si>
  <si>
    <t>SGCC 0.8 X 1219 X 2052</t>
  </si>
  <si>
    <t>SGCC 1.0 X 1219 X 1241</t>
  </si>
  <si>
    <t>SGCC 1.0 X 1219 X 1530</t>
  </si>
  <si>
    <t>SGCC 1.0 X 1219 X 1600</t>
  </si>
  <si>
    <t>SGCC 1.0 X 1219 X 2730</t>
  </si>
  <si>
    <t>SGCC 1.2 X 1219 X 1388</t>
  </si>
  <si>
    <t>SGCC 1.2 X 1219 X 1550</t>
  </si>
  <si>
    <t>SGCC 1.2 X 1219 X 2670</t>
  </si>
  <si>
    <t>SGCC 1.2 X 1219 X 2684</t>
  </si>
  <si>
    <t>SGCC 1.5 X 1219 X 1420</t>
  </si>
  <si>
    <t>SGCC 1.5 X 1219 X 1547</t>
  </si>
  <si>
    <t>SPHC 2.0 X 1219 X 1060</t>
  </si>
  <si>
    <t>SPHC 2.0 X 1219 X 1662</t>
  </si>
  <si>
    <t>SPHC 2.0 X 1219 X 1665</t>
  </si>
  <si>
    <t>SPHC 2.0 X 1219 X 2650</t>
  </si>
  <si>
    <t>TUBING/ANGLE BAR/FLAT BAR</t>
  </si>
  <si>
    <t>BI CHECKERED PLAT 2.0 X 1219 X 2438</t>
  </si>
  <si>
    <t>FLAT BAR 1/4" X 3" X 20FT</t>
  </si>
  <si>
    <t>FLAT BAR 1/4" X 1 1/2" X 20FT</t>
  </si>
  <si>
    <t>ANGULAR BAR 1/8" X 1 1/2" X 1 1/2 X 20FT</t>
  </si>
  <si>
    <t>RHS TUBE 1.5T X 20 X 40 X 6M</t>
  </si>
  <si>
    <t>Current PO:</t>
  </si>
  <si>
    <t>893 - 926</t>
  </si>
  <si>
    <t>(for the month of SEPTEMBER 2024)</t>
  </si>
  <si>
    <t>SOH (09/03/2024)</t>
  </si>
  <si>
    <t>KG/S</t>
  </si>
  <si>
    <r>
      <rPr>
        <rFont val="&quot;Google Sans&quot;, Roboto, sans-serif"/>
        <b/>
        <color rgb="FF1F1F1F"/>
        <sz val="7.0"/>
      </rPr>
      <t>REBONDED FOAM</t>
    </r>
  </si>
  <si>
    <t>AUV1</t>
  </si>
  <si>
    <t>METAL PARTS - AUV1</t>
  </si>
  <si>
    <t>CARBON DIOXIDE - AUV1</t>
  </si>
  <si>
    <t>Prod Plan:</t>
  </si>
  <si>
    <t>(for the month of OCTOBER 2024)</t>
  </si>
  <si>
    <t>SOH (10/01/2024)</t>
  </si>
  <si>
    <t>ALMAZORA EMBLEM (BLUE)</t>
  </si>
  <si>
    <t>METAL SCREW FHP 8 X 3/4</t>
  </si>
  <si>
    <t>KG</t>
  </si>
  <si>
    <r>
      <rPr>
        <rFont val="&quot;Google Sans&quot;, Roboto, sans-serif"/>
        <b/>
        <color rgb="FF1F1F1F"/>
        <sz val="7.0"/>
      </rPr>
      <t>REBONDED FOAM</t>
    </r>
  </si>
  <si>
    <t>HANDTAP</t>
  </si>
  <si>
    <t>(for the month of NOVEMBER 2024)</t>
  </si>
  <si>
    <t>USG</t>
  </si>
  <si>
    <r>
      <rPr>
        <rFont val="&quot;Google Sans&quot;, Roboto, sans-serif"/>
        <b/>
        <color rgb="FF1F1F1F"/>
        <sz val="7.0"/>
      </rPr>
      <t>REBONDED FOAM</t>
    </r>
  </si>
  <si>
    <r>
      <rPr>
        <rFont val="&quot;Google Sans&quot;, Roboto, sans-serif"/>
        <b/>
        <color rgb="FF1F1F1F"/>
        <sz val="7.0"/>
      </rPr>
      <t>REBONDED FOAM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</si>
</sst>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 yyyy"/>
    <numFmt numFmtId="165" formatCode="dd-mmm"/>
    <numFmt numFmtId="166" formatCode="d-mmm"/>
  </numFmts>
  <fonts count="28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9.0"/>
      <color rgb="FF000000"/>
      <name val="&quot;Google Sans Mono&quot;"/>
    </font>
    <font>
      <b/>
      <color rgb="FF000000"/>
      <name val="Calibri"/>
    </font>
    <font>
      <b/>
      <sz val="12.0"/>
      <color rgb="FF000000"/>
      <name val="Calibri"/>
    </font>
    <font>
      <color rgb="FF000000"/>
      <name val="Calibri"/>
    </font>
    <font/>
    <font>
      <sz val="8.0"/>
      <color rgb="FF000000"/>
      <name val="Calibri"/>
    </font>
    <font>
      <sz val="18.0"/>
      <color rgb="FF000000"/>
      <name val="Calibri"/>
    </font>
    <font>
      <sz val="11.0"/>
      <color theme="1"/>
      <name val="Calibri"/>
    </font>
    <font>
      <sz val="8.0"/>
      <color theme="1"/>
      <name val="Calibri"/>
    </font>
    <font>
      <color rgb="FFA5A5A5"/>
      <name val="Calibri"/>
    </font>
    <font>
      <sz val="11.0"/>
      <color rgb="FFA5A5A5"/>
      <name val="Calibri"/>
    </font>
    <font>
      <color theme="1"/>
      <name val="Calibri"/>
    </font>
    <font>
      <b/>
      <sz val="7.0"/>
      <color theme="1"/>
      <name val="Arial"/>
      <scheme val="minor"/>
    </font>
    <font>
      <color theme="1"/>
      <name val="Arial"/>
    </font>
    <font>
      <sz val="18.0"/>
      <color theme="1"/>
      <name val="Calibri"/>
    </font>
    <font>
      <sz val="8.0"/>
      <color theme="1"/>
      <name val="Arial"/>
    </font>
    <font>
      <b/>
      <sz val="7.0"/>
      <color theme="1"/>
      <name val="Arial"/>
    </font>
    <font>
      <color theme="1"/>
      <name val="Arial"/>
      <scheme val="minor"/>
    </font>
    <font>
      <b/>
      <sz val="8.0"/>
      <color rgb="FF000000"/>
      <name val="Calibri"/>
    </font>
    <font>
      <b/>
      <sz val="9.0"/>
      <color rgb="FF000000"/>
      <name val="Calibri"/>
    </font>
    <font>
      <b/>
      <color theme="1"/>
      <name val="Arial"/>
      <scheme val="minor"/>
    </font>
    <font>
      <sz val="11.0"/>
      <color rgb="FF00FF00"/>
      <name val="Calibri"/>
    </font>
    <font>
      <i/>
      <sz val="8.0"/>
      <color rgb="FF000000"/>
      <name val="Calibri"/>
    </font>
    <font>
      <sz val="11.0"/>
      <color theme="1"/>
      <name val="Google Sans Mono"/>
    </font>
    <font>
      <u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F6D2CF"/>
        <bgColor rgb="FFF6D2CF"/>
      </patternFill>
    </fill>
    <fill>
      <patternFill patternType="solid">
        <fgColor rgb="FF57BB8A"/>
        <bgColor rgb="FF57BB8A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3" fillId="2" fontId="1" numFmtId="0" xfId="0" applyAlignment="1" applyBorder="1" applyFill="1" applyFont="1">
      <alignment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3" fontId="3" numFmtId="0" xfId="0" applyFill="1" applyFont="1"/>
    <xf borderId="3" fillId="4" fontId="1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166" xfId="0" applyAlignment="1" applyFont="1" applyNumberFormat="1">
      <alignment horizontal="center" readingOrder="0" shrinkToFit="0" vertical="bottom" wrapText="0"/>
    </xf>
    <xf borderId="4" fillId="5" fontId="6" numFmtId="0" xfId="0" applyAlignment="1" applyBorder="1" applyFill="1" applyFont="1">
      <alignment horizontal="center" readingOrder="0" shrinkToFit="0" vertical="bottom" wrapText="0"/>
    </xf>
    <xf borderId="5" fillId="0" fontId="7" numFmtId="0" xfId="0" applyBorder="1" applyFont="1"/>
    <xf borderId="6" fillId="0" fontId="7" numFmtId="0" xfId="0" applyBorder="1" applyFont="1"/>
    <xf borderId="3" fillId="5" fontId="6" numFmtId="0" xfId="0" applyAlignment="1" applyBorder="1" applyFont="1">
      <alignment horizontal="center" shrinkToFit="0" vertical="bottom" wrapText="0"/>
    </xf>
    <xf borderId="3" fillId="5" fontId="1" numFmtId="0" xfId="0" applyAlignment="1" applyBorder="1" applyFont="1">
      <alignment horizontal="center" shrinkToFit="0" vertical="bottom" wrapText="0"/>
    </xf>
    <xf borderId="3" fillId="5" fontId="1" numFmtId="0" xfId="0" applyAlignment="1" applyBorder="1" applyFont="1">
      <alignment shrinkToFit="0" vertical="bottom" wrapText="0"/>
    </xf>
    <xf borderId="3" fillId="5" fontId="1" numFmtId="0" xfId="0" applyAlignment="1" applyBorder="1" applyFont="1">
      <alignment shrinkToFit="0" vertical="bottom" wrapText="0"/>
    </xf>
    <xf borderId="0" fillId="5" fontId="1" numFmtId="0" xfId="0" applyAlignment="1" applyFont="1">
      <alignment shrinkToFit="0" vertical="bottom" wrapText="0"/>
    </xf>
    <xf borderId="4" fillId="0" fontId="8" numFmtId="0" xfId="0" applyAlignment="1" applyBorder="1" applyFont="1">
      <alignment horizontal="left" readingOrder="0" shrinkToFit="0" wrapText="0"/>
    </xf>
    <xf borderId="3" fillId="0" fontId="8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7" fillId="0" fontId="9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4" fillId="0" fontId="8" numFmtId="0" xfId="0" applyAlignment="1" applyBorder="1" applyFont="1">
      <alignment horizontal="center" shrinkToFit="0" wrapText="0"/>
    </xf>
    <xf borderId="2" fillId="0" fontId="7" numFmtId="0" xfId="0" applyBorder="1" applyFont="1"/>
    <xf borderId="3" fillId="0" fontId="8" numFmtId="0" xfId="0" applyAlignment="1" applyBorder="1" applyFont="1">
      <alignment horizontal="left" readingOrder="0" shrinkToFit="0" wrapText="0"/>
    </xf>
    <xf borderId="3" fillId="3" fontId="1" numFmtId="0" xfId="0" applyAlignment="1" applyBorder="1" applyFont="1">
      <alignment horizontal="center" readingOrder="0" shrinkToFit="0" vertical="bottom" wrapText="0"/>
    </xf>
    <xf borderId="3" fillId="4" fontId="1" numFmtId="0" xfId="0" applyAlignment="1" applyBorder="1" applyFont="1">
      <alignment horizontal="center" readingOrder="0" shrinkToFit="0" vertical="bottom" wrapText="0"/>
    </xf>
    <xf borderId="3" fillId="4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bottom" wrapText="0"/>
    </xf>
    <xf borderId="3" fillId="4" fontId="1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horizontal="center" readingOrder="0" shrinkToFit="0" wrapText="0"/>
    </xf>
    <xf borderId="3" fillId="3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horizontal="center" readingOrder="0" shrinkToFit="0" vertical="bottom" wrapText="0"/>
    </xf>
    <xf borderId="3" fillId="6" fontId="6" numFmtId="0" xfId="0" applyAlignment="1" applyBorder="1" applyFill="1" applyFont="1">
      <alignment horizontal="center" readingOrder="0" shrinkToFit="0" wrapText="0"/>
    </xf>
    <xf borderId="3" fillId="6" fontId="6" numFmtId="0" xfId="0" applyAlignment="1" applyBorder="1" applyFont="1">
      <alignment horizontal="center" shrinkToFit="0" wrapText="0"/>
    </xf>
    <xf borderId="3" fillId="2" fontId="6" numFmtId="0" xfId="0" applyAlignment="1" applyBorder="1" applyFont="1">
      <alignment horizontal="center" shrinkToFit="0" wrapText="0"/>
    </xf>
    <xf borderId="3" fillId="4" fontId="6" numFmtId="0" xfId="0" applyAlignment="1" applyBorder="1" applyFont="1">
      <alignment horizontal="center" shrinkToFit="0" wrapText="0"/>
    </xf>
    <xf borderId="3" fillId="6" fontId="1" numFmtId="0" xfId="0" applyAlignment="1" applyBorder="1" applyFont="1">
      <alignment shrinkToFit="0" vertical="bottom" wrapText="0"/>
    </xf>
    <xf borderId="0" fillId="6" fontId="1" numFmtId="0" xfId="0" applyAlignment="1" applyFont="1">
      <alignment shrinkToFit="0" vertical="bottom" wrapText="0"/>
    </xf>
    <xf borderId="4" fillId="5" fontId="6" numFmtId="0" xfId="0" applyAlignment="1" applyBorder="1" applyFont="1">
      <alignment horizontal="center" readingOrder="0" shrinkToFit="0" wrapText="0"/>
    </xf>
    <xf borderId="3" fillId="5" fontId="6" numFmtId="0" xfId="0" applyAlignment="1" applyBorder="1" applyFont="1">
      <alignment horizontal="center" shrinkToFit="0" wrapText="0"/>
    </xf>
    <xf borderId="0" fillId="5" fontId="1" numFmtId="0" xfId="0" applyAlignment="1" applyFont="1">
      <alignment shrinkToFit="0" vertical="bottom" wrapText="0"/>
    </xf>
    <xf borderId="0" fillId="3" fontId="9" numFmtId="0" xfId="0" applyAlignment="1" applyFont="1">
      <alignment horizontal="center"/>
    </xf>
    <xf borderId="3" fillId="0" fontId="11" numFmtId="0" xfId="0" applyAlignment="1" applyBorder="1" applyFont="1">
      <alignment horizontal="left" readingOrder="0" shrinkToFit="0" wrapText="0"/>
    </xf>
    <xf borderId="4" fillId="0" fontId="11" numFmtId="0" xfId="0" applyAlignment="1" applyBorder="1" applyFont="1">
      <alignment horizontal="left" readingOrder="0" shrinkToFit="0" wrapText="0"/>
    </xf>
    <xf borderId="3" fillId="0" fontId="8" numFmtId="0" xfId="0" applyAlignment="1" applyBorder="1" applyFont="1">
      <alignment horizontal="left" shrinkToFit="0" wrapText="0"/>
    </xf>
    <xf borderId="3" fillId="0" fontId="8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readingOrder="0" shrinkToFit="0" vertical="bottom" wrapText="0"/>
    </xf>
    <xf borderId="3" fillId="6" fontId="12" numFmtId="0" xfId="0" applyAlignment="1" applyBorder="1" applyFont="1">
      <alignment horizontal="center" shrinkToFit="0" vertical="bottom" wrapText="0"/>
    </xf>
    <xf borderId="3" fillId="2" fontId="12" numFmtId="0" xfId="0" applyAlignment="1" applyBorder="1" applyFont="1">
      <alignment horizontal="center" shrinkToFit="0" vertical="bottom" wrapText="0"/>
    </xf>
    <xf borderId="3" fillId="2" fontId="13" numFmtId="0" xfId="0" applyAlignment="1" applyBorder="1" applyFont="1">
      <alignment shrinkToFit="0" vertical="bottom" wrapText="0"/>
    </xf>
    <xf borderId="3" fillId="4" fontId="13" numFmtId="0" xfId="0" applyAlignment="1" applyBorder="1" applyFont="1">
      <alignment shrinkToFit="0" vertical="bottom" wrapText="0"/>
    </xf>
    <xf borderId="3" fillId="6" fontId="13" numFmtId="0" xfId="0" applyAlignment="1" applyBorder="1" applyFont="1">
      <alignment shrinkToFit="0" vertical="bottom" wrapText="0"/>
    </xf>
    <xf borderId="0" fillId="6" fontId="13" numFmtId="0" xfId="0" applyAlignment="1" applyFont="1">
      <alignment shrinkToFit="0" vertical="bottom" wrapText="0"/>
    </xf>
    <xf borderId="3" fillId="5" fontId="12" numFmtId="0" xfId="0" applyAlignment="1" applyBorder="1" applyFont="1">
      <alignment horizontal="center" shrinkToFit="0" vertical="bottom" wrapText="0"/>
    </xf>
    <xf borderId="3" fillId="5" fontId="13" numFmtId="0" xfId="0" applyAlignment="1" applyBorder="1" applyFont="1">
      <alignment shrinkToFit="0" vertical="bottom" wrapText="0"/>
    </xf>
    <xf borderId="0" fillId="5" fontId="13" numFmtId="0" xfId="0" applyAlignment="1" applyFont="1">
      <alignment shrinkToFit="0" vertical="bottom" wrapText="0"/>
    </xf>
    <xf borderId="3" fillId="6" fontId="6" numFmtId="0" xfId="0" applyAlignment="1" applyBorder="1" applyFont="1">
      <alignment horizontal="center" shrinkToFit="0" vertical="bottom" wrapText="0"/>
    </xf>
    <xf borderId="3" fillId="6" fontId="1" numFmtId="0" xfId="0" applyAlignment="1" applyBorder="1" applyFont="1">
      <alignment horizontal="center" shrinkToFit="0" vertical="bottom" wrapText="0"/>
    </xf>
    <xf borderId="4" fillId="0" fontId="11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 shrinkToFit="0" vertical="bottom" wrapText="0"/>
    </xf>
    <xf borderId="3" fillId="6" fontId="1" numFmtId="0" xfId="0" applyAlignment="1" applyBorder="1" applyFont="1">
      <alignment horizontal="center" readingOrder="0" shrinkToFit="0" vertical="bottom" wrapText="0"/>
    </xf>
    <xf borderId="4" fillId="5" fontId="1" numFmtId="0" xfId="0" applyAlignment="1" applyBorder="1" applyFont="1">
      <alignment horizontal="center" readingOrder="0" shrinkToFit="0" vertical="bottom" wrapText="0"/>
    </xf>
    <xf borderId="3" fillId="6" fontId="14" numFmtId="0" xfId="0" applyAlignment="1" applyBorder="1" applyFont="1">
      <alignment horizontal="center" readingOrder="0" shrinkToFit="0" vertical="bottom" wrapText="0"/>
    </xf>
    <xf borderId="3" fillId="6" fontId="14" numFmtId="0" xfId="0" applyAlignment="1" applyBorder="1" applyFont="1">
      <alignment shrinkToFit="0" vertical="bottom" wrapText="0"/>
    </xf>
    <xf borderId="4" fillId="5" fontId="14" numFmtId="0" xfId="0" applyAlignment="1" applyBorder="1" applyFont="1">
      <alignment horizontal="center" readingOrder="0" shrinkToFit="0" vertical="bottom" wrapText="0"/>
    </xf>
    <xf borderId="3" fillId="5" fontId="14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horizontal="right" readingOrder="0" shrinkToFit="0" vertical="bottom" wrapText="0"/>
    </xf>
    <xf borderId="3" fillId="4" fontId="6" numFmtId="0" xfId="0" applyAlignment="1" applyBorder="1" applyFont="1">
      <alignment horizontal="center" shrinkToFit="0" vertical="bottom" wrapText="0"/>
    </xf>
    <xf borderId="3" fillId="2" fontId="6" numFmtId="0" xfId="0" applyAlignment="1" applyBorder="1" applyFont="1">
      <alignment horizontal="center" shrinkToFit="0" vertical="bottom" wrapText="0"/>
    </xf>
    <xf borderId="0" fillId="6" fontId="9" numFmtId="0" xfId="0" applyAlignment="1" applyFont="1">
      <alignment horizontal="center"/>
    </xf>
    <xf borderId="0" fillId="0" fontId="15" numFmtId="0" xfId="0" applyAlignment="1" applyFont="1">
      <alignment readingOrder="0"/>
    </xf>
    <xf borderId="5" fillId="0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3" fillId="0" fontId="11" numFmtId="0" xfId="0" applyAlignment="1" applyBorder="1" applyFont="1">
      <alignment horizontal="center" vertical="bottom"/>
    </xf>
    <xf borderId="3" fillId="0" fontId="16" numFmtId="0" xfId="0" applyAlignment="1" applyBorder="1" applyFont="1">
      <alignment vertical="bottom"/>
    </xf>
    <xf borderId="3" fillId="0" fontId="10" numFmtId="0" xfId="0" applyAlignment="1" applyBorder="1" applyFont="1">
      <alignment horizontal="center" vertical="bottom"/>
    </xf>
    <xf borderId="3" fillId="0" fontId="10" numFmtId="0" xfId="0" applyAlignment="1" applyBorder="1" applyFont="1">
      <alignment horizontal="right" vertical="bottom"/>
    </xf>
    <xf borderId="3" fillId="0" fontId="10" numFmtId="0" xfId="0" applyAlignment="1" applyBorder="1" applyFont="1">
      <alignment horizontal="right" vertical="bottom"/>
    </xf>
    <xf borderId="7" fillId="0" fontId="17" numFmtId="0" xfId="0" applyAlignment="1" applyBorder="1" applyFont="1">
      <alignment horizontal="center" vertical="bottom"/>
    </xf>
    <xf borderId="4" fillId="0" fontId="18" numFmtId="0" xfId="0" applyAlignment="1" applyBorder="1" applyFont="1">
      <alignment readingOrder="0" vertical="bottom"/>
    </xf>
    <xf borderId="0" fillId="0" fontId="19" numFmtId="0" xfId="0" applyAlignment="1" applyFont="1">
      <alignment readingOrder="0" vertical="bottom"/>
    </xf>
    <xf borderId="5" fillId="0" fontId="16" numFmtId="0" xfId="0" applyAlignment="1" applyBorder="1" applyFont="1">
      <alignment vertical="bottom"/>
    </xf>
    <xf borderId="6" fillId="0" fontId="16" numFmtId="0" xfId="0" applyAlignment="1" applyBorder="1" applyFont="1">
      <alignment vertical="bottom"/>
    </xf>
    <xf borderId="4" fillId="0" fontId="16" numFmtId="0" xfId="0" applyAlignment="1" applyBorder="1" applyFont="1">
      <alignment vertical="bottom"/>
    </xf>
    <xf borderId="3" fillId="0" fontId="20" numFmtId="0" xfId="0" applyBorder="1" applyFont="1"/>
    <xf borderId="3" fillId="4" fontId="20" numFmtId="0" xfId="0" applyBorder="1" applyFont="1"/>
    <xf borderId="3" fillId="2" fontId="20" numFmtId="0" xfId="0" applyBorder="1" applyFont="1"/>
    <xf borderId="4" fillId="0" fontId="1" numFmtId="164" xfId="0" applyAlignment="1" applyBorder="1" applyFont="1" applyNumberFormat="1">
      <alignment readingOrder="0" shrinkToFit="0" vertical="bottom" wrapText="0"/>
    </xf>
    <xf borderId="3" fillId="7" fontId="1" numFmtId="0" xfId="0" applyAlignment="1" applyBorder="1" applyFill="1" applyFont="1">
      <alignment shrinkToFit="0" vertical="bottom" wrapText="0"/>
    </xf>
    <xf borderId="6" fillId="5" fontId="6" numFmtId="0" xfId="0" applyAlignment="1" applyBorder="1" applyFont="1">
      <alignment horizontal="center" shrinkToFit="0" vertical="bottom" wrapText="0"/>
    </xf>
    <xf borderId="6" fillId="5" fontId="1" numFmtId="0" xfId="0" applyAlignment="1" applyBorder="1" applyFont="1">
      <alignment horizontal="center" shrinkToFit="0" vertical="bottom" wrapText="0"/>
    </xf>
    <xf borderId="6" fillId="5" fontId="1" numFmtId="0" xfId="0" applyAlignment="1" applyBorder="1" applyFont="1">
      <alignment shrinkToFit="0" vertical="bottom" wrapText="0"/>
    </xf>
    <xf borderId="6" fillId="5" fontId="1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center" readingOrder="0" shrinkToFit="0" wrapText="0"/>
    </xf>
    <xf borderId="8" fillId="0" fontId="1" numFmtId="0" xfId="0" applyAlignment="1" applyBorder="1" applyFont="1">
      <alignment horizontal="center" readingOrder="0" shrinkToFit="0" vertical="bottom" wrapText="0"/>
    </xf>
    <xf borderId="8" fillId="6" fontId="1" numFmtId="0" xfId="0" applyAlignment="1" applyBorder="1" applyFont="1">
      <alignment horizontal="center" shrinkToFit="0" vertical="bottom" wrapText="0"/>
    </xf>
    <xf borderId="8" fillId="6" fontId="1" numFmtId="0" xfId="0" applyAlignment="1" applyBorder="1" applyFont="1">
      <alignment horizontal="center" readingOrder="0" shrinkToFit="0" vertical="bottom" wrapText="0"/>
    </xf>
    <xf borderId="8" fillId="6" fontId="1" numFmtId="0" xfId="0" applyAlignment="1" applyBorder="1" applyFont="1">
      <alignment shrinkToFit="0" vertical="bottom" wrapText="0"/>
    </xf>
    <xf borderId="8" fillId="6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9" numFmtId="0" xfId="0" applyAlignment="1" applyBorder="1" applyFont="1">
      <alignment horizontal="center" readingOrder="0" shrinkToFit="0" wrapText="0"/>
    </xf>
    <xf borderId="8" fillId="0" fontId="1" numFmtId="0" xfId="0" applyAlignment="1" applyBorder="1" applyFont="1">
      <alignment horizontal="center" shrinkToFit="0" vertical="bottom" wrapText="0"/>
    </xf>
    <xf borderId="8" fillId="3" fontId="1" numFmtId="0" xfId="0" applyAlignment="1" applyBorder="1" applyFont="1">
      <alignment horizontal="center" readingOrder="0" shrinkToFit="0" vertical="bottom" wrapText="0"/>
    </xf>
    <xf borderId="8" fillId="4" fontId="1" numFmtId="0" xfId="0" applyAlignment="1" applyBorder="1" applyFont="1">
      <alignment horizontal="center" readingOrder="0" shrinkToFit="0" vertical="bottom" wrapText="0"/>
    </xf>
    <xf borderId="8" fillId="4" fontId="1" numFmtId="0" xfId="0" applyAlignment="1" applyBorder="1" applyFont="1">
      <alignment horizontal="center" shrinkToFit="0" vertical="bottom" wrapText="0"/>
    </xf>
    <xf borderId="8" fillId="2" fontId="1" numFmtId="0" xfId="0" applyAlignment="1" applyBorder="1" applyFont="1">
      <alignment horizontal="center" shrinkToFit="0" vertical="bottom" wrapText="0"/>
    </xf>
    <xf borderId="8" fillId="4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4" fontId="1" numFmtId="0" xfId="0" applyAlignment="1" applyBorder="1" applyFont="1">
      <alignment readingOrder="0" shrinkToFit="0" vertical="bottom" wrapText="0"/>
    </xf>
    <xf borderId="2" fillId="0" fontId="9" numFmtId="0" xfId="0" applyAlignment="1" applyBorder="1" applyFont="1">
      <alignment horizontal="center" readingOrder="0" shrinkToFit="0" wrapText="0"/>
    </xf>
    <xf borderId="8" fillId="3" fontId="1" numFmtId="0" xfId="0" applyAlignment="1" applyBorder="1" applyFont="1">
      <alignment horizontal="center" shrinkToFit="0" vertical="bottom" wrapText="0"/>
    </xf>
    <xf borderId="8" fillId="2" fontId="1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0" numFmtId="0" xfId="0" applyAlignment="1" applyBorder="1" applyFont="1">
      <alignment horizontal="center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4" fillId="6" fontId="6" numFmtId="0" xfId="0" applyAlignment="1" applyBorder="1" applyFont="1">
      <alignment horizontal="center" readingOrder="0" shrinkToFit="0" wrapText="0"/>
    </xf>
    <xf borderId="8" fillId="6" fontId="6" numFmtId="0" xfId="0" applyAlignment="1" applyBorder="1" applyFont="1">
      <alignment horizontal="center" shrinkToFit="0" wrapText="0"/>
    </xf>
    <xf borderId="8" fillId="2" fontId="6" numFmtId="0" xfId="0" applyAlignment="1" applyBorder="1" applyFont="1">
      <alignment horizontal="center" shrinkToFit="0" wrapText="0"/>
    </xf>
    <xf borderId="8" fillId="0" fontId="6" numFmtId="0" xfId="0" applyAlignment="1" applyBorder="1" applyFont="1">
      <alignment horizontal="center" shrinkToFit="0" wrapText="0"/>
    </xf>
    <xf borderId="8" fillId="5" fontId="6" numFmtId="0" xfId="0" applyAlignment="1" applyBorder="1" applyFont="1">
      <alignment horizontal="center" shrinkToFit="0" wrapText="0"/>
    </xf>
    <xf borderId="8" fillId="8" fontId="6" numFmtId="0" xfId="0" applyAlignment="1" applyBorder="1" applyFill="1" applyFont="1">
      <alignment horizontal="center" shrinkToFit="0" wrapText="0"/>
    </xf>
    <xf borderId="8" fillId="8" fontId="1" numFmtId="0" xfId="0" applyAlignment="1" applyBorder="1" applyFont="1">
      <alignment shrinkToFit="0" vertical="bottom" wrapText="0"/>
    </xf>
    <xf borderId="8" fillId="5" fontId="1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horizontal="left" shrinkToFit="0" wrapText="0"/>
    </xf>
    <xf borderId="11" fillId="0" fontId="8" numFmtId="0" xfId="0" applyAlignment="1" applyBorder="1" applyFont="1">
      <alignment horizontal="left" shrinkToFit="0" wrapText="0"/>
    </xf>
    <xf borderId="11" fillId="0" fontId="8" numFmtId="0" xfId="0" applyAlignment="1" applyBorder="1" applyFont="1">
      <alignment horizontal="center" shrinkToFit="0" wrapText="0"/>
    </xf>
    <xf borderId="10" fillId="6" fontId="6" numFmtId="0" xfId="0" applyAlignment="1" applyBorder="1" applyFont="1">
      <alignment horizontal="center" readingOrder="0" shrinkToFit="0" vertical="bottom" wrapText="0"/>
    </xf>
    <xf borderId="11" fillId="6" fontId="6" numFmtId="0" xfId="0" applyAlignment="1" applyBorder="1" applyFont="1">
      <alignment horizontal="center" readingOrder="0" shrinkToFit="0" vertical="bottom" wrapText="0"/>
    </xf>
    <xf borderId="8" fillId="6" fontId="12" numFmtId="0" xfId="0" applyAlignment="1" applyBorder="1" applyFont="1">
      <alignment horizontal="center" shrinkToFit="0" vertical="bottom" wrapText="0"/>
    </xf>
    <xf borderId="8" fillId="2" fontId="12" numFmtId="0" xfId="0" applyAlignment="1" applyBorder="1" applyFont="1">
      <alignment horizontal="center" shrinkToFit="0" vertical="bottom" wrapText="0"/>
    </xf>
    <xf borderId="8" fillId="0" fontId="12" numFmtId="0" xfId="0" applyAlignment="1" applyBorder="1" applyFont="1">
      <alignment horizontal="center" shrinkToFit="0" vertical="bottom" wrapText="0"/>
    </xf>
    <xf borderId="8" fillId="2" fontId="13" numFmtId="0" xfId="0" applyAlignment="1" applyBorder="1" applyFont="1">
      <alignment shrinkToFit="0" vertical="bottom" wrapText="0"/>
    </xf>
    <xf borderId="8" fillId="6" fontId="13" numFmtId="0" xfId="0" applyAlignment="1" applyBorder="1" applyFont="1">
      <alignment shrinkToFit="0" vertical="bottom" wrapText="0"/>
    </xf>
    <xf borderId="8" fillId="4" fontId="13" numFmtId="0" xfId="0" applyAlignment="1" applyBorder="1" applyFont="1">
      <alignment shrinkToFit="0" vertical="bottom" wrapText="0"/>
    </xf>
    <xf borderId="8" fillId="5" fontId="12" numFmtId="0" xfId="0" applyAlignment="1" applyBorder="1" applyFont="1">
      <alignment horizontal="center" shrinkToFit="0" vertical="bottom" wrapText="0"/>
    </xf>
    <xf borderId="8" fillId="8" fontId="12" numFmtId="0" xfId="0" applyAlignment="1" applyBorder="1" applyFont="1">
      <alignment horizontal="center" shrinkToFit="0" vertical="bottom" wrapText="0"/>
    </xf>
    <xf borderId="8" fillId="8" fontId="13" numFmtId="0" xfId="0" applyAlignment="1" applyBorder="1" applyFont="1">
      <alignment shrinkToFit="0" vertical="bottom" wrapText="0"/>
    </xf>
    <xf borderId="8" fillId="5" fontId="13" numFmtId="0" xfId="0" applyAlignment="1" applyBorder="1" applyFont="1">
      <alignment shrinkToFit="0" vertical="bottom" wrapText="0"/>
    </xf>
    <xf borderId="8" fillId="6" fontId="6" numFmtId="0" xfId="0" applyAlignment="1" applyBorder="1" applyFont="1">
      <alignment horizontal="center" shrinkToFit="0" vertical="bottom" wrapText="0"/>
    </xf>
    <xf borderId="8" fillId="5" fontId="6" numFmtId="0" xfId="0" applyAlignment="1" applyBorder="1" applyFont="1">
      <alignment horizontal="center" shrinkToFit="0" vertical="bottom" wrapText="0"/>
    </xf>
    <xf borderId="8" fillId="5" fontId="1" numFmtId="0" xfId="0" applyAlignment="1" applyBorder="1" applyFont="1">
      <alignment horizontal="center" shrinkToFit="0" vertical="bottom" wrapText="0"/>
    </xf>
    <xf borderId="8" fillId="8" fontId="1" numFmtId="0" xfId="0" applyAlignment="1" applyBorder="1" applyFont="1">
      <alignment horizontal="center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4" fillId="6" fontId="1" numFmtId="0" xfId="0" applyAlignment="1" applyBorder="1" applyFont="1">
      <alignment horizontal="center" readingOrder="0" shrinkToFit="0" vertical="bottom" wrapText="0"/>
    </xf>
    <xf borderId="4" fillId="6" fontId="14" numFmtId="0" xfId="0" applyAlignment="1" applyBorder="1" applyFont="1">
      <alignment horizontal="center" readingOrder="0" shrinkToFit="0" vertical="bottom" wrapText="0"/>
    </xf>
    <xf borderId="8" fillId="6" fontId="14" numFmtId="0" xfId="0" applyAlignment="1" applyBorder="1" applyFont="1">
      <alignment shrinkToFit="0" vertical="bottom" wrapText="0"/>
    </xf>
    <xf borderId="8" fillId="5" fontId="14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horizontal="right" readingOrder="0" shrinkToFit="0" vertical="bottom" wrapText="0"/>
    </xf>
    <xf borderId="8" fillId="0" fontId="8" numFmtId="0" xfId="0" applyAlignment="1" applyBorder="1" applyFont="1">
      <alignment horizontal="center" shrinkToFit="0" wrapText="0"/>
    </xf>
    <xf borderId="4" fillId="6" fontId="6" numFmtId="0" xfId="0" applyAlignment="1" applyBorder="1" applyFont="1">
      <alignment horizontal="center" readingOrder="0" shrinkToFit="0" vertical="bottom" wrapText="0"/>
    </xf>
    <xf borderId="8" fillId="6" fontId="6" numFmtId="0" xfId="0" applyAlignment="1" applyBorder="1" applyFont="1">
      <alignment horizontal="center" readingOrder="0" shrinkToFit="0" vertical="bottom" wrapText="0"/>
    </xf>
    <xf borderId="8" fillId="2" fontId="6" numFmtId="0" xfId="0" applyAlignment="1" applyBorder="1" applyFont="1">
      <alignment horizontal="center" shrinkToFit="0" vertical="bottom" wrapText="0"/>
    </xf>
    <xf borderId="8" fillId="4" fontId="6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horizontal="center" shrinkToFit="0" vertical="bottom" wrapText="0"/>
    </xf>
    <xf borderId="8" fillId="8" fontId="6" numFmtId="0" xfId="0" applyAlignment="1" applyBorder="1" applyFont="1">
      <alignment horizontal="center" shrinkToFit="0" vertical="bottom" wrapText="0"/>
    </xf>
    <xf borderId="10" fillId="6" fontId="1" numFmtId="0" xfId="0" applyAlignment="1" applyBorder="1" applyFont="1">
      <alignment horizontal="center" readingOrder="0" shrinkToFit="0" vertical="bottom" wrapText="0"/>
    </xf>
    <xf borderId="11" fillId="6" fontId="1" numFmtId="0" xfId="0" applyAlignment="1" applyBorder="1" applyFont="1">
      <alignment horizontal="center" readingOrder="0" shrinkToFit="0" vertical="bottom" wrapText="0"/>
    </xf>
    <xf borderId="7" fillId="0" fontId="8" numFmtId="0" xfId="0" applyAlignment="1" applyBorder="1" applyFont="1">
      <alignment horizontal="left" readingOrder="0" shrinkToFit="0" wrapText="0"/>
    </xf>
    <xf borderId="12" fillId="0" fontId="8" numFmtId="0" xfId="0" applyAlignment="1" applyBorder="1" applyFont="1">
      <alignment horizontal="center" readingOrder="0" shrinkToFit="0" wrapText="0"/>
    </xf>
    <xf borderId="12" fillId="0" fontId="1" numFmtId="0" xfId="0" applyAlignment="1" applyBorder="1" applyFont="1">
      <alignment horizontal="right" readingOrder="0" shrinkToFit="0" vertical="bottom" wrapText="0"/>
    </xf>
    <xf borderId="12" fillId="2" fontId="1" numFmtId="0" xfId="0" applyAlignment="1" applyBorder="1" applyFont="1">
      <alignment horizontal="center" shrinkToFit="0" vertical="bottom" wrapText="0"/>
    </xf>
    <xf borderId="12" fillId="0" fontId="1" numFmtId="0" xfId="0" applyAlignment="1" applyBorder="1" applyFont="1">
      <alignment horizontal="center" shrinkToFit="0" vertical="bottom" wrapText="0"/>
    </xf>
    <xf borderId="12" fillId="2" fontId="1" numFmtId="0" xfId="0" applyAlignment="1" applyBorder="1" applyFont="1">
      <alignment shrinkToFit="0" vertical="bottom" wrapText="0"/>
    </xf>
    <xf borderId="12" fillId="4" fontId="1" numFmtId="0" xfId="0" applyAlignment="1" applyBorder="1" applyFont="1">
      <alignment shrinkToFit="0" vertical="bottom" wrapText="0"/>
    </xf>
    <xf borderId="12" fillId="6" fontId="1" numFmtId="0" xfId="0" applyAlignment="1" applyBorder="1" applyFont="1">
      <alignment shrinkToFit="0" vertical="bottom" wrapText="0"/>
    </xf>
    <xf borderId="13" fillId="0" fontId="8" numFmtId="0" xfId="0" applyAlignment="1" applyBorder="1" applyFont="1">
      <alignment horizontal="left" readingOrder="0" shrinkToFit="0" wrapText="0"/>
    </xf>
    <xf borderId="14" fillId="0" fontId="7" numFmtId="0" xfId="0" applyBorder="1" applyFont="1"/>
    <xf borderId="15" fillId="0" fontId="7" numFmtId="0" xfId="0" applyBorder="1" applyFont="1"/>
    <xf borderId="12" fillId="6" fontId="1" numFmtId="0" xfId="0" applyAlignment="1" applyBorder="1" applyFont="1">
      <alignment horizontal="center"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6" fontId="1" numFmtId="0" xfId="0" applyAlignment="1" applyBorder="1" applyFont="1">
      <alignment horizontal="center" shrinkToFit="0" vertical="bottom" wrapText="0"/>
    </xf>
    <xf borderId="6" fillId="6" fontId="1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6" fillId="6" fontId="1" numFmtId="0" xfId="0" applyAlignment="1" applyBorder="1" applyFont="1">
      <alignment shrinkToFit="0" vertical="bottom" wrapText="0"/>
    </xf>
    <xf borderId="6" fillId="6" fontId="1" numFmtId="0" xfId="0" applyAlignment="1" applyBorder="1" applyFont="1">
      <alignment readingOrder="0" shrinkToFit="0" vertical="bottom" wrapText="0"/>
    </xf>
    <xf borderId="12" fillId="0" fontId="8" numFmtId="0" xfId="0" applyAlignment="1" applyBorder="1" applyFont="1">
      <alignment horizontal="center" shrinkToFit="0" wrapText="0"/>
    </xf>
    <xf borderId="12" fillId="0" fontId="1" numFmtId="0" xfId="0" applyAlignment="1" applyBorder="1" applyFont="1">
      <alignment shrinkToFit="0" vertical="bottom" wrapText="0"/>
    </xf>
    <xf borderId="12" fillId="4" fontId="1" numFmtId="0" xfId="0" applyAlignment="1" applyBorder="1" applyFont="1">
      <alignment horizontal="center" readingOrder="0" shrinkToFit="0" vertical="bottom" wrapText="0"/>
    </xf>
    <xf borderId="12" fillId="4" fontId="1" numFmtId="0" xfId="0" applyAlignment="1" applyBorder="1" applyFont="1">
      <alignment horizontal="center" shrinkToFit="0" vertical="bottom" wrapText="0"/>
    </xf>
    <xf borderId="12" fillId="4" fontId="1" numFmtId="0" xfId="0" applyAlignment="1" applyBorder="1" applyFont="1">
      <alignment readingOrder="0" shrinkToFit="0" vertical="bottom" wrapText="0"/>
    </xf>
    <xf borderId="6" fillId="4" fontId="1" numFmtId="0" xfId="0" applyAlignment="1" applyBorder="1" applyFont="1">
      <alignment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2" fillId="6" fontId="1" numFmtId="0" xfId="0" applyAlignment="1" applyBorder="1" applyFont="1">
      <alignment horizontal="center" readingOrder="0" shrinkToFit="0" vertical="bottom" wrapText="0"/>
    </xf>
    <xf borderId="12" fillId="6" fontId="1" numFmtId="0" xfId="0" applyAlignment="1" applyBorder="1" applyFont="1">
      <alignment readingOrder="0" shrinkToFit="0" vertical="bottom" wrapText="0"/>
    </xf>
    <xf borderId="12" fillId="2" fontId="1" numFmtId="0" xfId="0" applyAlignment="1" applyBorder="1" applyFont="1">
      <alignment horizontal="center" readingOrder="0" shrinkToFit="0" vertical="bottom" wrapText="0"/>
    </xf>
    <xf borderId="12" fillId="0" fontId="1" numFmtId="0" xfId="0" applyAlignment="1" applyBorder="1" applyFont="1">
      <alignment horizontal="center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7" fontId="1" numFmtId="0" xfId="0" applyAlignment="1" applyBorder="1" applyFont="1">
      <alignment horizontal="center" shrinkToFit="0" vertical="bottom" wrapText="0"/>
    </xf>
    <xf borderId="12" fillId="7" fontId="1" numFmtId="0" xfId="0" applyAlignment="1" applyBorder="1" applyFont="1">
      <alignment horizontal="center" readingOrder="0" shrinkToFit="0" vertical="bottom" wrapText="0"/>
    </xf>
    <xf borderId="12" fillId="7" fontId="1" numFmtId="0" xfId="0" applyAlignment="1" applyBorder="1" applyFont="1">
      <alignment readingOrder="0" shrinkToFit="0" vertical="bottom" wrapText="0"/>
    </xf>
    <xf borderId="12" fillId="7" fontId="1" numFmtId="0" xfId="0" applyAlignment="1" applyBorder="1" applyFont="1">
      <alignment shrinkToFit="0" vertical="bottom" wrapText="0"/>
    </xf>
    <xf borderId="6" fillId="7" fontId="1" numFmtId="0" xfId="0" applyAlignment="1" applyBorder="1" applyFont="1">
      <alignment readingOrder="0" shrinkToFit="0" vertical="bottom" wrapText="0"/>
    </xf>
    <xf borderId="8" fillId="7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3" fillId="7" fontId="20" numFmtId="0" xfId="0" applyBorder="1" applyFont="1"/>
    <xf borderId="3" fillId="6" fontId="20" numFmtId="0" xfId="0" applyBorder="1" applyFont="1"/>
    <xf borderId="0" fillId="0" fontId="21" numFmtId="0" xfId="0" applyAlignment="1" applyFont="1">
      <alignment readingOrder="0" shrinkToFit="0" vertical="bottom" wrapText="0"/>
    </xf>
    <xf borderId="4" fillId="0" fontId="8" numFmtId="0" xfId="0" applyAlignment="1" applyBorder="1" applyFont="1">
      <alignment horizontal="center" readingOrder="0" shrinkToFit="0" wrapText="0"/>
    </xf>
    <xf borderId="8" fillId="4" fontId="6" numFmtId="0" xfId="0" applyAlignment="1" applyBorder="1" applyFont="1">
      <alignment horizontal="center" shrinkToFit="0" wrapText="0"/>
    </xf>
    <xf borderId="8" fillId="0" fontId="13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horizontal="center" shrinkToFit="0" wrapText="0"/>
    </xf>
    <xf borderId="6" fillId="2" fontId="1" numFmtId="0" xfId="0" applyAlignment="1" applyBorder="1" applyFont="1">
      <alignment horizontal="center" readingOrder="0" shrinkToFit="0" vertical="bottom" wrapText="0"/>
    </xf>
    <xf borderId="6" fillId="2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4" fontId="1" numFmtId="0" xfId="0" applyAlignment="1" applyBorder="1" applyFont="1">
      <alignment horizontal="center" readingOrder="0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7" fontId="1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shrinkToFit="0" wrapText="0"/>
    </xf>
    <xf borderId="0" fillId="0" fontId="8" numFmtId="0" xfId="0" applyAlignment="1" applyFont="1">
      <alignment horizontal="center" readingOrder="0" shrinkToFit="0" wrapText="0"/>
    </xf>
    <xf borderId="0" fillId="0" fontId="21" numFmtId="0" xfId="0" applyAlignment="1" applyFont="1">
      <alignment horizontal="left" readingOrder="0" shrinkToFit="0" wrapText="0"/>
    </xf>
    <xf borderId="0" fillId="0" fontId="22" numFmtId="0" xfId="0" applyAlignment="1" applyFont="1">
      <alignment horizontal="left" readingOrder="0" shrinkToFit="0" wrapText="0"/>
    </xf>
    <xf borderId="0" fillId="0" fontId="23" numFmtId="0" xfId="0" applyAlignment="1" applyFont="1">
      <alignment readingOrder="0"/>
    </xf>
    <xf borderId="8" fillId="4" fontId="12" numFmtId="0" xfId="0" applyAlignment="1" applyBorder="1" applyFont="1">
      <alignment horizontal="center" shrinkToFit="0" vertical="bottom" wrapText="0"/>
    </xf>
    <xf borderId="8" fillId="2" fontId="24" numFmtId="0" xfId="0" applyAlignment="1" applyBorder="1" applyFont="1">
      <alignment shrinkToFit="0" vertical="bottom" wrapText="0"/>
    </xf>
    <xf borderId="11" fillId="4" fontId="1" numFmtId="0" xfId="0" applyAlignment="1" applyBorder="1" applyFont="1">
      <alignment shrinkToFit="0" vertical="bottom" wrapText="0"/>
    </xf>
    <xf borderId="6" fillId="2" fontId="24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6" fillId="4" fontId="10" numFmtId="0" xfId="0" applyAlignment="1" applyBorder="1" applyFont="1">
      <alignment horizontal="center" readingOrder="0" shrinkToFit="0" vertical="bottom" wrapText="0"/>
    </xf>
    <xf borderId="7" fillId="3" fontId="9" numFmtId="0" xfId="0" applyAlignment="1" applyBorder="1" applyFont="1">
      <alignment horizontal="center"/>
    </xf>
    <xf borderId="3" fillId="3" fontId="9" numFmtId="0" xfId="0" applyAlignment="1" applyBorder="1" applyFont="1">
      <alignment horizontal="center"/>
    </xf>
    <xf borderId="4" fillId="0" fontId="25" numFmtId="0" xfId="0" applyAlignment="1" applyBorder="1" applyFont="1">
      <alignment horizontal="left" readingOrder="0" shrinkToFit="0" wrapText="0"/>
    </xf>
    <xf borderId="3" fillId="0" fontId="13" numFmtId="0" xfId="0" applyAlignment="1" applyBorder="1" applyFont="1">
      <alignment shrinkToFit="0" vertical="bottom" wrapText="0"/>
    </xf>
    <xf borderId="3" fillId="2" fontId="13" numFmtId="0" xfId="0" applyAlignment="1" applyBorder="1" applyFont="1">
      <alignment readingOrder="0" shrinkToFit="0" vertical="bottom" wrapText="0"/>
    </xf>
    <xf borderId="4" fillId="0" fontId="11" numFmtId="0" xfId="0" applyAlignment="1" applyBorder="1" applyFont="1">
      <alignment readingOrder="0" vertical="bottom"/>
    </xf>
    <xf borderId="3" fillId="0" fontId="16" numFmtId="0" xfId="0" applyAlignment="1" applyBorder="1" applyFont="1">
      <alignment horizontal="center" readingOrder="0" vertical="bottom"/>
    </xf>
    <xf borderId="3" fillId="0" fontId="16" numFmtId="0" xfId="0" applyAlignment="1" applyBorder="1" applyFont="1">
      <alignment readingOrder="0" vertical="bottom"/>
    </xf>
    <xf borderId="7" fillId="9" fontId="17" numFmtId="0" xfId="0" applyAlignment="1" applyBorder="1" applyFill="1" applyFont="1">
      <alignment horizontal="center" vertical="bottom"/>
    </xf>
    <xf borderId="7" fillId="10" fontId="17" numFmtId="0" xfId="0" applyAlignment="1" applyBorder="1" applyFill="1" applyFont="1">
      <alignment horizontal="center" vertical="bottom"/>
    </xf>
    <xf borderId="3" fillId="0" fontId="10" numFmtId="0" xfId="0" applyAlignment="1" applyBorder="1" applyFont="1">
      <alignment horizontal="center" vertical="bottom"/>
    </xf>
    <xf borderId="3" fillId="0" fontId="16" numFmtId="0" xfId="0" applyAlignment="1" applyBorder="1" applyFont="1">
      <alignment horizontal="center" vertical="bottom"/>
    </xf>
    <xf borderId="3" fillId="4" fontId="16" numFmtId="0" xfId="0" applyAlignment="1" applyBorder="1" applyFont="1">
      <alignment vertical="bottom"/>
    </xf>
    <xf borderId="3" fillId="4" fontId="16" numFmtId="0" xfId="0" applyAlignment="1" applyBorder="1" applyFont="1">
      <alignment horizontal="center" vertical="bottom"/>
    </xf>
    <xf borderId="3" fillId="4" fontId="16" numFmtId="0" xfId="0" applyAlignment="1" applyBorder="1" applyFont="1">
      <alignment vertical="bottom"/>
    </xf>
    <xf borderId="3" fillId="3" fontId="16" numFmtId="0" xfId="0" applyAlignment="1" applyBorder="1" applyFont="1">
      <alignment vertical="bottom"/>
    </xf>
    <xf borderId="3" fillId="0" fontId="26" numFmtId="0" xfId="0" applyAlignment="1" applyBorder="1" applyFont="1">
      <alignment horizontal="center" readingOrder="0" shrinkToFit="0" vertical="bottom" wrapText="0"/>
    </xf>
    <xf borderId="3" fillId="4" fontId="24" numFmtId="0" xfId="0" applyAlignment="1" applyBorder="1" applyFont="1">
      <alignment shrinkToFit="0" vertical="bottom" wrapText="0"/>
    </xf>
    <xf borderId="0" fillId="0" fontId="20" numFmtId="0" xfId="0" applyAlignment="1" applyFont="1">
      <alignment horizontal="center"/>
    </xf>
    <xf borderId="3" fillId="4" fontId="20" numFmtId="0" xfId="0" applyAlignment="1" applyBorder="1" applyFont="1">
      <alignment readingOrder="0"/>
    </xf>
    <xf borderId="3" fillId="6" fontId="9" numFmtId="0" xfId="0" applyAlignment="1" applyBorder="1" applyFont="1">
      <alignment horizontal="center"/>
    </xf>
    <xf borderId="7" fillId="6" fontId="9" numFmtId="0" xfId="0" applyAlignment="1" applyBorder="1" applyFont="1">
      <alignment horizontal="center"/>
    </xf>
    <xf borderId="3" fillId="4" fontId="24" numFmtId="0" xfId="0" applyAlignment="1" applyBorder="1" applyFont="1">
      <alignment readingOrder="0" shrinkToFit="0" vertical="bottom" wrapText="0"/>
    </xf>
    <xf borderId="3" fillId="2" fontId="24" numFmtId="0" xfId="0" applyAlignment="1" applyBorder="1" applyFont="1">
      <alignment shrinkToFit="0" vertical="bottom" wrapText="0"/>
    </xf>
    <xf borderId="3" fillId="0" fontId="15" numFmtId="0" xfId="0" applyAlignment="1" applyBorder="1" applyFont="1">
      <alignment readingOrder="0"/>
    </xf>
    <xf borderId="3" fillId="0" fontId="11" numFmtId="0" xfId="0" applyAlignment="1" applyBorder="1" applyFont="1">
      <alignment vertical="bottom"/>
    </xf>
    <xf borderId="3" fillId="0" fontId="19" numFmtId="0" xfId="0" applyAlignment="1" applyBorder="1" applyFont="1">
      <alignment readingOrder="0" vertical="bottom"/>
    </xf>
    <xf borderId="3" fillId="7" fontId="1" numFmtId="0" xfId="0" applyAlignment="1" applyBorder="1" applyFont="1">
      <alignment horizontal="center" readingOrder="0" shrinkToFit="0" vertical="bottom" wrapText="0"/>
    </xf>
    <xf borderId="3" fillId="4" fontId="10" numFmtId="0" xfId="0" applyAlignment="1" applyBorder="1" applyFont="1">
      <alignment horizontal="center" readingOrder="0" shrinkToFit="0" vertical="bottom" wrapText="0"/>
    </xf>
    <xf borderId="3" fillId="7" fontId="1" numFmtId="0" xfId="0" applyAlignment="1" applyBorder="1" applyFont="1">
      <alignment readingOrder="0" shrinkToFit="0" vertical="bottom" wrapText="0"/>
    </xf>
    <xf borderId="3" fillId="4" fontId="20" numFmtId="0" xfId="0" applyAlignment="1" applyBorder="1" applyFont="1">
      <alignment horizontal="center"/>
    </xf>
    <xf borderId="3" fillId="0" fontId="20" numFmtId="0" xfId="0" applyAlignment="1" applyBorder="1" applyFont="1">
      <alignment horizontal="center"/>
    </xf>
    <xf borderId="3" fillId="0" fontId="6" numFmtId="0" xfId="0" applyAlignment="1" applyBorder="1" applyFont="1">
      <alignment horizontal="center" shrinkToFit="0" wrapText="0"/>
    </xf>
    <xf borderId="3" fillId="0" fontId="12" numFmtId="0" xfId="0" applyAlignment="1" applyBorder="1" applyFont="1">
      <alignment horizontal="center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3" fillId="0" fontId="24" numFmtId="0" xfId="0" applyAlignment="1" applyBorder="1" applyFont="1">
      <alignment shrinkToFit="0" vertical="bottom" wrapText="0"/>
    </xf>
    <xf borderId="12" fillId="3" fontId="9" numFmtId="0" xfId="0" applyAlignment="1" applyBorder="1" applyFont="1">
      <alignment horizontal="center"/>
    </xf>
    <xf borderId="8" fillId="0" fontId="7" numFmtId="0" xfId="0" applyBorder="1" applyFont="1"/>
    <xf borderId="3" fillId="0" fontId="6" numFmtId="0" xfId="0" applyAlignment="1" applyBorder="1" applyFont="1">
      <alignment horizontal="center" shrinkToFit="0" vertical="bottom" wrapText="0"/>
    </xf>
    <xf borderId="3" fillId="0" fontId="20" numFmtId="0" xfId="0" applyAlignment="1" applyBorder="1" applyFont="1">
      <alignment readingOrder="0"/>
    </xf>
    <xf borderId="3" fillId="7" fontId="20" numFmtId="0" xfId="0" applyAlignment="1" applyBorder="1" applyFont="1">
      <alignment horizontal="center"/>
    </xf>
    <xf borderId="3" fillId="0" fontId="13" numFmtId="0" xfId="0" applyAlignment="1" applyBorder="1" applyFont="1">
      <alignment readingOrder="0" shrinkToFit="0" vertical="bottom" wrapText="0"/>
    </xf>
    <xf borderId="3" fillId="0" fontId="27" numFmtId="0" xfId="0" applyAlignment="1" applyBorder="1" applyFont="1">
      <alignment horizontal="center" readingOrder="0" shrinkToFit="0" vertical="bottom" wrapText="0"/>
    </xf>
    <xf borderId="3" fillId="7" fontId="10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8.0" topLeftCell="I9" activePane="bottomRight" state="frozen"/>
      <selection activeCell="I1" sqref="I1" pane="topRight"/>
      <selection activeCell="A9" sqref="A9" pane="bottomLeft"/>
      <selection activeCell="I9" sqref="I9" pane="bottomRight"/>
    </sheetView>
  </sheetViews>
  <sheetFormatPr customHeight="1" defaultColWidth="12.63" defaultRowHeight="15.75"/>
  <cols>
    <col customWidth="1" min="1" max="1" width="10.75"/>
    <col customWidth="1" min="4" max="4" width="0.38"/>
    <col customWidth="1" min="5" max="5" width="3.5"/>
    <col customWidth="1" min="6" max="6" width="4.75"/>
    <col customWidth="1" min="7" max="7" width="7.25"/>
    <col customWidth="1" min="8" max="8" width="4.25"/>
    <col customWidth="1" min="9" max="9" width="5.88"/>
    <col customWidth="1" hidden="1" min="10" max="10" width="5.88"/>
    <col customWidth="1" min="11" max="11" width="5.88"/>
    <col customWidth="1" min="12" max="12" width="7.75"/>
    <col customWidth="1" min="13" max="14" width="5.88"/>
    <col customWidth="1" min="15" max="15" width="6.13"/>
    <col customWidth="1" min="16" max="16" width="5.88"/>
    <col customWidth="1" hidden="1" min="17" max="17" width="5.88"/>
    <col customWidth="1" min="18" max="23" width="5.88"/>
    <col customWidth="1" hidden="1" min="24" max="25" width="5.88"/>
    <col customWidth="1" min="26" max="30" width="5.88"/>
    <col customWidth="1" hidden="1" min="31" max="31" width="5.88"/>
    <col customWidth="1" min="32" max="37" width="5.88"/>
    <col customWidth="1" hidden="1" min="38" max="38" width="5.88"/>
    <col customWidth="1" hidden="1" min="39" max="39" width="5.75"/>
    <col customWidth="1" min="40" max="40" width="12.63"/>
    <col customWidth="1" min="41" max="41" width="13.38"/>
    <col customWidth="1" min="42" max="42" width="2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>
      <c r="A3" s="2"/>
      <c r="B3" s="2"/>
      <c r="C3" s="2"/>
      <c r="D3" s="2"/>
      <c r="E3" s="2"/>
      <c r="F3" s="2"/>
      <c r="G3" s="2"/>
      <c r="H3" s="2"/>
      <c r="I3" s="2"/>
      <c r="J3" s="1" t="s">
        <v>3</v>
      </c>
      <c r="K3" s="2"/>
      <c r="L3" s="4" t="s">
        <v>4</v>
      </c>
      <c r="M3" s="4">
        <v>849.0</v>
      </c>
      <c r="N3" s="2"/>
      <c r="O3" s="1" t="s">
        <v>5</v>
      </c>
      <c r="P3" s="5">
        <v>45472.0</v>
      </c>
      <c r="S3" s="2"/>
      <c r="T3" s="2"/>
      <c r="U3" s="1" t="s">
        <v>6</v>
      </c>
      <c r="V3" s="2"/>
      <c r="W3" s="2"/>
      <c r="X3" s="2"/>
      <c r="Y3" s="2"/>
      <c r="AA3" s="6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>
      <c r="F4" s="2"/>
      <c r="G4" s="7" t="s">
        <v>7</v>
      </c>
      <c r="H4" s="7">
        <v>30.0</v>
      </c>
      <c r="I4" s="8"/>
      <c r="J4" s="8"/>
      <c r="K4" s="8"/>
      <c r="L4" s="7" t="s">
        <v>8</v>
      </c>
      <c r="M4" s="7">
        <v>852.0</v>
      </c>
      <c r="N4" s="8"/>
      <c r="O4" s="9"/>
      <c r="P4" s="8"/>
      <c r="Q4" s="8"/>
      <c r="R4" s="2"/>
      <c r="S4" s="2"/>
      <c r="T4" s="2"/>
      <c r="U4" s="1" t="s">
        <v>9</v>
      </c>
      <c r="V4" s="2"/>
      <c r="W4" s="2"/>
      <c r="X4" s="2"/>
      <c r="Y4" s="2"/>
      <c r="Z4" s="2"/>
      <c r="AA4" s="10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>
      <c r="A5" s="11" t="s">
        <v>10</v>
      </c>
      <c r="F5" s="2"/>
      <c r="G5" s="8"/>
      <c r="H5" s="8"/>
      <c r="I5" s="8"/>
      <c r="J5" s="8"/>
      <c r="K5" s="8"/>
      <c r="L5" s="7" t="s">
        <v>11</v>
      </c>
      <c r="M5" s="7">
        <v>848.0</v>
      </c>
      <c r="N5" s="8"/>
      <c r="O5" s="8"/>
      <c r="P5" s="8"/>
      <c r="Q5" s="8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>
      <c r="A6" s="2"/>
      <c r="B6" s="2"/>
      <c r="C6" s="2"/>
      <c r="D6" s="2"/>
      <c r="E6" s="12"/>
      <c r="F6" s="12"/>
      <c r="G6" s="8"/>
      <c r="H6" s="8"/>
      <c r="I6" s="8"/>
      <c r="J6" s="8"/>
      <c r="K6" s="8"/>
      <c r="L6" s="7" t="s">
        <v>12</v>
      </c>
      <c r="M6" s="7">
        <v>846.0</v>
      </c>
      <c r="N6" s="8"/>
      <c r="O6" s="8"/>
      <c r="P6" s="8"/>
      <c r="Q6" s="8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>
      <c r="A7" s="13" t="s">
        <v>13</v>
      </c>
      <c r="F7" s="12" t="s">
        <v>14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>
      <c r="A8" s="2"/>
      <c r="B8" s="2"/>
      <c r="C8" s="2"/>
      <c r="D8" s="2"/>
      <c r="E8" s="2"/>
      <c r="F8" s="2"/>
      <c r="G8" s="12" t="s">
        <v>15</v>
      </c>
      <c r="H8" s="8"/>
      <c r="I8" s="14">
        <v>45444.0</v>
      </c>
      <c r="J8" s="14">
        <v>45445.0</v>
      </c>
      <c r="K8" s="14">
        <v>45446.0</v>
      </c>
      <c r="L8" s="14">
        <v>45447.0</v>
      </c>
      <c r="M8" s="14">
        <v>45448.0</v>
      </c>
      <c r="N8" s="14">
        <v>45449.0</v>
      </c>
      <c r="O8" s="14">
        <v>45450.0</v>
      </c>
      <c r="P8" s="14">
        <v>45451.0</v>
      </c>
      <c r="Q8" s="14">
        <v>45452.0</v>
      </c>
      <c r="R8" s="15">
        <v>45453.0</v>
      </c>
      <c r="S8" s="15">
        <v>45454.0</v>
      </c>
      <c r="T8" s="15">
        <v>45455.0</v>
      </c>
      <c r="U8" s="15">
        <v>45456.0</v>
      </c>
      <c r="V8" s="15">
        <v>45457.0</v>
      </c>
      <c r="W8" s="15">
        <v>45458.0</v>
      </c>
      <c r="X8" s="15">
        <v>45459.0</v>
      </c>
      <c r="Y8" s="15">
        <v>45460.0</v>
      </c>
      <c r="Z8" s="15">
        <v>45461.0</v>
      </c>
      <c r="AA8" s="15">
        <v>45462.0</v>
      </c>
      <c r="AB8" s="15">
        <v>45463.0</v>
      </c>
      <c r="AC8" s="15">
        <v>45464.0</v>
      </c>
      <c r="AD8" s="15">
        <v>45465.0</v>
      </c>
      <c r="AE8" s="15">
        <v>45466.0</v>
      </c>
      <c r="AF8" s="15">
        <v>45467.0</v>
      </c>
      <c r="AG8" s="15">
        <v>45468.0</v>
      </c>
      <c r="AH8" s="15">
        <v>45469.0</v>
      </c>
      <c r="AI8" s="15">
        <v>45470.0</v>
      </c>
      <c r="AJ8" s="15">
        <v>45471.0</v>
      </c>
      <c r="AK8" s="15">
        <v>45472.0</v>
      </c>
      <c r="AL8" s="15">
        <v>45473.0</v>
      </c>
      <c r="AM8" s="8"/>
      <c r="AN8" s="13" t="s">
        <v>16</v>
      </c>
      <c r="AO8" s="13" t="s">
        <v>17</v>
      </c>
      <c r="AP8" s="13" t="s">
        <v>18</v>
      </c>
    </row>
    <row r="9">
      <c r="A9" s="16" t="s">
        <v>19</v>
      </c>
      <c r="B9" s="17"/>
      <c r="C9" s="17"/>
      <c r="D9" s="17"/>
      <c r="E9" s="17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  <c r="S9" s="20"/>
      <c r="T9" s="20"/>
      <c r="U9" s="20"/>
      <c r="V9" s="20"/>
      <c r="W9" s="20"/>
      <c r="X9" s="20"/>
      <c r="Y9" s="20"/>
      <c r="Z9" s="20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2"/>
      <c r="AO9" s="23"/>
      <c r="AP9" s="23"/>
    </row>
    <row r="10">
      <c r="A10" s="24" t="s">
        <v>20</v>
      </c>
      <c r="B10" s="17"/>
      <c r="C10" s="17"/>
      <c r="D10" s="18"/>
      <c r="E10" s="25">
        <v>1.0</v>
      </c>
      <c r="F10" s="25" t="s">
        <v>21</v>
      </c>
      <c r="G10" s="7">
        <v>320.0</v>
      </c>
      <c r="H10" s="7" t="s">
        <v>22</v>
      </c>
      <c r="I10" s="26"/>
      <c r="J10" s="26"/>
      <c r="K10" s="26"/>
      <c r="L10" s="26"/>
      <c r="M10" s="26"/>
      <c r="N10" s="26"/>
      <c r="O10" s="26"/>
      <c r="P10" s="26"/>
      <c r="Q10" s="26"/>
      <c r="R10" s="27"/>
      <c r="S10" s="27"/>
      <c r="T10" s="27"/>
      <c r="U10" s="28">
        <v>120.0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8">
        <v>120.0</v>
      </c>
      <c r="AL10" s="27"/>
      <c r="AM10" s="27"/>
      <c r="AN10" s="29">
        <f>G10+SUM(I10:AM10)-SUM(I11:AM11)</f>
        <v>120</v>
      </c>
      <c r="AO10" s="30">
        <f>ROUNDDOWN((AN10/E10)/$H$4,1)</f>
        <v>4</v>
      </c>
      <c r="AP10" s="30">
        <f>$M$4+AO10</f>
        <v>856</v>
      </c>
    </row>
    <row r="11">
      <c r="A11" s="31"/>
      <c r="B11" s="17"/>
      <c r="C11" s="17"/>
      <c r="D11" s="17"/>
      <c r="E11" s="17"/>
      <c r="F11" s="18"/>
      <c r="G11" s="26"/>
      <c r="H11" s="7" t="s">
        <v>23</v>
      </c>
      <c r="I11" s="26"/>
      <c r="J11" s="26"/>
      <c r="K11" s="26"/>
      <c r="L11" s="26"/>
      <c r="M11" s="26"/>
      <c r="N11" s="26"/>
      <c r="O11" s="26"/>
      <c r="P11" s="7">
        <v>300.0</v>
      </c>
      <c r="Q11" s="26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8">
        <v>140.0</v>
      </c>
      <c r="AK11" s="27"/>
      <c r="AL11" s="27"/>
      <c r="AM11" s="27"/>
      <c r="AN11" s="32"/>
    </row>
    <row r="12">
      <c r="A12" s="33"/>
      <c r="B12" s="33"/>
      <c r="C12" s="33"/>
      <c r="D12" s="33"/>
      <c r="E12" s="25"/>
      <c r="F12" s="25"/>
      <c r="G12" s="34"/>
      <c r="H12" s="7"/>
      <c r="I12" s="35"/>
      <c r="J12" s="36"/>
      <c r="K12" s="36"/>
      <c r="L12" s="36"/>
      <c r="M12" s="36"/>
      <c r="N12" s="36"/>
      <c r="O12" s="36"/>
      <c r="P12" s="37"/>
      <c r="Q12" s="37"/>
      <c r="R12" s="10"/>
      <c r="S12" s="10"/>
      <c r="T12" s="10"/>
      <c r="U12" s="6"/>
      <c r="V12" s="38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38"/>
      <c r="AI12" s="10"/>
      <c r="AJ12" s="27"/>
      <c r="AK12" s="27"/>
      <c r="AL12" s="27"/>
      <c r="AM12" s="27"/>
      <c r="AN12" s="39"/>
      <c r="AO12" s="30"/>
      <c r="AP12" s="30"/>
    </row>
    <row r="13">
      <c r="A13" s="24" t="s">
        <v>24</v>
      </c>
      <c r="B13" s="17"/>
      <c r="C13" s="17"/>
      <c r="D13" s="18"/>
      <c r="E13" s="25">
        <v>1.0</v>
      </c>
      <c r="F13" s="25" t="s">
        <v>21</v>
      </c>
      <c r="G13" s="34">
        <v>600.0</v>
      </c>
      <c r="H13" s="7" t="s">
        <v>22</v>
      </c>
      <c r="I13" s="7">
        <v>420.0</v>
      </c>
      <c r="J13" s="26"/>
      <c r="K13" s="26"/>
      <c r="L13" s="26"/>
      <c r="M13" s="26"/>
      <c r="N13" s="26"/>
      <c r="O13" s="26"/>
      <c r="P13" s="26"/>
      <c r="Q13" s="26"/>
      <c r="R13" s="27"/>
      <c r="S13" s="27"/>
      <c r="T13" s="27"/>
      <c r="U13" s="27"/>
      <c r="V13" s="28">
        <v>600.0</v>
      </c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9">
        <f>G13+SUM(I13:AM13)-SUM(I14:AM14)</f>
        <v>1140</v>
      </c>
      <c r="AO13" s="30">
        <f>ROUNDDOWN((AN13/E13)/$H$4,1)</f>
        <v>38</v>
      </c>
      <c r="AP13" s="30">
        <f>$M$4+AO13</f>
        <v>890</v>
      </c>
    </row>
    <row r="14">
      <c r="A14" s="31"/>
      <c r="B14" s="17"/>
      <c r="C14" s="17"/>
      <c r="D14" s="17"/>
      <c r="E14" s="17"/>
      <c r="F14" s="18"/>
      <c r="G14" s="40"/>
      <c r="H14" s="7" t="s">
        <v>23</v>
      </c>
      <c r="I14" s="26"/>
      <c r="J14" s="26"/>
      <c r="K14" s="26"/>
      <c r="L14" s="26"/>
      <c r="M14" s="7">
        <v>60.0</v>
      </c>
      <c r="N14" s="26"/>
      <c r="O14" s="7">
        <v>60.0</v>
      </c>
      <c r="P14" s="26"/>
      <c r="Q14" s="26"/>
      <c r="R14" s="27"/>
      <c r="S14" s="28">
        <v>60.0</v>
      </c>
      <c r="T14" s="27"/>
      <c r="U14" s="27"/>
      <c r="V14" s="28">
        <v>60.0</v>
      </c>
      <c r="W14" s="27"/>
      <c r="X14" s="27"/>
      <c r="Y14" s="27"/>
      <c r="Z14" s="27"/>
      <c r="AA14" s="27"/>
      <c r="AB14" s="28">
        <v>60.0</v>
      </c>
      <c r="AC14" s="28">
        <v>60.0</v>
      </c>
      <c r="AD14" s="27"/>
      <c r="AE14" s="27"/>
      <c r="AF14" s="27"/>
      <c r="AG14" s="27"/>
      <c r="AH14" s="28">
        <v>60.0</v>
      </c>
      <c r="AI14" s="27"/>
      <c r="AJ14" s="28">
        <v>60.0</v>
      </c>
      <c r="AK14" s="27"/>
      <c r="AL14" s="27"/>
      <c r="AM14" s="27"/>
      <c r="AN14" s="32"/>
    </row>
    <row r="15">
      <c r="A15" s="33"/>
      <c r="B15" s="33"/>
      <c r="C15" s="33"/>
      <c r="D15" s="33"/>
      <c r="E15" s="25"/>
      <c r="F15" s="25"/>
      <c r="G15" s="7"/>
      <c r="H15" s="7"/>
      <c r="I15" s="41"/>
      <c r="J15" s="37"/>
      <c r="K15" s="36"/>
      <c r="L15" s="36"/>
      <c r="M15" s="37"/>
      <c r="N15" s="36"/>
      <c r="O15" s="41"/>
      <c r="P15" s="36"/>
      <c r="Q15" s="36"/>
      <c r="R15" s="10"/>
      <c r="S15" s="6"/>
      <c r="T15" s="10"/>
      <c r="U15" s="10"/>
      <c r="V15" s="42"/>
      <c r="W15" s="10"/>
      <c r="X15" s="10"/>
      <c r="Y15" s="10"/>
      <c r="Z15" s="10"/>
      <c r="AA15" s="10"/>
      <c r="AB15" s="6"/>
      <c r="AC15" s="6"/>
      <c r="AD15" s="10"/>
      <c r="AE15" s="10"/>
      <c r="AF15" s="10"/>
      <c r="AG15" s="10"/>
      <c r="AH15" s="6"/>
      <c r="AI15" s="10"/>
      <c r="AJ15" s="27"/>
      <c r="AK15" s="27"/>
      <c r="AL15" s="27"/>
      <c r="AM15" s="27"/>
      <c r="AN15" s="39"/>
      <c r="AO15" s="30"/>
      <c r="AP15" s="30"/>
    </row>
    <row r="16">
      <c r="A16" s="24" t="s">
        <v>25</v>
      </c>
      <c r="B16" s="17"/>
      <c r="C16" s="17"/>
      <c r="D16" s="18"/>
      <c r="E16" s="25">
        <v>4.0</v>
      </c>
      <c r="F16" s="25" t="s">
        <v>21</v>
      </c>
      <c r="G16" s="7">
        <v>260.0</v>
      </c>
      <c r="H16" s="7" t="s">
        <v>22</v>
      </c>
      <c r="I16" s="7">
        <v>2040.0</v>
      </c>
      <c r="J16" s="26"/>
      <c r="K16" s="26"/>
      <c r="L16" s="26"/>
      <c r="M16" s="26"/>
      <c r="N16" s="26"/>
      <c r="O16" s="7">
        <v>1020.0</v>
      </c>
      <c r="P16" s="26"/>
      <c r="Q16" s="26"/>
      <c r="R16" s="27"/>
      <c r="S16" s="27"/>
      <c r="T16" s="27"/>
      <c r="U16" s="27"/>
      <c r="V16" s="28">
        <v>1020.0</v>
      </c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9">
        <f>G16+SUM(I16:AM16)-SUM(I17:AM17)</f>
        <v>2180</v>
      </c>
      <c r="AO16" s="30">
        <f>ROUNDDOWN((AN16/E16)/$H$4,1)</f>
        <v>18.1</v>
      </c>
      <c r="AP16" s="30">
        <f>$M$4+AO16</f>
        <v>870.1</v>
      </c>
    </row>
    <row r="17">
      <c r="A17" s="31"/>
      <c r="B17" s="17"/>
      <c r="C17" s="17"/>
      <c r="D17" s="17"/>
      <c r="E17" s="17"/>
      <c r="F17" s="18"/>
      <c r="G17" s="26"/>
      <c r="H17" s="7" t="s">
        <v>23</v>
      </c>
      <c r="I17" s="7">
        <v>240.0</v>
      </c>
      <c r="J17" s="26"/>
      <c r="K17" s="26"/>
      <c r="L17" s="26"/>
      <c r="M17" s="26"/>
      <c r="N17" s="7">
        <v>240.0</v>
      </c>
      <c r="O17" s="26"/>
      <c r="P17" s="7">
        <v>240.0</v>
      </c>
      <c r="Q17" s="26"/>
      <c r="R17" s="27"/>
      <c r="S17" s="27"/>
      <c r="T17" s="27"/>
      <c r="U17" s="28">
        <v>240.0</v>
      </c>
      <c r="V17" s="27"/>
      <c r="W17" s="27"/>
      <c r="X17" s="27"/>
      <c r="Y17" s="27"/>
      <c r="Z17" s="27"/>
      <c r="AA17" s="28">
        <v>240.0</v>
      </c>
      <c r="AB17" s="27"/>
      <c r="AC17" s="28">
        <v>240.0</v>
      </c>
      <c r="AD17" s="27"/>
      <c r="AE17" s="27"/>
      <c r="AF17" s="28">
        <v>240.0</v>
      </c>
      <c r="AG17" s="27"/>
      <c r="AH17" s="28">
        <v>240.0</v>
      </c>
      <c r="AI17" s="27"/>
      <c r="AJ17" s="28">
        <v>240.0</v>
      </c>
      <c r="AK17" s="27"/>
      <c r="AL17" s="27"/>
      <c r="AM17" s="27"/>
      <c r="AN17" s="32"/>
    </row>
    <row r="18">
      <c r="A18" s="33"/>
      <c r="B18" s="33"/>
      <c r="C18" s="33"/>
      <c r="D18" s="33"/>
      <c r="E18" s="25"/>
      <c r="F18" s="25"/>
      <c r="G18" s="43"/>
      <c r="H18" s="7"/>
      <c r="I18" s="37"/>
      <c r="J18" s="37"/>
      <c r="K18" s="36"/>
      <c r="L18" s="36"/>
      <c r="M18" s="36"/>
      <c r="N18" s="37"/>
      <c r="O18" s="37"/>
      <c r="P18" s="37"/>
      <c r="Q18" s="37"/>
      <c r="R18" s="10"/>
      <c r="S18" s="38"/>
      <c r="T18" s="10"/>
      <c r="U18" s="42"/>
      <c r="V18" s="6"/>
      <c r="W18" s="10"/>
      <c r="X18" s="10"/>
      <c r="Y18" s="10"/>
      <c r="Z18" s="10"/>
      <c r="AA18" s="6"/>
      <c r="AB18" s="10"/>
      <c r="AC18" s="6"/>
      <c r="AD18" s="10"/>
      <c r="AE18" s="6"/>
      <c r="AF18" s="6"/>
      <c r="AG18" s="10"/>
      <c r="AH18" s="6"/>
      <c r="AI18" s="10"/>
      <c r="AJ18" s="27"/>
      <c r="AK18" s="27"/>
      <c r="AL18" s="27"/>
      <c r="AM18" s="27"/>
      <c r="AN18" s="39"/>
      <c r="AO18" s="30"/>
      <c r="AP18" s="30"/>
    </row>
    <row r="19">
      <c r="A19" s="24" t="s">
        <v>26</v>
      </c>
      <c r="B19" s="17"/>
      <c r="C19" s="17"/>
      <c r="D19" s="18"/>
      <c r="E19" s="25">
        <v>5.0</v>
      </c>
      <c r="F19" s="25" t="s">
        <v>21</v>
      </c>
      <c r="G19" s="43">
        <v>2360.0</v>
      </c>
      <c r="H19" s="7" t="s">
        <v>22</v>
      </c>
      <c r="I19" s="26"/>
      <c r="J19" s="26"/>
      <c r="K19" s="26"/>
      <c r="L19" s="26"/>
      <c r="M19" s="26"/>
      <c r="N19" s="26"/>
      <c r="O19" s="26"/>
      <c r="P19" s="26"/>
      <c r="Q19" s="26"/>
      <c r="R19" s="27"/>
      <c r="S19" s="28">
        <v>750.0</v>
      </c>
      <c r="T19" s="27"/>
      <c r="U19" s="28">
        <v>600.0</v>
      </c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9">
        <f>G19+SUM(I19:AM19)-SUM(I20:AM20)</f>
        <v>1130</v>
      </c>
      <c r="AO19" s="30">
        <f>ROUNDDOWN((AN19/E19)/$H$4,1)</f>
        <v>7.5</v>
      </c>
      <c r="AP19" s="30">
        <f>$M$4+AO19</f>
        <v>859.5</v>
      </c>
    </row>
    <row r="20">
      <c r="A20" s="31"/>
      <c r="B20" s="17"/>
      <c r="C20" s="17"/>
      <c r="D20" s="17"/>
      <c r="E20" s="17"/>
      <c r="F20" s="18"/>
      <c r="G20" s="26"/>
      <c r="H20" s="7" t="s">
        <v>23</v>
      </c>
      <c r="I20" s="26"/>
      <c r="J20" s="26"/>
      <c r="K20" s="26"/>
      <c r="L20" s="26"/>
      <c r="M20" s="7">
        <v>120.0</v>
      </c>
      <c r="N20" s="7">
        <v>270.0</v>
      </c>
      <c r="O20" s="7">
        <v>120.0</v>
      </c>
      <c r="P20" s="26"/>
      <c r="Q20" s="26"/>
      <c r="R20" s="27"/>
      <c r="S20" s="28">
        <f>270+120</f>
        <v>390</v>
      </c>
      <c r="T20" s="27"/>
      <c r="U20" s="27"/>
      <c r="V20" s="28">
        <v>120.0</v>
      </c>
      <c r="W20" s="27"/>
      <c r="X20" s="27"/>
      <c r="Y20" s="27"/>
      <c r="Z20" s="28">
        <v>270.0</v>
      </c>
      <c r="AA20" s="27"/>
      <c r="AB20" s="28">
        <v>120.0</v>
      </c>
      <c r="AC20" s="28">
        <v>120.0</v>
      </c>
      <c r="AD20" s="27"/>
      <c r="AE20" s="27"/>
      <c r="AF20" s="28">
        <v>270.0</v>
      </c>
      <c r="AG20" s="27"/>
      <c r="AH20" s="28">
        <v>120.0</v>
      </c>
      <c r="AI20" s="28">
        <v>270.0</v>
      </c>
      <c r="AJ20" s="28">
        <v>120.0</v>
      </c>
      <c r="AK20" s="28">
        <v>270.0</v>
      </c>
      <c r="AL20" s="27"/>
      <c r="AM20" s="27"/>
      <c r="AN20" s="32"/>
    </row>
    <row r="21">
      <c r="A21" s="33"/>
      <c r="B21" s="33"/>
      <c r="C21" s="33"/>
      <c r="D21" s="33"/>
      <c r="E21" s="25"/>
      <c r="F21" s="25"/>
      <c r="G21" s="7"/>
      <c r="H21" s="7"/>
      <c r="I21" s="36"/>
      <c r="J21" s="36"/>
      <c r="K21" s="36"/>
      <c r="L21" s="36"/>
      <c r="M21" s="37"/>
      <c r="N21" s="37"/>
      <c r="O21" s="37"/>
      <c r="P21" s="36"/>
      <c r="Q21" s="36"/>
      <c r="R21" s="10"/>
      <c r="S21" s="6"/>
      <c r="T21" s="10"/>
      <c r="U21" s="6"/>
      <c r="V21" s="6"/>
      <c r="W21" s="10"/>
      <c r="X21" s="6"/>
      <c r="Y21" s="6"/>
      <c r="Z21" s="6"/>
      <c r="AA21" s="10"/>
      <c r="AB21" s="6"/>
      <c r="AC21" s="6"/>
      <c r="AD21" s="10"/>
      <c r="AE21" s="6"/>
      <c r="AF21" s="6"/>
      <c r="AG21" s="10"/>
      <c r="AH21" s="6"/>
      <c r="AI21" s="6"/>
      <c r="AJ21" s="27"/>
      <c r="AK21" s="27"/>
      <c r="AL21" s="27"/>
      <c r="AM21" s="27"/>
      <c r="AN21" s="39"/>
      <c r="AO21" s="30"/>
      <c r="AP21" s="30"/>
    </row>
    <row r="22">
      <c r="A22" s="24" t="s">
        <v>27</v>
      </c>
      <c r="B22" s="17"/>
      <c r="C22" s="17"/>
      <c r="D22" s="18"/>
      <c r="E22" s="25">
        <v>4.0</v>
      </c>
      <c r="F22" s="25" t="s">
        <v>21</v>
      </c>
      <c r="G22" s="7">
        <v>2010.0</v>
      </c>
      <c r="H22" s="7" t="s">
        <v>22</v>
      </c>
      <c r="I22" s="26"/>
      <c r="J22" s="26"/>
      <c r="K22" s="26"/>
      <c r="L22" s="26"/>
      <c r="M22" s="26"/>
      <c r="N22" s="26"/>
      <c r="O22" s="26"/>
      <c r="P22" s="26"/>
      <c r="Q22" s="26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9">
        <f>G22+SUM(I22:AM22)-SUM(I23:AM23)</f>
        <v>90</v>
      </c>
      <c r="AO22" s="30">
        <f>ROUNDDOWN((AN22/E22)/$H$4,1)</f>
        <v>0.7</v>
      </c>
      <c r="AP22" s="30">
        <f>$M$4+AO22</f>
        <v>852.7</v>
      </c>
    </row>
    <row r="23">
      <c r="A23" s="31"/>
      <c r="B23" s="17"/>
      <c r="C23" s="17"/>
      <c r="D23" s="17"/>
      <c r="E23" s="17"/>
      <c r="F23" s="18"/>
      <c r="G23" s="26"/>
      <c r="H23" s="7" t="s">
        <v>23</v>
      </c>
      <c r="I23" s="26"/>
      <c r="J23" s="26"/>
      <c r="K23" s="26"/>
      <c r="L23" s="26"/>
      <c r="M23" s="7">
        <v>240.0</v>
      </c>
      <c r="N23" s="26"/>
      <c r="O23" s="7">
        <v>240.0</v>
      </c>
      <c r="P23" s="26"/>
      <c r="Q23" s="26"/>
      <c r="R23" s="27"/>
      <c r="S23" s="28">
        <v>240.0</v>
      </c>
      <c r="T23" s="27"/>
      <c r="U23" s="27"/>
      <c r="V23" s="28">
        <v>240.0</v>
      </c>
      <c r="W23" s="27"/>
      <c r="X23" s="27"/>
      <c r="Y23" s="27"/>
      <c r="Z23" s="27"/>
      <c r="AA23" s="27"/>
      <c r="AB23" s="28">
        <v>240.0</v>
      </c>
      <c r="AC23" s="28">
        <v>240.0</v>
      </c>
      <c r="AD23" s="27"/>
      <c r="AE23" s="27"/>
      <c r="AF23" s="27"/>
      <c r="AG23" s="27"/>
      <c r="AH23" s="28">
        <v>240.0</v>
      </c>
      <c r="AI23" s="27"/>
      <c r="AJ23" s="28">
        <v>240.0</v>
      </c>
      <c r="AK23" s="27"/>
      <c r="AL23" s="27"/>
      <c r="AM23" s="27"/>
      <c r="AN23" s="32"/>
    </row>
    <row r="24">
      <c r="A24" s="33"/>
      <c r="B24" s="33"/>
      <c r="C24" s="33"/>
      <c r="D24" s="33"/>
      <c r="E24" s="25"/>
      <c r="F24" s="25"/>
      <c r="G24" s="7"/>
      <c r="H24" s="7"/>
      <c r="I24" s="35"/>
      <c r="J24" s="36"/>
      <c r="K24" s="36"/>
      <c r="L24" s="36"/>
      <c r="M24" s="37"/>
      <c r="N24" s="36"/>
      <c r="O24" s="37"/>
      <c r="P24" s="36"/>
      <c r="Q24" s="36"/>
      <c r="R24" s="10"/>
      <c r="S24" s="6"/>
      <c r="T24" s="10"/>
      <c r="U24" s="10"/>
      <c r="V24" s="6"/>
      <c r="W24" s="10"/>
      <c r="X24" s="10"/>
      <c r="Y24" s="10"/>
      <c r="Z24" s="10"/>
      <c r="AA24" s="10"/>
      <c r="AB24" s="6"/>
      <c r="AC24" s="6"/>
      <c r="AD24" s="10"/>
      <c r="AE24" s="10"/>
      <c r="AF24" s="10"/>
      <c r="AG24" s="10"/>
      <c r="AH24" s="6"/>
      <c r="AI24" s="10"/>
      <c r="AJ24" s="27"/>
      <c r="AK24" s="27"/>
      <c r="AL24" s="27"/>
      <c r="AM24" s="27"/>
      <c r="AN24" s="39"/>
      <c r="AO24" s="30"/>
      <c r="AP24" s="30"/>
    </row>
    <row r="25">
      <c r="A25" s="24" t="s">
        <v>28</v>
      </c>
      <c r="B25" s="17"/>
      <c r="C25" s="17"/>
      <c r="D25" s="18"/>
      <c r="E25" s="25">
        <v>1.0</v>
      </c>
      <c r="F25" s="25" t="s">
        <v>21</v>
      </c>
      <c r="G25" s="7">
        <v>1080.0</v>
      </c>
      <c r="H25" s="7" t="s">
        <v>22</v>
      </c>
      <c r="I25" s="7">
        <v>1080.0</v>
      </c>
      <c r="J25" s="26"/>
      <c r="K25" s="26"/>
      <c r="L25" s="26"/>
      <c r="M25" s="26"/>
      <c r="N25" s="26"/>
      <c r="O25" s="26"/>
      <c r="P25" s="26"/>
      <c r="Q25" s="26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9">
        <f>G25+SUM(I25:AM25)-SUM(I26:AM26)</f>
        <v>410</v>
      </c>
      <c r="AO25" s="30">
        <f>ROUNDDOWN((AN25/E25)/$H$4,1)</f>
        <v>13.6</v>
      </c>
      <c r="AP25" s="30">
        <f>$M$4+AO25</f>
        <v>865.6</v>
      </c>
    </row>
    <row r="26">
      <c r="A26" s="31"/>
      <c r="B26" s="17"/>
      <c r="C26" s="17"/>
      <c r="D26" s="17"/>
      <c r="E26" s="17"/>
      <c r="F26" s="18"/>
      <c r="G26" s="26"/>
      <c r="H26" s="7" t="s">
        <v>23</v>
      </c>
      <c r="I26" s="26"/>
      <c r="J26" s="26"/>
      <c r="K26" s="26"/>
      <c r="L26" s="26"/>
      <c r="M26" s="7">
        <v>490.0</v>
      </c>
      <c r="N26" s="26"/>
      <c r="O26" s="26"/>
      <c r="P26" s="26"/>
      <c r="Q26" s="26"/>
      <c r="R26" s="27"/>
      <c r="S26" s="27"/>
      <c r="T26" s="27"/>
      <c r="U26" s="27"/>
      <c r="V26" s="27"/>
      <c r="W26" s="27"/>
      <c r="X26" s="27"/>
      <c r="Y26" s="27"/>
      <c r="Z26" s="27"/>
      <c r="AA26" s="28">
        <v>460.0</v>
      </c>
      <c r="AB26" s="27"/>
      <c r="AC26" s="27"/>
      <c r="AD26" s="27"/>
      <c r="AE26" s="27"/>
      <c r="AF26" s="28">
        <v>260.0</v>
      </c>
      <c r="AG26" s="27"/>
      <c r="AH26" s="27"/>
      <c r="AI26" s="27"/>
      <c r="AJ26" s="28">
        <v>540.0</v>
      </c>
      <c r="AK26" s="27"/>
      <c r="AL26" s="27"/>
      <c r="AM26" s="27"/>
      <c r="AN26" s="32"/>
    </row>
    <row r="27">
      <c r="A27" s="33"/>
      <c r="B27" s="33"/>
      <c r="C27" s="33"/>
      <c r="D27" s="33"/>
      <c r="E27" s="25"/>
      <c r="F27" s="25"/>
      <c r="G27" s="7"/>
      <c r="H27" s="7"/>
      <c r="I27" s="41"/>
      <c r="J27" s="37"/>
      <c r="K27" s="36"/>
      <c r="L27" s="36"/>
      <c r="M27" s="37"/>
      <c r="N27" s="36"/>
      <c r="O27" s="36"/>
      <c r="P27" s="36"/>
      <c r="Q27" s="36"/>
      <c r="R27" s="10"/>
      <c r="S27" s="38"/>
      <c r="T27" s="10"/>
      <c r="U27" s="10"/>
      <c r="V27" s="38"/>
      <c r="W27" s="10"/>
      <c r="X27" s="10"/>
      <c r="Y27" s="10"/>
      <c r="Z27" s="10"/>
      <c r="AA27" s="6"/>
      <c r="AB27" s="10"/>
      <c r="AC27" s="10"/>
      <c r="AD27" s="10"/>
      <c r="AE27" s="6"/>
      <c r="AF27" s="6"/>
      <c r="AG27" s="10"/>
      <c r="AH27" s="38"/>
      <c r="AI27" s="10"/>
      <c r="AJ27" s="27"/>
      <c r="AK27" s="27"/>
      <c r="AL27" s="27"/>
      <c r="AM27" s="27"/>
      <c r="AN27" s="39"/>
      <c r="AO27" s="30"/>
      <c r="AP27" s="30"/>
    </row>
    <row r="28">
      <c r="A28" s="24" t="s">
        <v>29</v>
      </c>
      <c r="B28" s="17"/>
      <c r="C28" s="17"/>
      <c r="D28" s="18"/>
      <c r="E28" s="25">
        <v>1.0</v>
      </c>
      <c r="F28" s="25" t="s">
        <v>30</v>
      </c>
      <c r="G28" s="7">
        <v>154.0</v>
      </c>
      <c r="H28" s="7" t="s">
        <v>22</v>
      </c>
      <c r="I28" s="7">
        <v>110.0</v>
      </c>
      <c r="J28" s="26"/>
      <c r="K28" s="26"/>
      <c r="L28" s="26"/>
      <c r="M28" s="26"/>
      <c r="N28" s="26"/>
      <c r="O28" s="26"/>
      <c r="P28" s="26"/>
      <c r="Q28" s="26"/>
      <c r="R28" s="27"/>
      <c r="S28" s="28">
        <v>110.0</v>
      </c>
      <c r="T28" s="27"/>
      <c r="U28" s="27"/>
      <c r="V28" s="28">
        <v>60.0</v>
      </c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8">
        <v>120.0</v>
      </c>
      <c r="AI28" s="28">
        <v>90.0</v>
      </c>
      <c r="AJ28" s="27"/>
      <c r="AK28" s="27"/>
      <c r="AL28" s="27"/>
      <c r="AM28" s="27"/>
      <c r="AN28" s="29">
        <f>G28+SUM(I28:AM28)-SUM(I29:AM29)</f>
        <v>112</v>
      </c>
      <c r="AO28" s="30">
        <f>ROUNDDOWN((AN28/E28)/$H$4,1)</f>
        <v>3.7</v>
      </c>
      <c r="AP28" s="30">
        <f>$M$4+AO28</f>
        <v>855.7</v>
      </c>
    </row>
    <row r="29">
      <c r="A29" s="31"/>
      <c r="B29" s="17"/>
      <c r="C29" s="17"/>
      <c r="D29" s="17"/>
      <c r="E29" s="17"/>
      <c r="F29" s="18"/>
      <c r="G29" s="26"/>
      <c r="H29" s="7" t="s">
        <v>23</v>
      </c>
      <c r="I29" s="7">
        <v>30.0</v>
      </c>
      <c r="J29" s="26"/>
      <c r="K29" s="7">
        <v>30.0</v>
      </c>
      <c r="L29" s="7">
        <v>30.0</v>
      </c>
      <c r="M29" s="26">
        <f>15+15</f>
        <v>30</v>
      </c>
      <c r="N29" s="26"/>
      <c r="O29" s="7">
        <v>20.0</v>
      </c>
      <c r="P29" s="26">
        <f>20+30</f>
        <v>50</v>
      </c>
      <c r="Q29" s="26"/>
      <c r="R29" s="27">
        <f>15+18</f>
        <v>33</v>
      </c>
      <c r="S29" s="27">
        <f>15+15</f>
        <v>30</v>
      </c>
      <c r="T29" s="27"/>
      <c r="U29" s="27"/>
      <c r="V29" s="27"/>
      <c r="W29" s="27"/>
      <c r="X29" s="27"/>
      <c r="Y29" s="27"/>
      <c r="Z29" s="28">
        <v>3.0</v>
      </c>
      <c r="AA29" s="27"/>
      <c r="AB29" s="28">
        <f>18+15</f>
        <v>33</v>
      </c>
      <c r="AC29" s="27">
        <f>6+15</f>
        <v>21</v>
      </c>
      <c r="AD29" s="27">
        <f>13+15</f>
        <v>28</v>
      </c>
      <c r="AE29" s="27"/>
      <c r="AF29" s="27">
        <f>15+19</f>
        <v>34</v>
      </c>
      <c r="AG29" s="27">
        <f>15+15</f>
        <v>30</v>
      </c>
      <c r="AH29" s="27">
        <f>21+15</f>
        <v>36</v>
      </c>
      <c r="AI29" s="27">
        <f>19+15</f>
        <v>34</v>
      </c>
      <c r="AJ29" s="27">
        <f>15+15</f>
        <v>30</v>
      </c>
      <c r="AK29" s="28">
        <v>30.0</v>
      </c>
      <c r="AL29" s="27"/>
      <c r="AM29" s="27"/>
      <c r="AN29" s="32"/>
    </row>
    <row r="30">
      <c r="A30" s="44"/>
      <c r="B30" s="44"/>
      <c r="C30" s="44"/>
      <c r="D30" s="44"/>
      <c r="E30" s="44"/>
      <c r="F30" s="44"/>
      <c r="G30" s="45"/>
      <c r="H30" s="45"/>
      <c r="I30" s="46"/>
      <c r="J30" s="46"/>
      <c r="K30" s="46"/>
      <c r="L30" s="46"/>
      <c r="M30" s="46"/>
      <c r="N30" s="47"/>
      <c r="O30" s="46"/>
      <c r="P30" s="46"/>
      <c r="Q30" s="46"/>
      <c r="R30" s="6"/>
      <c r="S30" s="6"/>
      <c r="T30" s="10"/>
      <c r="U30" s="10"/>
      <c r="V30" s="6"/>
      <c r="W30" s="10"/>
      <c r="X30" s="6"/>
      <c r="Y30" s="6"/>
      <c r="Z30" s="6"/>
      <c r="AA30" s="10"/>
      <c r="AB30" s="6"/>
      <c r="AC30" s="6"/>
      <c r="AD30" s="6"/>
      <c r="AE30" s="6"/>
      <c r="AF30" s="6"/>
      <c r="AG30" s="6"/>
      <c r="AH30" s="6"/>
      <c r="AI30" s="6"/>
      <c r="AJ30" s="48"/>
      <c r="AK30" s="48"/>
      <c r="AL30" s="48"/>
      <c r="AM30" s="48"/>
      <c r="AN30" s="48"/>
      <c r="AO30" s="49"/>
      <c r="AP30" s="49"/>
    </row>
    <row r="31">
      <c r="A31" s="50" t="s">
        <v>31</v>
      </c>
      <c r="B31" s="17"/>
      <c r="C31" s="17"/>
      <c r="D31" s="17"/>
      <c r="E31" s="17"/>
      <c r="F31" s="18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52"/>
      <c r="AP31" s="52"/>
    </row>
    <row r="32">
      <c r="A32" s="24" t="s">
        <v>32</v>
      </c>
      <c r="B32" s="17"/>
      <c r="C32" s="17"/>
      <c r="D32" s="18"/>
      <c r="E32" s="25">
        <v>2.0</v>
      </c>
      <c r="F32" s="25" t="s">
        <v>21</v>
      </c>
      <c r="G32" s="7">
        <v>75.0</v>
      </c>
      <c r="H32" s="7" t="s">
        <v>22</v>
      </c>
      <c r="I32" s="7">
        <v>60.0</v>
      </c>
      <c r="J32" s="26"/>
      <c r="K32" s="7">
        <v>30.0</v>
      </c>
      <c r="L32" s="7">
        <v>45.0</v>
      </c>
      <c r="M32" s="7">
        <f t="shared" ref="M32:M33" si="1">30+30</f>
        <v>60</v>
      </c>
      <c r="N32" s="7">
        <v>30.0</v>
      </c>
      <c r="O32" s="26"/>
      <c r="P32" s="7">
        <f>75+30</f>
        <v>105</v>
      </c>
      <c r="Q32" s="26"/>
      <c r="R32" s="28">
        <v>30.0</v>
      </c>
      <c r="S32" s="28">
        <f t="shared" ref="S32:S33" si="2">30+30</f>
        <v>60</v>
      </c>
      <c r="T32" s="27"/>
      <c r="U32" s="28">
        <f>30+30</f>
        <v>60</v>
      </c>
      <c r="V32" s="28">
        <f>30+15</f>
        <v>45</v>
      </c>
      <c r="W32" s="28">
        <v>30.0</v>
      </c>
      <c r="X32" s="27"/>
      <c r="Y32" s="27"/>
      <c r="Z32" s="27"/>
      <c r="AA32" s="27"/>
      <c r="AB32" s="28">
        <v>45.0</v>
      </c>
      <c r="AC32" s="28">
        <v>60.0</v>
      </c>
      <c r="AD32" s="28">
        <v>60.0</v>
      </c>
      <c r="AE32" s="27"/>
      <c r="AF32" s="27"/>
      <c r="AG32" s="28">
        <v>60.0</v>
      </c>
      <c r="AH32" s="28">
        <f>45+45</f>
        <v>90</v>
      </c>
      <c r="AI32" s="28">
        <f>45+30</f>
        <v>75</v>
      </c>
      <c r="AJ32" s="28">
        <f>30+60</f>
        <v>90</v>
      </c>
      <c r="AK32" s="28">
        <v>45.0</v>
      </c>
      <c r="AL32" s="27"/>
      <c r="AM32" s="27"/>
      <c r="AN32" s="29">
        <f>G32+SUM(I32:AL32)-SUM(I33:AL33)</f>
        <v>161</v>
      </c>
      <c r="AO32" s="53">
        <f>ROUNDDOWN((AN32/E32)/$H$4,1)</f>
        <v>2.6</v>
      </c>
      <c r="AP32" s="53">
        <f>$M$3+AO32</f>
        <v>851.6</v>
      </c>
    </row>
    <row r="33">
      <c r="A33" s="31"/>
      <c r="B33" s="17"/>
      <c r="C33" s="17"/>
      <c r="D33" s="17"/>
      <c r="E33" s="17"/>
      <c r="F33" s="18"/>
      <c r="G33" s="26"/>
      <c r="H33" s="7" t="s">
        <v>23</v>
      </c>
      <c r="I33" s="7">
        <v>60.0</v>
      </c>
      <c r="J33" s="26"/>
      <c r="K33" s="7">
        <v>60.0</v>
      </c>
      <c r="L33" s="7">
        <v>60.0</v>
      </c>
      <c r="M33" s="26">
        <f t="shared" si="1"/>
        <v>60</v>
      </c>
      <c r="N33" s="26"/>
      <c r="O33" s="7">
        <v>20.0</v>
      </c>
      <c r="P33" s="26">
        <f>20+30</f>
        <v>50</v>
      </c>
      <c r="Q33" s="26"/>
      <c r="R33" s="27">
        <f>30+36</f>
        <v>66</v>
      </c>
      <c r="S33" s="27">
        <f t="shared" si="2"/>
        <v>60</v>
      </c>
      <c r="T33" s="27"/>
      <c r="U33" s="27"/>
      <c r="V33" s="27"/>
      <c r="W33" s="27"/>
      <c r="X33" s="27"/>
      <c r="Y33" s="27"/>
      <c r="Z33" s="28">
        <v>6.0</v>
      </c>
      <c r="AA33" s="27"/>
      <c r="AB33" s="28">
        <f>36+30</f>
        <v>66</v>
      </c>
      <c r="AC33" s="27">
        <f>12+30</f>
        <v>42</v>
      </c>
      <c r="AD33" s="27">
        <f>26+30</f>
        <v>56</v>
      </c>
      <c r="AE33" s="27"/>
      <c r="AF33" s="27">
        <f>30+38</f>
        <v>68</v>
      </c>
      <c r="AG33" s="27">
        <f>30+30</f>
        <v>60</v>
      </c>
      <c r="AH33" s="27">
        <f>30+42</f>
        <v>72</v>
      </c>
      <c r="AI33" s="27">
        <f>38+30</f>
        <v>68</v>
      </c>
      <c r="AJ33" s="27">
        <f>30+30</f>
        <v>60</v>
      </c>
      <c r="AK33" s="28">
        <v>60.0</v>
      </c>
      <c r="AL33" s="27"/>
      <c r="AM33" s="27"/>
      <c r="AN33" s="32"/>
    </row>
    <row r="34">
      <c r="A34" s="33"/>
      <c r="B34" s="33"/>
      <c r="C34" s="33"/>
      <c r="D34" s="33"/>
      <c r="E34" s="25"/>
      <c r="F34" s="25"/>
      <c r="G34" s="7"/>
      <c r="H34" s="7"/>
      <c r="I34" s="41"/>
      <c r="J34" s="37"/>
      <c r="K34" s="41"/>
      <c r="L34" s="41"/>
      <c r="M34" s="41"/>
      <c r="N34" s="41"/>
      <c r="O34" s="37"/>
      <c r="P34" s="41"/>
      <c r="Q34" s="37"/>
      <c r="R34" s="42"/>
      <c r="S34" s="42"/>
      <c r="T34" s="10"/>
      <c r="U34" s="42"/>
      <c r="V34" s="42"/>
      <c r="W34" s="42"/>
      <c r="X34" s="6"/>
      <c r="Y34" s="6"/>
      <c r="Z34" s="6"/>
      <c r="AA34" s="10"/>
      <c r="AB34" s="42"/>
      <c r="AC34" s="42"/>
      <c r="AD34" s="42"/>
      <c r="AE34" s="6"/>
      <c r="AF34" s="6"/>
      <c r="AG34" s="42"/>
      <c r="AH34" s="42"/>
      <c r="AI34" s="6"/>
      <c r="AJ34" s="27"/>
      <c r="AK34" s="27"/>
      <c r="AL34" s="27"/>
      <c r="AM34" s="27"/>
      <c r="AN34" s="39"/>
      <c r="AO34" s="53"/>
      <c r="AP34" s="53"/>
    </row>
    <row r="35">
      <c r="A35" s="24" t="s">
        <v>33</v>
      </c>
      <c r="B35" s="17"/>
      <c r="C35" s="17"/>
      <c r="D35" s="18"/>
      <c r="E35" s="25">
        <v>2.0</v>
      </c>
      <c r="F35" s="25" t="s">
        <v>21</v>
      </c>
      <c r="G35" s="7">
        <v>105.0</v>
      </c>
      <c r="H35" s="7" t="s">
        <v>22</v>
      </c>
      <c r="I35" s="7">
        <v>60.0</v>
      </c>
      <c r="J35" s="26"/>
      <c r="K35" s="7">
        <v>30.0</v>
      </c>
      <c r="L35" s="7">
        <v>45.0</v>
      </c>
      <c r="M35" s="7">
        <f t="shared" ref="M35:M36" si="3">30+30</f>
        <v>60</v>
      </c>
      <c r="N35" s="7">
        <v>30.0</v>
      </c>
      <c r="O35" s="26"/>
      <c r="P35" s="7">
        <f>75+30</f>
        <v>105</v>
      </c>
      <c r="Q35" s="26"/>
      <c r="R35" s="28">
        <v>30.0</v>
      </c>
      <c r="S35" s="28">
        <f t="shared" ref="S35:S36" si="4">30+30</f>
        <v>60</v>
      </c>
      <c r="T35" s="27"/>
      <c r="U35" s="28">
        <f>30+30</f>
        <v>60</v>
      </c>
      <c r="V35" s="28">
        <f>30+15</f>
        <v>45</v>
      </c>
      <c r="W35" s="28">
        <v>30.0</v>
      </c>
      <c r="X35" s="27"/>
      <c r="Y35" s="27"/>
      <c r="Z35" s="27"/>
      <c r="AA35" s="27"/>
      <c r="AB35" s="28">
        <v>45.0</v>
      </c>
      <c r="AC35" s="28">
        <v>60.0</v>
      </c>
      <c r="AD35" s="28">
        <v>60.0</v>
      </c>
      <c r="AE35" s="27"/>
      <c r="AF35" s="27"/>
      <c r="AG35" s="28">
        <v>60.0</v>
      </c>
      <c r="AH35" s="28">
        <f>45+45</f>
        <v>90</v>
      </c>
      <c r="AI35" s="28">
        <f>45+30</f>
        <v>75</v>
      </c>
      <c r="AJ35" s="28">
        <f>30+60</f>
        <v>90</v>
      </c>
      <c r="AK35" s="28">
        <v>45.0</v>
      </c>
      <c r="AL35" s="27"/>
      <c r="AM35" s="27"/>
      <c r="AN35" s="29">
        <f>G35+SUM(I35:AL35)-SUM(I36:AL36)</f>
        <v>191</v>
      </c>
      <c r="AO35" s="53">
        <f>ROUNDDOWN((AN35/E35)/$H$4,1)</f>
        <v>3.1</v>
      </c>
      <c r="AP35" s="53">
        <f>$M$3+AO35</f>
        <v>852.1</v>
      </c>
    </row>
    <row r="36">
      <c r="A36" s="31"/>
      <c r="B36" s="17"/>
      <c r="C36" s="17"/>
      <c r="D36" s="17"/>
      <c r="E36" s="17"/>
      <c r="F36" s="18"/>
      <c r="G36" s="26"/>
      <c r="H36" s="7" t="s">
        <v>23</v>
      </c>
      <c r="I36" s="7">
        <v>60.0</v>
      </c>
      <c r="J36" s="26"/>
      <c r="K36" s="7">
        <v>60.0</v>
      </c>
      <c r="L36" s="7">
        <v>60.0</v>
      </c>
      <c r="M36" s="26">
        <f t="shared" si="3"/>
        <v>60</v>
      </c>
      <c r="N36" s="26"/>
      <c r="O36" s="7">
        <v>20.0</v>
      </c>
      <c r="P36" s="26">
        <f>20+30</f>
        <v>50</v>
      </c>
      <c r="Q36" s="26"/>
      <c r="R36" s="27">
        <f>30+36</f>
        <v>66</v>
      </c>
      <c r="S36" s="27">
        <f t="shared" si="4"/>
        <v>60</v>
      </c>
      <c r="T36" s="27"/>
      <c r="U36" s="27"/>
      <c r="V36" s="27"/>
      <c r="W36" s="27"/>
      <c r="X36" s="27"/>
      <c r="Y36" s="27"/>
      <c r="Z36" s="28">
        <v>6.0</v>
      </c>
      <c r="AA36" s="27"/>
      <c r="AB36" s="28">
        <f>36+30</f>
        <v>66</v>
      </c>
      <c r="AC36" s="27">
        <f>12+30</f>
        <v>42</v>
      </c>
      <c r="AD36" s="27">
        <f>26+30</f>
        <v>56</v>
      </c>
      <c r="AE36" s="27"/>
      <c r="AF36" s="27">
        <f>30+38</f>
        <v>68</v>
      </c>
      <c r="AG36" s="27">
        <f>30+30</f>
        <v>60</v>
      </c>
      <c r="AH36" s="27">
        <f>30+42</f>
        <v>72</v>
      </c>
      <c r="AI36" s="27">
        <f>38+30</f>
        <v>68</v>
      </c>
      <c r="AJ36" s="27">
        <f>30+30</f>
        <v>60</v>
      </c>
      <c r="AK36" s="28">
        <v>60.0</v>
      </c>
      <c r="AL36" s="27"/>
      <c r="AM36" s="27"/>
      <c r="AN36" s="32"/>
    </row>
    <row r="37">
      <c r="A37" s="33"/>
      <c r="B37" s="33"/>
      <c r="C37" s="33"/>
      <c r="D37" s="33"/>
      <c r="E37" s="25"/>
      <c r="F37" s="25"/>
      <c r="G37" s="7"/>
      <c r="H37" s="7"/>
      <c r="I37" s="37"/>
      <c r="J37" s="37"/>
      <c r="K37" s="37"/>
      <c r="L37" s="37"/>
      <c r="M37" s="37"/>
      <c r="N37" s="37"/>
      <c r="O37" s="37"/>
      <c r="P37" s="37"/>
      <c r="Q37" s="37"/>
      <c r="R37" s="42"/>
      <c r="S37" s="6"/>
      <c r="T37" s="10"/>
      <c r="U37" s="6"/>
      <c r="V37" s="6"/>
      <c r="W37" s="6"/>
      <c r="X37" s="6"/>
      <c r="Y37" s="6"/>
      <c r="Z37" s="6"/>
      <c r="AA37" s="10"/>
      <c r="AB37" s="6"/>
      <c r="AC37" s="6"/>
      <c r="AD37" s="6"/>
      <c r="AE37" s="6"/>
      <c r="AF37" s="6"/>
      <c r="AG37" s="6"/>
      <c r="AH37" s="6"/>
      <c r="AI37" s="6"/>
      <c r="AJ37" s="27"/>
      <c r="AK37" s="27"/>
      <c r="AL37" s="27"/>
      <c r="AM37" s="27"/>
      <c r="AN37" s="39"/>
      <c r="AO37" s="53"/>
      <c r="AP37" s="53"/>
    </row>
    <row r="38">
      <c r="A38" s="24" t="s">
        <v>34</v>
      </c>
      <c r="B38" s="17"/>
      <c r="C38" s="17"/>
      <c r="D38" s="18"/>
      <c r="E38" s="25">
        <v>1.0</v>
      </c>
      <c r="F38" s="25" t="s">
        <v>21</v>
      </c>
      <c r="G38" s="7">
        <v>840.0</v>
      </c>
      <c r="H38" s="7" t="s">
        <v>22</v>
      </c>
      <c r="I38" s="26"/>
      <c r="J38" s="26"/>
      <c r="K38" s="26"/>
      <c r="L38" s="26"/>
      <c r="M38" s="26"/>
      <c r="N38" s="26"/>
      <c r="O38" s="26"/>
      <c r="P38" s="26"/>
      <c r="Q38" s="26"/>
      <c r="R38" s="28">
        <v>510.0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9">
        <f>G38+SUM(I38:AL38)-SUM(I39:AL39)</f>
        <v>885</v>
      </c>
      <c r="AO38" s="53">
        <f>ROUNDDOWN((AN38/E38)/$H$4,1)</f>
        <v>29.5</v>
      </c>
      <c r="AP38" s="53">
        <f>$M$3+AO38</f>
        <v>878.5</v>
      </c>
    </row>
    <row r="39">
      <c r="A39" s="31"/>
      <c r="B39" s="17"/>
      <c r="C39" s="17"/>
      <c r="D39" s="17"/>
      <c r="E39" s="17"/>
      <c r="F39" s="18"/>
      <c r="G39" s="26"/>
      <c r="H39" s="7" t="s">
        <v>23</v>
      </c>
      <c r="I39" s="26"/>
      <c r="J39" s="26"/>
      <c r="K39" s="26"/>
      <c r="L39" s="7">
        <v>70.0</v>
      </c>
      <c r="M39" s="26"/>
      <c r="N39" s="7">
        <v>60.0</v>
      </c>
      <c r="O39" s="26"/>
      <c r="P39" s="7">
        <v>60.0</v>
      </c>
      <c r="Q39" s="26"/>
      <c r="R39" s="28">
        <v>50.0</v>
      </c>
      <c r="S39" s="27"/>
      <c r="T39" s="27"/>
      <c r="U39" s="27"/>
      <c r="V39" s="27"/>
      <c r="W39" s="27"/>
      <c r="X39" s="27"/>
      <c r="Y39" s="27"/>
      <c r="Z39" s="28">
        <v>50.0</v>
      </c>
      <c r="AA39" s="27"/>
      <c r="AB39" s="27"/>
      <c r="AC39" s="27"/>
      <c r="AD39" s="28">
        <v>60.0</v>
      </c>
      <c r="AE39" s="27"/>
      <c r="AF39" s="27"/>
      <c r="AG39" s="28">
        <v>55.0</v>
      </c>
      <c r="AH39" s="27"/>
      <c r="AI39" s="28">
        <v>60.0</v>
      </c>
      <c r="AJ39" s="27"/>
      <c r="AK39" s="27"/>
      <c r="AL39" s="27"/>
      <c r="AM39" s="27"/>
      <c r="AN39" s="32"/>
    </row>
    <row r="40">
      <c r="A40" s="33"/>
      <c r="B40" s="33"/>
      <c r="C40" s="33"/>
      <c r="D40" s="33"/>
      <c r="E40" s="25"/>
      <c r="F40" s="25"/>
      <c r="G40" s="7"/>
      <c r="H40" s="7"/>
      <c r="I40" s="36"/>
      <c r="J40" s="36"/>
      <c r="K40" s="36"/>
      <c r="L40" s="37"/>
      <c r="M40" s="36"/>
      <c r="N40" s="37"/>
      <c r="O40" s="36"/>
      <c r="P40" s="36"/>
      <c r="Q40" s="37"/>
      <c r="R40" s="42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27"/>
      <c r="AK40" s="27"/>
      <c r="AL40" s="27"/>
      <c r="AM40" s="27"/>
      <c r="AN40" s="39"/>
      <c r="AO40" s="53"/>
      <c r="AP40" s="53"/>
    </row>
    <row r="41">
      <c r="A41" s="24" t="s">
        <v>35</v>
      </c>
      <c r="B41" s="17"/>
      <c r="C41" s="17"/>
      <c r="D41" s="18"/>
      <c r="E41" s="25">
        <v>1.0</v>
      </c>
      <c r="F41" s="25" t="s">
        <v>21</v>
      </c>
      <c r="G41" s="7">
        <v>1080.0</v>
      </c>
      <c r="H41" s="7" t="s">
        <v>22</v>
      </c>
      <c r="I41" s="26"/>
      <c r="J41" s="26"/>
      <c r="K41" s="26"/>
      <c r="L41" s="26"/>
      <c r="M41" s="26"/>
      <c r="N41" s="26"/>
      <c r="O41" s="26"/>
      <c r="P41" s="26"/>
      <c r="Q41" s="26"/>
      <c r="R41" s="28">
        <v>510.0</v>
      </c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9">
        <f>G41+SUM(I41:AL41)-SUM(I42:AL42)</f>
        <v>1125</v>
      </c>
      <c r="AO41" s="53">
        <f>ROUNDDOWN((AN41/E41)/$H$4,1)</f>
        <v>37.5</v>
      </c>
      <c r="AP41" s="53">
        <f>$M$3+AO41</f>
        <v>886.5</v>
      </c>
    </row>
    <row r="42">
      <c r="A42" s="31"/>
      <c r="B42" s="17"/>
      <c r="C42" s="17"/>
      <c r="D42" s="17"/>
      <c r="E42" s="17"/>
      <c r="F42" s="18"/>
      <c r="G42" s="26"/>
      <c r="H42" s="7" t="s">
        <v>23</v>
      </c>
      <c r="I42" s="26"/>
      <c r="J42" s="26"/>
      <c r="K42" s="26"/>
      <c r="L42" s="7">
        <v>70.0</v>
      </c>
      <c r="M42" s="26"/>
      <c r="N42" s="7">
        <v>60.0</v>
      </c>
      <c r="O42" s="26"/>
      <c r="P42" s="7">
        <v>60.0</v>
      </c>
      <c r="Q42" s="26"/>
      <c r="R42" s="28">
        <v>50.0</v>
      </c>
      <c r="S42" s="27"/>
      <c r="T42" s="27"/>
      <c r="U42" s="27"/>
      <c r="V42" s="27"/>
      <c r="W42" s="27"/>
      <c r="X42" s="27"/>
      <c r="Y42" s="27"/>
      <c r="Z42" s="28">
        <v>50.0</v>
      </c>
      <c r="AA42" s="27"/>
      <c r="AB42" s="27"/>
      <c r="AC42" s="27"/>
      <c r="AD42" s="28">
        <v>60.0</v>
      </c>
      <c r="AE42" s="27"/>
      <c r="AF42" s="27"/>
      <c r="AG42" s="28">
        <v>55.0</v>
      </c>
      <c r="AH42" s="27"/>
      <c r="AI42" s="28">
        <v>60.0</v>
      </c>
      <c r="AJ42" s="27"/>
      <c r="AK42" s="27"/>
      <c r="AL42" s="27"/>
      <c r="AM42" s="27"/>
      <c r="AN42" s="32"/>
    </row>
    <row r="43">
      <c r="A43" s="33"/>
      <c r="B43" s="33"/>
      <c r="C43" s="33"/>
      <c r="D43" s="33"/>
      <c r="E43" s="25"/>
      <c r="F43" s="25"/>
      <c r="G43" s="7"/>
      <c r="H43" s="7"/>
      <c r="I43" s="36"/>
      <c r="J43" s="36"/>
      <c r="K43" s="36"/>
      <c r="L43" s="37"/>
      <c r="M43" s="36"/>
      <c r="N43" s="37"/>
      <c r="O43" s="36"/>
      <c r="P43" s="36"/>
      <c r="Q43" s="37"/>
      <c r="R43" s="6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27"/>
      <c r="AK43" s="27"/>
      <c r="AL43" s="27"/>
      <c r="AM43" s="27"/>
      <c r="AN43" s="39"/>
      <c r="AO43" s="53"/>
      <c r="AP43" s="53"/>
    </row>
    <row r="44">
      <c r="A44" s="24" t="s">
        <v>36</v>
      </c>
      <c r="B44" s="17"/>
      <c r="C44" s="17"/>
      <c r="D44" s="18"/>
      <c r="E44" s="25">
        <v>2.0</v>
      </c>
      <c r="F44" s="25">
        <v>2.0</v>
      </c>
      <c r="G44" s="7">
        <v>1388.0</v>
      </c>
      <c r="H44" s="7" t="s">
        <v>22</v>
      </c>
      <c r="I44" s="26"/>
      <c r="J44" s="26"/>
      <c r="K44" s="26"/>
      <c r="L44" s="26"/>
      <c r="M44" s="26"/>
      <c r="N44" s="26"/>
      <c r="O44" s="26"/>
      <c r="P44" s="26"/>
      <c r="Q44" s="26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9">
        <f>G44+SUM(I44:AL44)-SUM(I45:AL45)</f>
        <v>394</v>
      </c>
      <c r="AO44" s="53">
        <f>ROUNDDOWN((AN44/E44)/$H$4,1)</f>
        <v>6.5</v>
      </c>
      <c r="AP44" s="53">
        <f>$M$3+AO44</f>
        <v>855.5</v>
      </c>
    </row>
    <row r="45">
      <c r="A45" s="31"/>
      <c r="B45" s="17"/>
      <c r="C45" s="17"/>
      <c r="D45" s="17"/>
      <c r="E45" s="17"/>
      <c r="F45" s="18"/>
      <c r="G45" s="26"/>
      <c r="H45" s="7" t="s">
        <v>23</v>
      </c>
      <c r="I45" s="7">
        <v>60.0</v>
      </c>
      <c r="J45" s="26"/>
      <c r="K45" s="7">
        <v>60.0</v>
      </c>
      <c r="L45" s="7">
        <v>60.0</v>
      </c>
      <c r="M45" s="26">
        <f>30+30</f>
        <v>60</v>
      </c>
      <c r="N45" s="26"/>
      <c r="O45" s="7">
        <v>20.0</v>
      </c>
      <c r="P45" s="26">
        <f>20+30</f>
        <v>50</v>
      </c>
      <c r="Q45" s="26"/>
      <c r="R45" s="27">
        <f>30+36</f>
        <v>66</v>
      </c>
      <c r="S45" s="27">
        <f>30+30</f>
        <v>60</v>
      </c>
      <c r="T45" s="27"/>
      <c r="U45" s="27"/>
      <c r="V45" s="27"/>
      <c r="W45" s="27"/>
      <c r="X45" s="27"/>
      <c r="Y45" s="27"/>
      <c r="Z45" s="28">
        <v>6.0</v>
      </c>
      <c r="AA45" s="27"/>
      <c r="AB45" s="28">
        <f>36+30</f>
        <v>66</v>
      </c>
      <c r="AC45" s="27">
        <f>12+30</f>
        <v>42</v>
      </c>
      <c r="AD45" s="27">
        <f>26+30</f>
        <v>56</v>
      </c>
      <c r="AE45" s="27"/>
      <c r="AF45" s="28">
        <f>38+30</f>
        <v>68</v>
      </c>
      <c r="AG45" s="27">
        <f>30+30</f>
        <v>60</v>
      </c>
      <c r="AH45" s="27">
        <f>42+30</f>
        <v>72</v>
      </c>
      <c r="AI45" s="27">
        <f>38+30</f>
        <v>68</v>
      </c>
      <c r="AJ45" s="27">
        <f>30+30</f>
        <v>60</v>
      </c>
      <c r="AK45" s="28">
        <v>60.0</v>
      </c>
      <c r="AL45" s="27"/>
      <c r="AM45" s="27"/>
      <c r="AN45" s="32"/>
    </row>
    <row r="46">
      <c r="A46" s="33"/>
      <c r="B46" s="33"/>
      <c r="C46" s="33"/>
      <c r="D46" s="33"/>
      <c r="E46" s="25"/>
      <c r="F46" s="25"/>
      <c r="G46" s="7"/>
      <c r="H46" s="7"/>
      <c r="I46" s="37"/>
      <c r="J46" s="37"/>
      <c r="K46" s="41"/>
      <c r="L46" s="37"/>
      <c r="M46" s="37"/>
      <c r="N46" s="36"/>
      <c r="O46" s="37"/>
      <c r="P46" s="41"/>
      <c r="Q46" s="37"/>
      <c r="R46" s="6"/>
      <c r="S46" s="6"/>
      <c r="T46" s="10"/>
      <c r="U46" s="10"/>
      <c r="V46" s="10"/>
      <c r="W46" s="10"/>
      <c r="X46" s="6"/>
      <c r="Y46" s="6"/>
      <c r="Z46" s="6"/>
      <c r="AA46" s="10"/>
      <c r="AB46" s="6"/>
      <c r="AC46" s="6"/>
      <c r="AD46" s="6"/>
      <c r="AE46" s="6"/>
      <c r="AF46" s="42"/>
      <c r="AG46" s="6"/>
      <c r="AH46" s="6"/>
      <c r="AI46" s="6"/>
      <c r="AJ46" s="27"/>
      <c r="AK46" s="27"/>
      <c r="AL46" s="27"/>
      <c r="AM46" s="27"/>
      <c r="AN46" s="39"/>
      <c r="AO46" s="53"/>
      <c r="AP46" s="53"/>
    </row>
    <row r="47">
      <c r="A47" s="24" t="s">
        <v>37</v>
      </c>
      <c r="B47" s="17"/>
      <c r="C47" s="17"/>
      <c r="D47" s="18"/>
      <c r="E47" s="25">
        <v>2.0</v>
      </c>
      <c r="F47" s="25" t="s">
        <v>21</v>
      </c>
      <c r="G47" s="7">
        <v>994.0</v>
      </c>
      <c r="H47" s="7" t="s">
        <v>22</v>
      </c>
      <c r="I47" s="26"/>
      <c r="J47" s="26"/>
      <c r="K47" s="7">
        <v>240.0</v>
      </c>
      <c r="L47" s="26"/>
      <c r="M47" s="26"/>
      <c r="N47" s="26"/>
      <c r="O47" s="26"/>
      <c r="P47" s="7">
        <v>240.0</v>
      </c>
      <c r="Q47" s="26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>
        <v>300.0</v>
      </c>
      <c r="AG47" s="27"/>
      <c r="AH47" s="27"/>
      <c r="AI47" s="27"/>
      <c r="AJ47" s="27"/>
      <c r="AK47" s="27"/>
      <c r="AL47" s="27"/>
      <c r="AM47" s="27"/>
      <c r="AN47" s="29">
        <f>G47+SUM(I47:AL47)-SUM(I48:AL48)</f>
        <v>810</v>
      </c>
      <c r="AO47" s="53">
        <f>ROUNDDOWN((AN47/E47)/$H$4,1)</f>
        <v>13.5</v>
      </c>
      <c r="AP47" s="53">
        <f>$M$3+AO47</f>
        <v>862.5</v>
      </c>
    </row>
    <row r="48">
      <c r="A48" s="31"/>
      <c r="B48" s="17"/>
      <c r="C48" s="17"/>
      <c r="D48" s="17"/>
      <c r="E48" s="17"/>
      <c r="F48" s="18"/>
      <c r="G48" s="26"/>
      <c r="H48" s="7" t="s">
        <v>23</v>
      </c>
      <c r="I48" s="7">
        <v>60.0</v>
      </c>
      <c r="J48" s="26"/>
      <c r="K48" s="7">
        <v>60.0</v>
      </c>
      <c r="L48" s="7">
        <v>60.0</v>
      </c>
      <c r="M48" s="26">
        <f>15+15</f>
        <v>30</v>
      </c>
      <c r="N48" s="26"/>
      <c r="O48" s="7">
        <v>20.0</v>
      </c>
      <c r="P48" s="26">
        <f>20+30</f>
        <v>50</v>
      </c>
      <c r="Q48" s="26"/>
      <c r="R48" s="27">
        <f>30+36</f>
        <v>66</v>
      </c>
      <c r="S48" s="27">
        <f>30+30</f>
        <v>60</v>
      </c>
      <c r="T48" s="27"/>
      <c r="U48" s="27"/>
      <c r="V48" s="27"/>
      <c r="W48" s="27"/>
      <c r="X48" s="27"/>
      <c r="Y48" s="27"/>
      <c r="Z48" s="28">
        <v>6.0</v>
      </c>
      <c r="AA48" s="27"/>
      <c r="AB48" s="28">
        <f>36+30</f>
        <v>66</v>
      </c>
      <c r="AC48" s="27">
        <f>12+30</f>
        <v>42</v>
      </c>
      <c r="AD48" s="27">
        <f>26+30</f>
        <v>56</v>
      </c>
      <c r="AE48" s="27"/>
      <c r="AF48" s="27">
        <f>30+38</f>
        <v>68</v>
      </c>
      <c r="AG48" s="27">
        <f>30+30</f>
        <v>60</v>
      </c>
      <c r="AH48" s="27">
        <f>42+30</f>
        <v>72</v>
      </c>
      <c r="AI48" s="27">
        <f>38+30</f>
        <v>68</v>
      </c>
      <c r="AJ48" s="27">
        <f>30+30</f>
        <v>60</v>
      </c>
      <c r="AK48" s="28">
        <v>60.0</v>
      </c>
      <c r="AL48" s="27"/>
      <c r="AM48" s="27"/>
      <c r="AN48" s="32"/>
    </row>
    <row r="49">
      <c r="A49" s="33"/>
      <c r="B49" s="33"/>
      <c r="C49" s="33"/>
      <c r="D49" s="33"/>
      <c r="E49" s="25"/>
      <c r="F49" s="25"/>
      <c r="G49" s="7"/>
      <c r="H49" s="7"/>
      <c r="I49" s="37"/>
      <c r="J49" s="37"/>
      <c r="K49" s="41"/>
      <c r="L49" s="37"/>
      <c r="M49" s="37"/>
      <c r="N49" s="36"/>
      <c r="O49" s="37"/>
      <c r="P49" s="41"/>
      <c r="Q49" s="37"/>
      <c r="R49" s="6"/>
      <c r="S49" s="6"/>
      <c r="T49" s="10"/>
      <c r="U49" s="10"/>
      <c r="V49" s="10"/>
      <c r="W49" s="10"/>
      <c r="X49" s="6"/>
      <c r="Y49" s="6"/>
      <c r="Z49" s="6"/>
      <c r="AA49" s="10"/>
      <c r="AB49" s="6"/>
      <c r="AC49" s="6"/>
      <c r="AD49" s="6"/>
      <c r="AE49" s="6"/>
      <c r="AF49" s="42"/>
      <c r="AG49" s="6"/>
      <c r="AH49" s="6"/>
      <c r="AI49" s="6"/>
      <c r="AJ49" s="27"/>
      <c r="AK49" s="27"/>
      <c r="AL49" s="27"/>
      <c r="AM49" s="27"/>
      <c r="AN49" s="39"/>
      <c r="AO49" s="53"/>
      <c r="AP49" s="53"/>
    </row>
    <row r="50">
      <c r="A50" s="24" t="s">
        <v>38</v>
      </c>
      <c r="B50" s="17"/>
      <c r="C50" s="17"/>
      <c r="D50" s="18"/>
      <c r="E50" s="25">
        <v>1.0</v>
      </c>
      <c r="F50" s="25" t="s">
        <v>21</v>
      </c>
      <c r="G50" s="7">
        <v>675.0</v>
      </c>
      <c r="H50" s="7" t="s">
        <v>22</v>
      </c>
      <c r="I50" s="26"/>
      <c r="J50" s="26"/>
      <c r="K50" s="7">
        <v>120.0</v>
      </c>
      <c r="L50" s="26"/>
      <c r="M50" s="26"/>
      <c r="N50" s="26"/>
      <c r="O50" s="26"/>
      <c r="P50" s="7">
        <v>120.0</v>
      </c>
      <c r="Q50" s="26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8">
        <v>150.0</v>
      </c>
      <c r="AG50" s="27"/>
      <c r="AH50" s="27"/>
      <c r="AI50" s="27"/>
      <c r="AJ50" s="27"/>
      <c r="AK50" s="27"/>
      <c r="AL50" s="27"/>
      <c r="AM50" s="27"/>
      <c r="AN50" s="29">
        <f>G50+SUM(I50:AL50)-SUM(I51:AL51)</f>
        <v>568</v>
      </c>
      <c r="AO50" s="53">
        <f>ROUNDDOWN((AN50/E50)/$H$4,1)</f>
        <v>18.9</v>
      </c>
      <c r="AP50" s="53">
        <f>$M$3+AO50</f>
        <v>867.9</v>
      </c>
    </row>
    <row r="51">
      <c r="A51" s="31"/>
      <c r="B51" s="17"/>
      <c r="C51" s="17"/>
      <c r="D51" s="17"/>
      <c r="E51" s="17"/>
      <c r="F51" s="18"/>
      <c r="G51" s="26"/>
      <c r="H51" s="7" t="s">
        <v>23</v>
      </c>
      <c r="I51" s="7">
        <v>30.0</v>
      </c>
      <c r="J51" s="26"/>
      <c r="K51" s="7">
        <v>30.0</v>
      </c>
      <c r="L51" s="7">
        <v>30.0</v>
      </c>
      <c r="M51" s="26">
        <f>15+15</f>
        <v>30</v>
      </c>
      <c r="N51" s="26"/>
      <c r="O51" s="7">
        <v>10.0</v>
      </c>
      <c r="P51" s="26">
        <f>10+15</f>
        <v>25</v>
      </c>
      <c r="Q51" s="26"/>
      <c r="R51" s="27">
        <f>15+18</f>
        <v>33</v>
      </c>
      <c r="S51" s="27">
        <f>15+15</f>
        <v>30</v>
      </c>
      <c r="T51" s="27"/>
      <c r="U51" s="27"/>
      <c r="V51" s="27"/>
      <c r="W51" s="27"/>
      <c r="X51" s="27"/>
      <c r="Y51" s="27"/>
      <c r="Z51" s="28">
        <v>3.0</v>
      </c>
      <c r="AA51" s="27"/>
      <c r="AB51" s="28">
        <f>18+15</f>
        <v>33</v>
      </c>
      <c r="AC51" s="27">
        <f>6+15</f>
        <v>21</v>
      </c>
      <c r="AD51" s="27">
        <f>13+15</f>
        <v>28</v>
      </c>
      <c r="AE51" s="27"/>
      <c r="AF51" s="27">
        <f>15+19</f>
        <v>34</v>
      </c>
      <c r="AG51" s="27">
        <f>15+15</f>
        <v>30</v>
      </c>
      <c r="AH51" s="27">
        <f>21+15</f>
        <v>36</v>
      </c>
      <c r="AI51" s="27">
        <f>19+15</f>
        <v>34</v>
      </c>
      <c r="AJ51" s="27">
        <f>15+15</f>
        <v>30</v>
      </c>
      <c r="AK51" s="28">
        <v>30.0</v>
      </c>
      <c r="AL51" s="27"/>
      <c r="AM51" s="27"/>
      <c r="AN51" s="32"/>
    </row>
    <row r="52">
      <c r="A52" s="33"/>
      <c r="B52" s="33"/>
      <c r="C52" s="33"/>
      <c r="D52" s="33"/>
      <c r="E52" s="25"/>
      <c r="F52" s="25"/>
      <c r="G52" s="7"/>
      <c r="H52" s="7"/>
      <c r="I52" s="37"/>
      <c r="J52" s="37"/>
      <c r="K52" s="41"/>
      <c r="L52" s="37"/>
      <c r="M52" s="37"/>
      <c r="N52" s="36"/>
      <c r="O52" s="37"/>
      <c r="P52" s="41"/>
      <c r="Q52" s="37"/>
      <c r="R52" s="6"/>
      <c r="S52" s="6"/>
      <c r="T52" s="10"/>
      <c r="U52" s="10"/>
      <c r="V52" s="10"/>
      <c r="W52" s="10"/>
      <c r="X52" s="6"/>
      <c r="Y52" s="6"/>
      <c r="Z52" s="6"/>
      <c r="AA52" s="10"/>
      <c r="AB52" s="6"/>
      <c r="AC52" s="6"/>
      <c r="AD52" s="6"/>
      <c r="AE52" s="6"/>
      <c r="AF52" s="42"/>
      <c r="AG52" s="6"/>
      <c r="AH52" s="6"/>
      <c r="AI52" s="6"/>
      <c r="AJ52" s="27"/>
      <c r="AK52" s="27"/>
      <c r="AL52" s="27"/>
      <c r="AM52" s="27"/>
      <c r="AN52" s="39"/>
      <c r="AO52" s="53"/>
      <c r="AP52" s="53"/>
    </row>
    <row r="53">
      <c r="A53" s="24" t="s">
        <v>39</v>
      </c>
      <c r="B53" s="17"/>
      <c r="C53" s="17"/>
      <c r="D53" s="18"/>
      <c r="E53" s="25">
        <v>1.0</v>
      </c>
      <c r="F53" s="25" t="s">
        <v>21</v>
      </c>
      <c r="G53" s="7">
        <v>696.0</v>
      </c>
      <c r="H53" s="7" t="s">
        <v>22</v>
      </c>
      <c r="I53" s="26"/>
      <c r="J53" s="26"/>
      <c r="K53" s="7">
        <v>120.0</v>
      </c>
      <c r="L53" s="26"/>
      <c r="M53" s="26"/>
      <c r="N53" s="26"/>
      <c r="O53" s="26"/>
      <c r="P53" s="7">
        <v>120.0</v>
      </c>
      <c r="Q53" s="26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8">
        <v>150.0</v>
      </c>
      <c r="AG53" s="27"/>
      <c r="AH53" s="27"/>
      <c r="AI53" s="27"/>
      <c r="AJ53" s="27"/>
      <c r="AK53" s="27"/>
      <c r="AL53" s="27"/>
      <c r="AM53" s="27"/>
      <c r="AN53" s="29">
        <f>G53+SUM(I53:AL53)-SUM(I54:AL54)</f>
        <v>599</v>
      </c>
      <c r="AO53" s="53">
        <f>ROUNDDOWN((AN53/E53)/$H$4,1)</f>
        <v>19.9</v>
      </c>
      <c r="AP53" s="53">
        <f>$M$3+AO53</f>
        <v>868.9</v>
      </c>
    </row>
    <row r="54">
      <c r="A54" s="31"/>
      <c r="B54" s="17"/>
      <c r="C54" s="17"/>
      <c r="D54" s="17"/>
      <c r="E54" s="17"/>
      <c r="F54" s="18"/>
      <c r="G54" s="26"/>
      <c r="H54" s="7" t="s">
        <v>23</v>
      </c>
      <c r="I54" s="7">
        <v>30.0</v>
      </c>
      <c r="J54" s="26"/>
      <c r="K54" s="7">
        <v>30.0</v>
      </c>
      <c r="L54" s="7">
        <v>30.0</v>
      </c>
      <c r="M54" s="26">
        <f>15+15</f>
        <v>30</v>
      </c>
      <c r="N54" s="26"/>
      <c r="O54" s="26"/>
      <c r="P54" s="26">
        <f>10+15</f>
        <v>25</v>
      </c>
      <c r="Q54" s="26"/>
      <c r="R54" s="27">
        <f>15+18</f>
        <v>33</v>
      </c>
      <c r="S54" s="27">
        <f>15+15</f>
        <v>30</v>
      </c>
      <c r="T54" s="27"/>
      <c r="U54" s="27"/>
      <c r="V54" s="27"/>
      <c r="W54" s="27"/>
      <c r="X54" s="27"/>
      <c r="Y54" s="27"/>
      <c r="Z54" s="28">
        <v>3.0</v>
      </c>
      <c r="AA54" s="27"/>
      <c r="AB54" s="28">
        <f>18+15</f>
        <v>33</v>
      </c>
      <c r="AC54" s="27">
        <f>6+15</f>
        <v>21</v>
      </c>
      <c r="AD54" s="27">
        <f>13+15</f>
        <v>28</v>
      </c>
      <c r="AE54" s="27"/>
      <c r="AF54" s="27">
        <f>15+19</f>
        <v>34</v>
      </c>
      <c r="AG54" s="27">
        <f>15+15</f>
        <v>30</v>
      </c>
      <c r="AH54" s="27">
        <f>21+15</f>
        <v>36</v>
      </c>
      <c r="AI54" s="27">
        <f>19+15</f>
        <v>34</v>
      </c>
      <c r="AJ54" s="27">
        <f>15+15</f>
        <v>30</v>
      </c>
      <c r="AK54" s="28">
        <v>30.0</v>
      </c>
      <c r="AL54" s="27"/>
      <c r="AM54" s="27"/>
      <c r="AN54" s="32"/>
    </row>
    <row r="55">
      <c r="A55" s="33"/>
      <c r="B55" s="33"/>
      <c r="C55" s="33"/>
      <c r="D55" s="33"/>
      <c r="E55" s="25"/>
      <c r="F55" s="25"/>
      <c r="G55" s="7"/>
      <c r="H55" s="7"/>
      <c r="I55" s="37"/>
      <c r="J55" s="37"/>
      <c r="K55" s="41"/>
      <c r="L55" s="37"/>
      <c r="M55" s="37"/>
      <c r="N55" s="36"/>
      <c r="O55" s="35"/>
      <c r="P55" s="41"/>
      <c r="Q55" s="37"/>
      <c r="R55" s="6"/>
      <c r="S55" s="6"/>
      <c r="T55" s="10"/>
      <c r="U55" s="10"/>
      <c r="V55" s="10"/>
      <c r="W55" s="10"/>
      <c r="X55" s="6"/>
      <c r="Y55" s="6"/>
      <c r="Z55" s="6"/>
      <c r="AA55" s="6"/>
      <c r="AB55" s="6"/>
      <c r="AC55" s="6"/>
      <c r="AD55" s="6"/>
      <c r="AE55" s="6"/>
      <c r="AF55" s="42"/>
      <c r="AG55" s="6"/>
      <c r="AH55" s="6"/>
      <c r="AI55" s="6"/>
      <c r="AJ55" s="27"/>
      <c r="AK55" s="27"/>
      <c r="AL55" s="27"/>
      <c r="AM55" s="27"/>
      <c r="AN55" s="39"/>
      <c r="AO55" s="53"/>
      <c r="AP55" s="53"/>
    </row>
    <row r="56">
      <c r="A56" s="24" t="s">
        <v>40</v>
      </c>
      <c r="B56" s="17"/>
      <c r="C56" s="17"/>
      <c r="D56" s="18"/>
      <c r="E56" s="25">
        <v>1.0</v>
      </c>
      <c r="F56" s="25" t="s">
        <v>21</v>
      </c>
      <c r="G56" s="7">
        <v>755.0</v>
      </c>
      <c r="H56" s="7" t="s">
        <v>22</v>
      </c>
      <c r="I56" s="26"/>
      <c r="J56" s="26"/>
      <c r="K56" s="7">
        <v>120.0</v>
      </c>
      <c r="L56" s="26"/>
      <c r="M56" s="26"/>
      <c r="N56" s="26"/>
      <c r="O56" s="7">
        <v>10.0</v>
      </c>
      <c r="P56" s="7">
        <v>120.0</v>
      </c>
      <c r="Q56" s="26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8">
        <v>150.0</v>
      </c>
      <c r="AG56" s="27"/>
      <c r="AH56" s="27"/>
      <c r="AI56" s="27"/>
      <c r="AJ56" s="27"/>
      <c r="AK56" s="27"/>
      <c r="AL56" s="27"/>
      <c r="AM56" s="27"/>
      <c r="AN56" s="29">
        <f>G56+SUM(I56:AL56)-SUM(I57:AL57)</f>
        <v>712</v>
      </c>
      <c r="AO56" s="53">
        <f>ROUNDDOWN((AN56/E56)/$H$4,1)</f>
        <v>23.7</v>
      </c>
      <c r="AP56" s="53">
        <f>$M$5+AO56</f>
        <v>871.7</v>
      </c>
    </row>
    <row r="57">
      <c r="A57" s="31"/>
      <c r="B57" s="17"/>
      <c r="C57" s="17"/>
      <c r="D57" s="17"/>
      <c r="E57" s="17"/>
      <c r="F57" s="18"/>
      <c r="G57" s="26"/>
      <c r="H57" s="7" t="s">
        <v>23</v>
      </c>
      <c r="I57" s="7">
        <v>15.0</v>
      </c>
      <c r="J57" s="26"/>
      <c r="K57" s="7">
        <v>30.0</v>
      </c>
      <c r="L57" s="7">
        <v>15.0</v>
      </c>
      <c r="M57" s="26">
        <f>15+15</f>
        <v>30</v>
      </c>
      <c r="N57" s="7">
        <v>12.0</v>
      </c>
      <c r="O57" s="7">
        <v>15.0</v>
      </c>
      <c r="P57" s="26">
        <f>15+15</f>
        <v>30</v>
      </c>
      <c r="Q57" s="26"/>
      <c r="R57" s="27">
        <f>15+15</f>
        <v>30</v>
      </c>
      <c r="S57" s="28">
        <v>15.0</v>
      </c>
      <c r="T57" s="27"/>
      <c r="U57" s="27"/>
      <c r="V57" s="27"/>
      <c r="W57" s="27"/>
      <c r="X57" s="27"/>
      <c r="Y57" s="27"/>
      <c r="Z57" s="27"/>
      <c r="AA57" s="27"/>
      <c r="AB57" s="28">
        <v>15.0</v>
      </c>
      <c r="AC57" s="28">
        <f>15+1</f>
        <v>16</v>
      </c>
      <c r="AD57" s="27">
        <f>15+15</f>
        <v>30</v>
      </c>
      <c r="AE57" s="27"/>
      <c r="AF57" s="27">
        <f t="shared" ref="AF57:AG57" si="5">15+15</f>
        <v>30</v>
      </c>
      <c r="AG57" s="27">
        <f t="shared" si="5"/>
        <v>30</v>
      </c>
      <c r="AH57" s="28">
        <v>30.0</v>
      </c>
      <c r="AI57" s="28">
        <v>30.0</v>
      </c>
      <c r="AJ57" s="28">
        <v>30.0</v>
      </c>
      <c r="AK57" s="28">
        <v>40.0</v>
      </c>
      <c r="AL57" s="27"/>
      <c r="AM57" s="27"/>
      <c r="AN57" s="32"/>
    </row>
    <row r="58">
      <c r="A58" s="54"/>
      <c r="B58" s="54"/>
      <c r="C58" s="54"/>
      <c r="D58" s="54"/>
      <c r="E58" s="25"/>
      <c r="F58" s="25"/>
      <c r="G58" s="7"/>
      <c r="H58" s="7"/>
      <c r="I58" s="37"/>
      <c r="J58" s="37"/>
      <c r="K58" s="41"/>
      <c r="L58" s="37"/>
      <c r="M58" s="37"/>
      <c r="N58" s="37"/>
      <c r="O58" s="37"/>
      <c r="P58" s="41"/>
      <c r="Q58" s="37"/>
      <c r="R58" s="6"/>
      <c r="S58" s="6"/>
      <c r="T58" s="10"/>
      <c r="U58" s="10"/>
      <c r="V58" s="10"/>
      <c r="W58" s="38"/>
      <c r="X58" s="10"/>
      <c r="Y58" s="10"/>
      <c r="Z58" s="10"/>
      <c r="AA58" s="10"/>
      <c r="AB58" s="6"/>
      <c r="AC58" s="6"/>
      <c r="AD58" s="6"/>
      <c r="AE58" s="6"/>
      <c r="AF58" s="42"/>
      <c r="AG58" s="6"/>
      <c r="AH58" s="6"/>
      <c r="AI58" s="6"/>
      <c r="AJ58" s="27"/>
      <c r="AK58" s="27"/>
      <c r="AL58" s="27"/>
      <c r="AM58" s="27"/>
      <c r="AN58" s="39"/>
      <c r="AO58" s="53"/>
      <c r="AP58" s="53"/>
    </row>
    <row r="59">
      <c r="A59" s="55" t="s">
        <v>41</v>
      </c>
      <c r="B59" s="17"/>
      <c r="C59" s="17"/>
      <c r="D59" s="18"/>
      <c r="E59" s="25">
        <v>1.0</v>
      </c>
      <c r="F59" s="25" t="s">
        <v>21</v>
      </c>
      <c r="G59" s="7">
        <v>782.0</v>
      </c>
      <c r="H59" s="7" t="s">
        <v>22</v>
      </c>
      <c r="I59" s="26"/>
      <c r="J59" s="26"/>
      <c r="K59" s="7">
        <v>120.0</v>
      </c>
      <c r="L59" s="26"/>
      <c r="M59" s="26"/>
      <c r="N59" s="26"/>
      <c r="O59" s="26"/>
      <c r="P59" s="7">
        <v>120.0</v>
      </c>
      <c r="Q59" s="26"/>
      <c r="R59" s="27"/>
      <c r="S59" s="27"/>
      <c r="T59" s="27"/>
      <c r="U59" s="27"/>
      <c r="V59" s="27"/>
      <c r="W59" s="28">
        <v>150.0</v>
      </c>
      <c r="X59" s="27"/>
      <c r="Y59" s="27"/>
      <c r="Z59" s="27"/>
      <c r="AA59" s="27"/>
      <c r="AB59" s="27"/>
      <c r="AC59" s="27"/>
      <c r="AD59" s="27"/>
      <c r="AE59" s="27"/>
      <c r="AF59" s="28">
        <v>150.0</v>
      </c>
      <c r="AG59" s="27"/>
      <c r="AH59" s="27"/>
      <c r="AI59" s="27"/>
      <c r="AJ59" s="27"/>
      <c r="AK59" s="27"/>
      <c r="AL59" s="27"/>
      <c r="AM59" s="27"/>
      <c r="AN59" s="29">
        <f>G59+SUM(I59:AL59)-SUM(I60:AL60)</f>
        <v>817</v>
      </c>
      <c r="AO59" s="53">
        <f>ROUNDDOWN((AN59/E59)/$H$4,1)</f>
        <v>27.2</v>
      </c>
      <c r="AP59" s="53">
        <f>$M$3+AO59</f>
        <v>876.2</v>
      </c>
    </row>
    <row r="60">
      <c r="A60" s="31"/>
      <c r="B60" s="17"/>
      <c r="C60" s="17"/>
      <c r="D60" s="17"/>
      <c r="E60" s="17"/>
      <c r="F60" s="18"/>
      <c r="G60" s="26"/>
      <c r="H60" s="7" t="s">
        <v>23</v>
      </c>
      <c r="I60" s="7">
        <v>60.0</v>
      </c>
      <c r="J60" s="26"/>
      <c r="K60" s="26"/>
      <c r="L60" s="7">
        <v>70.0</v>
      </c>
      <c r="M60" s="26"/>
      <c r="N60" s="7">
        <v>60.0</v>
      </c>
      <c r="O60" s="26"/>
      <c r="P60" s="7">
        <v>60.0</v>
      </c>
      <c r="Q60" s="26"/>
      <c r="R60" s="28">
        <v>30.0</v>
      </c>
      <c r="S60" s="27"/>
      <c r="T60" s="27"/>
      <c r="U60" s="27"/>
      <c r="V60" s="27"/>
      <c r="W60" s="27"/>
      <c r="X60" s="27"/>
      <c r="Y60" s="27"/>
      <c r="Z60" s="28">
        <v>50.0</v>
      </c>
      <c r="AA60" s="27"/>
      <c r="AB60" s="27"/>
      <c r="AC60" s="27"/>
      <c r="AD60" s="28">
        <v>60.0</v>
      </c>
      <c r="AE60" s="27"/>
      <c r="AF60" s="27"/>
      <c r="AG60" s="28">
        <v>55.0</v>
      </c>
      <c r="AH60" s="27"/>
      <c r="AI60" s="28">
        <v>60.0</v>
      </c>
      <c r="AJ60" s="27"/>
      <c r="AK60" s="27"/>
      <c r="AL60" s="27"/>
      <c r="AM60" s="27"/>
      <c r="AN60" s="32"/>
    </row>
    <row r="61">
      <c r="A61" s="33"/>
      <c r="B61" s="33"/>
      <c r="C61" s="33"/>
      <c r="D61" s="33"/>
      <c r="E61" s="25"/>
      <c r="F61" s="25"/>
      <c r="G61" s="7"/>
      <c r="H61" s="7"/>
      <c r="I61" s="37"/>
      <c r="J61" s="37"/>
      <c r="K61" s="41"/>
      <c r="L61" s="37"/>
      <c r="M61" s="36"/>
      <c r="N61" s="37"/>
      <c r="O61" s="36"/>
      <c r="P61" s="41"/>
      <c r="Q61" s="37"/>
      <c r="R61" s="6"/>
      <c r="S61" s="10"/>
      <c r="T61" s="10"/>
      <c r="U61" s="10"/>
      <c r="V61" s="10"/>
      <c r="W61" s="6"/>
      <c r="X61" s="6"/>
      <c r="Y61" s="6"/>
      <c r="Z61" s="10"/>
      <c r="AA61" s="10"/>
      <c r="AB61" s="10"/>
      <c r="AC61" s="10"/>
      <c r="AD61" s="10"/>
      <c r="AE61" s="6"/>
      <c r="AF61" s="42"/>
      <c r="AG61" s="10"/>
      <c r="AH61" s="10"/>
      <c r="AI61" s="10"/>
      <c r="AJ61" s="27"/>
      <c r="AK61" s="27"/>
      <c r="AL61" s="27"/>
      <c r="AM61" s="27"/>
      <c r="AN61" s="39"/>
      <c r="AO61" s="53"/>
      <c r="AP61" s="53"/>
    </row>
    <row r="62">
      <c r="A62" s="24" t="s">
        <v>42</v>
      </c>
      <c r="B62" s="17"/>
      <c r="C62" s="17"/>
      <c r="D62" s="18"/>
      <c r="E62" s="25">
        <v>1.0</v>
      </c>
      <c r="F62" s="25" t="s">
        <v>21</v>
      </c>
      <c r="G62" s="7">
        <v>676.0</v>
      </c>
      <c r="H62" s="7" t="s">
        <v>22</v>
      </c>
      <c r="I62" s="26"/>
      <c r="J62" s="26"/>
      <c r="K62" s="7">
        <v>120.0</v>
      </c>
      <c r="L62" s="26"/>
      <c r="M62" s="26"/>
      <c r="N62" s="26"/>
      <c r="O62" s="26"/>
      <c r="P62" s="7">
        <v>120.0</v>
      </c>
      <c r="Q62" s="26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8">
        <v>150.0</v>
      </c>
      <c r="AG62" s="27"/>
      <c r="AH62" s="27"/>
      <c r="AI62" s="27"/>
      <c r="AJ62" s="27"/>
      <c r="AK62" s="27"/>
      <c r="AL62" s="27"/>
      <c r="AM62" s="27"/>
      <c r="AN62" s="29">
        <f>G62+SUM(I62:AL62)-SUM(I63:AL63)</f>
        <v>567</v>
      </c>
      <c r="AO62" s="53">
        <f>ROUNDDOWN((AN62/E62)/$H$4,1)</f>
        <v>18.9</v>
      </c>
      <c r="AP62" s="53">
        <f>$M$3+AO62</f>
        <v>867.9</v>
      </c>
    </row>
    <row r="63">
      <c r="A63" s="31"/>
      <c r="B63" s="17"/>
      <c r="C63" s="17"/>
      <c r="D63" s="17"/>
      <c r="E63" s="17"/>
      <c r="F63" s="18"/>
      <c r="G63" s="26"/>
      <c r="H63" s="7" t="s">
        <v>23</v>
      </c>
      <c r="I63" s="7">
        <v>30.0</v>
      </c>
      <c r="J63" s="26"/>
      <c r="K63" s="7">
        <v>30.0</v>
      </c>
      <c r="L63" s="7">
        <v>30.0</v>
      </c>
      <c r="M63" s="26">
        <f>15+15</f>
        <v>30</v>
      </c>
      <c r="N63" s="26"/>
      <c r="O63" s="7">
        <v>10.0</v>
      </c>
      <c r="P63" s="26">
        <f>10+15</f>
        <v>25</v>
      </c>
      <c r="Q63" s="26"/>
      <c r="R63" s="27">
        <f>15+18</f>
        <v>33</v>
      </c>
      <c r="S63" s="27">
        <f>15+15</f>
        <v>30</v>
      </c>
      <c r="T63" s="27"/>
      <c r="U63" s="27"/>
      <c r="V63" s="27"/>
      <c r="W63" s="27"/>
      <c r="X63" s="27"/>
      <c r="Y63" s="27"/>
      <c r="Z63" s="28">
        <v>5.0</v>
      </c>
      <c r="AA63" s="27"/>
      <c r="AB63" s="28">
        <f>18+15</f>
        <v>33</v>
      </c>
      <c r="AC63" s="27">
        <f>6+15</f>
        <v>21</v>
      </c>
      <c r="AD63" s="27">
        <f>13+15</f>
        <v>28</v>
      </c>
      <c r="AE63" s="27"/>
      <c r="AF63" s="27">
        <f>15+19</f>
        <v>34</v>
      </c>
      <c r="AG63" s="27">
        <f>15+15</f>
        <v>30</v>
      </c>
      <c r="AH63" s="27">
        <f>21+15</f>
        <v>36</v>
      </c>
      <c r="AI63" s="27">
        <f>19+15</f>
        <v>34</v>
      </c>
      <c r="AJ63" s="27">
        <f>15+15</f>
        <v>30</v>
      </c>
      <c r="AK63" s="28">
        <v>30.0</v>
      </c>
      <c r="AL63" s="27"/>
      <c r="AM63" s="27"/>
      <c r="AN63" s="32"/>
    </row>
    <row r="64">
      <c r="A64" s="54"/>
      <c r="B64" s="54"/>
      <c r="C64" s="54"/>
      <c r="D64" s="54"/>
      <c r="E64" s="25"/>
      <c r="F64" s="25"/>
      <c r="G64" s="7"/>
      <c r="H64" s="7"/>
      <c r="I64" s="37"/>
      <c r="J64" s="37"/>
      <c r="K64" s="41"/>
      <c r="L64" s="37"/>
      <c r="M64" s="37"/>
      <c r="N64" s="36"/>
      <c r="O64" s="37"/>
      <c r="P64" s="41"/>
      <c r="Q64" s="37"/>
      <c r="R64" s="6"/>
      <c r="S64" s="6"/>
      <c r="T64" s="10"/>
      <c r="U64" s="10"/>
      <c r="V64" s="10"/>
      <c r="W64" s="38"/>
      <c r="X64" s="6"/>
      <c r="Y64" s="6"/>
      <c r="Z64" s="6"/>
      <c r="AA64" s="10"/>
      <c r="AB64" s="6"/>
      <c r="AC64" s="6"/>
      <c r="AD64" s="6"/>
      <c r="AE64" s="6"/>
      <c r="AF64" s="42"/>
      <c r="AG64" s="6"/>
      <c r="AH64" s="6"/>
      <c r="AI64" s="6"/>
      <c r="AJ64" s="27"/>
      <c r="AK64" s="27"/>
      <c r="AL64" s="27"/>
      <c r="AM64" s="27"/>
      <c r="AN64" s="39"/>
      <c r="AO64" s="53"/>
      <c r="AP64" s="53"/>
    </row>
    <row r="65">
      <c r="A65" s="55" t="s">
        <v>43</v>
      </c>
      <c r="B65" s="17"/>
      <c r="C65" s="17"/>
      <c r="D65" s="18"/>
      <c r="E65" s="25">
        <v>1.0</v>
      </c>
      <c r="F65" s="25" t="s">
        <v>21</v>
      </c>
      <c r="G65" s="7">
        <v>828.0</v>
      </c>
      <c r="H65" s="7" t="s">
        <v>22</v>
      </c>
      <c r="I65" s="26"/>
      <c r="J65" s="26"/>
      <c r="K65" s="7">
        <v>120.0</v>
      </c>
      <c r="L65" s="26"/>
      <c r="M65" s="26"/>
      <c r="N65" s="26"/>
      <c r="O65" s="26"/>
      <c r="P65" s="7">
        <v>120.0</v>
      </c>
      <c r="Q65" s="26"/>
      <c r="R65" s="27"/>
      <c r="S65" s="27"/>
      <c r="T65" s="27"/>
      <c r="U65" s="27"/>
      <c r="V65" s="27"/>
      <c r="W65" s="28">
        <v>150.0</v>
      </c>
      <c r="X65" s="27"/>
      <c r="Y65" s="27"/>
      <c r="Z65" s="27"/>
      <c r="AA65" s="27"/>
      <c r="AB65" s="27"/>
      <c r="AC65" s="27"/>
      <c r="AD65" s="27"/>
      <c r="AE65" s="27"/>
      <c r="AF65" s="28">
        <v>150.0</v>
      </c>
      <c r="AG65" s="27"/>
      <c r="AH65" s="27"/>
      <c r="AI65" s="27"/>
      <c r="AJ65" s="27"/>
      <c r="AK65" s="27"/>
      <c r="AL65" s="27"/>
      <c r="AM65" s="27"/>
      <c r="AN65" s="29">
        <f>G65+SUM(I65:AL65)-SUM(I66:AL66)</f>
        <v>863</v>
      </c>
      <c r="AO65" s="53">
        <f>ROUNDDOWN((AN65/E65)/$H$4,1)</f>
        <v>28.7</v>
      </c>
      <c r="AP65" s="53">
        <f>$M$3+AO65</f>
        <v>877.7</v>
      </c>
    </row>
    <row r="66">
      <c r="A66" s="31"/>
      <c r="B66" s="17"/>
      <c r="C66" s="17"/>
      <c r="D66" s="17"/>
      <c r="E66" s="17"/>
      <c r="F66" s="18"/>
      <c r="G66" s="26"/>
      <c r="H66" s="7" t="s">
        <v>23</v>
      </c>
      <c r="I66" s="7">
        <v>60.0</v>
      </c>
      <c r="J66" s="26"/>
      <c r="K66" s="7"/>
      <c r="L66" s="7">
        <v>70.0</v>
      </c>
      <c r="M66" s="26"/>
      <c r="N66" s="7">
        <v>60.0</v>
      </c>
      <c r="O66" s="26"/>
      <c r="P66" s="7">
        <v>60.0</v>
      </c>
      <c r="Q66" s="26"/>
      <c r="R66" s="28">
        <v>30.0</v>
      </c>
      <c r="S66" s="27"/>
      <c r="T66" s="27"/>
      <c r="U66" s="27"/>
      <c r="V66" s="27"/>
      <c r="W66" s="27"/>
      <c r="X66" s="27"/>
      <c r="Y66" s="27"/>
      <c r="Z66" s="28">
        <v>50.0</v>
      </c>
      <c r="AA66" s="27"/>
      <c r="AB66" s="27"/>
      <c r="AC66" s="27"/>
      <c r="AD66" s="28">
        <v>60.0</v>
      </c>
      <c r="AE66" s="27"/>
      <c r="AF66" s="27"/>
      <c r="AG66" s="28">
        <v>55.0</v>
      </c>
      <c r="AH66" s="27"/>
      <c r="AI66" s="28">
        <v>60.0</v>
      </c>
      <c r="AJ66" s="27"/>
      <c r="AK66" s="27"/>
      <c r="AL66" s="27"/>
      <c r="AM66" s="27"/>
      <c r="AN66" s="32"/>
    </row>
    <row r="67">
      <c r="A67" s="33"/>
      <c r="B67" s="33"/>
      <c r="C67" s="33"/>
      <c r="D67" s="33"/>
      <c r="E67" s="25"/>
      <c r="F67" s="25"/>
      <c r="G67" s="7"/>
      <c r="H67" s="7"/>
      <c r="I67" s="37"/>
      <c r="J67" s="37"/>
      <c r="K67" s="35"/>
      <c r="L67" s="37"/>
      <c r="M67" s="36"/>
      <c r="N67" s="37"/>
      <c r="O67" s="36"/>
      <c r="P67" s="41"/>
      <c r="Q67" s="37"/>
      <c r="R67" s="6"/>
      <c r="S67" s="10"/>
      <c r="T67" s="10"/>
      <c r="U67" s="10"/>
      <c r="V67" s="10"/>
      <c r="W67" s="6"/>
      <c r="X67" s="6"/>
      <c r="Y67" s="6"/>
      <c r="Z67" s="10"/>
      <c r="AA67" s="10"/>
      <c r="AB67" s="10"/>
      <c r="AC67" s="10"/>
      <c r="AD67" s="10"/>
      <c r="AE67" s="10"/>
      <c r="AF67" s="42"/>
      <c r="AG67" s="10"/>
      <c r="AH67" s="10"/>
      <c r="AI67" s="10"/>
      <c r="AJ67" s="27"/>
      <c r="AK67" s="27"/>
      <c r="AL67" s="27"/>
      <c r="AM67" s="27"/>
      <c r="AN67" s="39"/>
      <c r="AO67" s="53"/>
      <c r="AP67" s="53"/>
    </row>
    <row r="68">
      <c r="A68" s="24" t="s">
        <v>44</v>
      </c>
      <c r="B68" s="17"/>
      <c r="C68" s="17"/>
      <c r="D68" s="18"/>
      <c r="E68" s="25">
        <v>2.0</v>
      </c>
      <c r="F68" s="25" t="s">
        <v>21</v>
      </c>
      <c r="G68" s="7">
        <v>1076.0</v>
      </c>
      <c r="H68" s="7" t="s">
        <v>22</v>
      </c>
      <c r="I68" s="26"/>
      <c r="J68" s="26"/>
      <c r="K68" s="7">
        <v>240.0</v>
      </c>
      <c r="L68" s="26"/>
      <c r="M68" s="26"/>
      <c r="N68" s="26"/>
      <c r="O68" s="26"/>
      <c r="P68" s="7">
        <v>240.0</v>
      </c>
      <c r="Q68" s="26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8">
        <v>300.0</v>
      </c>
      <c r="AG68" s="27"/>
      <c r="AH68" s="27"/>
      <c r="AI68" s="27"/>
      <c r="AJ68" s="27"/>
      <c r="AK68" s="27"/>
      <c r="AL68" s="27"/>
      <c r="AM68" s="27"/>
      <c r="AN68" s="29">
        <f>G68+SUM(I68:AL68)-SUM(I69:AL69)</f>
        <v>992</v>
      </c>
      <c r="AO68" s="53">
        <f>ROUNDDOWN((AN68/E68)/$H$4,1)</f>
        <v>16.5</v>
      </c>
      <c r="AP68" s="53">
        <f>$M$5+AO68</f>
        <v>864.5</v>
      </c>
    </row>
    <row r="69">
      <c r="A69" s="31"/>
      <c r="B69" s="17"/>
      <c r="C69" s="17"/>
      <c r="D69" s="17"/>
      <c r="E69" s="17"/>
      <c r="F69" s="18"/>
      <c r="G69" s="26"/>
      <c r="H69" s="7" t="s">
        <v>23</v>
      </c>
      <c r="I69" s="7">
        <v>30.0</v>
      </c>
      <c r="J69" s="26"/>
      <c r="K69" s="7">
        <v>60.0</v>
      </c>
      <c r="L69" s="7">
        <v>30.0</v>
      </c>
      <c r="M69" s="26">
        <f>15+15</f>
        <v>30</v>
      </c>
      <c r="N69" s="7">
        <v>24.0</v>
      </c>
      <c r="O69" s="7">
        <v>30.0</v>
      </c>
      <c r="P69" s="26">
        <f>15+15</f>
        <v>30</v>
      </c>
      <c r="Q69" s="26"/>
      <c r="R69" s="27">
        <f>30+30</f>
        <v>60</v>
      </c>
      <c r="S69" s="28">
        <v>30.0</v>
      </c>
      <c r="T69" s="27"/>
      <c r="U69" s="27"/>
      <c r="V69" s="27"/>
      <c r="W69" s="27"/>
      <c r="X69" s="27"/>
      <c r="Y69" s="27"/>
      <c r="Z69" s="28">
        <v>10.0</v>
      </c>
      <c r="AA69" s="27"/>
      <c r="AB69" s="28">
        <v>30.0</v>
      </c>
      <c r="AC69" s="28">
        <f t="shared" ref="AC69:AD69" si="6">30+30</f>
        <v>60</v>
      </c>
      <c r="AD69" s="27">
        <f t="shared" si="6"/>
        <v>60</v>
      </c>
      <c r="AE69" s="27"/>
      <c r="AF69" s="27">
        <f t="shared" ref="AF69:AG69" si="7">30+30</f>
        <v>60</v>
      </c>
      <c r="AG69" s="27">
        <f t="shared" si="7"/>
        <v>60</v>
      </c>
      <c r="AH69" s="28">
        <v>60.0</v>
      </c>
      <c r="AI69" s="28">
        <v>60.0</v>
      </c>
      <c r="AJ69" s="28">
        <v>60.0</v>
      </c>
      <c r="AK69" s="28">
        <v>80.0</v>
      </c>
      <c r="AL69" s="27"/>
      <c r="AM69" s="27"/>
      <c r="AN69" s="32"/>
    </row>
    <row r="70">
      <c r="A70" s="33"/>
      <c r="B70" s="33"/>
      <c r="C70" s="33"/>
      <c r="D70" s="33"/>
      <c r="E70" s="25"/>
      <c r="F70" s="25"/>
      <c r="G70" s="7"/>
      <c r="H70" s="7"/>
      <c r="I70" s="37"/>
      <c r="J70" s="37"/>
      <c r="K70" s="37"/>
      <c r="L70" s="37"/>
      <c r="M70" s="37"/>
      <c r="N70" s="37"/>
      <c r="O70" s="37"/>
      <c r="P70" s="37"/>
      <c r="Q70" s="37"/>
      <c r="R70" s="6"/>
      <c r="S70" s="6"/>
      <c r="T70" s="10"/>
      <c r="U70" s="10"/>
      <c r="V70" s="10"/>
      <c r="W70" s="10"/>
      <c r="X70" s="6"/>
      <c r="Y70" s="6"/>
      <c r="Z70" s="6"/>
      <c r="AA70" s="10"/>
      <c r="AB70" s="6"/>
      <c r="AC70" s="6"/>
      <c r="AD70" s="6"/>
      <c r="AE70" s="6"/>
      <c r="AF70" s="6"/>
      <c r="AG70" s="6"/>
      <c r="AH70" s="6"/>
      <c r="AI70" s="6"/>
      <c r="AJ70" s="27"/>
      <c r="AK70" s="27"/>
      <c r="AL70" s="27"/>
      <c r="AM70" s="27"/>
      <c r="AN70" s="39"/>
      <c r="AO70" s="53"/>
      <c r="AP70" s="53"/>
    </row>
    <row r="71">
      <c r="A71" s="24" t="s">
        <v>45</v>
      </c>
      <c r="B71" s="17"/>
      <c r="C71" s="17"/>
      <c r="D71" s="18"/>
      <c r="E71" s="25">
        <v>2.0</v>
      </c>
      <c r="F71" s="25" t="s">
        <v>46</v>
      </c>
      <c r="G71" s="7">
        <v>3400.0</v>
      </c>
      <c r="H71" s="7" t="s">
        <v>22</v>
      </c>
      <c r="I71" s="26"/>
      <c r="J71" s="26"/>
      <c r="K71" s="26"/>
      <c r="L71" s="26"/>
      <c r="M71" s="26"/>
      <c r="N71" s="26"/>
      <c r="O71" s="26"/>
      <c r="P71" s="26"/>
      <c r="Q71" s="26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9">
        <f>G71+SUM(I71:AL71)-SUM(I72:AL72)</f>
        <v>3020</v>
      </c>
      <c r="AO71" s="53">
        <f>ROUNDDOWN((AN71/E71)/$H$4,1)</f>
        <v>50.3</v>
      </c>
      <c r="AP71" s="53">
        <f>$M$5+AO71</f>
        <v>898.3</v>
      </c>
    </row>
    <row r="72">
      <c r="A72" s="31"/>
      <c r="B72" s="17"/>
      <c r="C72" s="17"/>
      <c r="D72" s="17"/>
      <c r="E72" s="17"/>
      <c r="F72" s="18"/>
      <c r="G72" s="26"/>
      <c r="H72" s="7" t="s">
        <v>23</v>
      </c>
      <c r="I72" s="26"/>
      <c r="J72" s="26"/>
      <c r="K72" s="26"/>
      <c r="L72" s="26"/>
      <c r="M72" s="26"/>
      <c r="N72" s="26"/>
      <c r="O72" s="26"/>
      <c r="P72" s="26"/>
      <c r="Q72" s="26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8">
        <v>60.0</v>
      </c>
      <c r="AE72" s="27"/>
      <c r="AF72" s="28">
        <v>60.0</v>
      </c>
      <c r="AG72" s="28">
        <v>60.0</v>
      </c>
      <c r="AH72" s="28">
        <v>30.0</v>
      </c>
      <c r="AI72" s="28">
        <v>30.0</v>
      </c>
      <c r="AJ72" s="28">
        <v>60.0</v>
      </c>
      <c r="AK72" s="28">
        <v>80.0</v>
      </c>
      <c r="AL72" s="27"/>
      <c r="AM72" s="27"/>
      <c r="AN72" s="32"/>
    </row>
    <row r="73">
      <c r="A73" s="33"/>
      <c r="B73" s="33"/>
      <c r="C73" s="33"/>
      <c r="D73" s="33"/>
      <c r="E73" s="25"/>
      <c r="F73" s="25"/>
      <c r="G73" s="7"/>
      <c r="H73" s="7"/>
      <c r="I73" s="36"/>
      <c r="J73" s="36"/>
      <c r="K73" s="36"/>
      <c r="L73" s="36"/>
      <c r="M73" s="36"/>
      <c r="N73" s="36"/>
      <c r="O73" s="36"/>
      <c r="P73" s="36"/>
      <c r="Q73" s="36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6"/>
      <c r="AE73" s="6"/>
      <c r="AF73" s="6"/>
      <c r="AG73" s="6"/>
      <c r="AH73" s="6"/>
      <c r="AI73" s="6"/>
      <c r="AJ73" s="27"/>
      <c r="AK73" s="27"/>
      <c r="AL73" s="27"/>
      <c r="AM73" s="27"/>
      <c r="AN73" s="39"/>
      <c r="AO73" s="53"/>
      <c r="AP73" s="53"/>
    </row>
    <row r="74">
      <c r="A74" s="24" t="s">
        <v>47</v>
      </c>
      <c r="B74" s="17"/>
      <c r="C74" s="17"/>
      <c r="D74" s="18"/>
      <c r="E74" s="25">
        <v>1.0</v>
      </c>
      <c r="F74" s="25" t="s">
        <v>21</v>
      </c>
      <c r="G74" s="7">
        <v>621.0</v>
      </c>
      <c r="H74" s="7" t="s">
        <v>22</v>
      </c>
      <c r="I74" s="26"/>
      <c r="J74" s="26"/>
      <c r="K74" s="26"/>
      <c r="L74" s="26"/>
      <c r="M74" s="26"/>
      <c r="N74" s="26"/>
      <c r="O74" s="26"/>
      <c r="P74" s="26"/>
      <c r="Q74" s="26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9">
        <f>G74+SUM(I74:AL74)-SUM(I75:AL75)</f>
        <v>144</v>
      </c>
      <c r="AO74" s="53">
        <f>ROUNDDOWN((AN74/E74)/$H$4,1)</f>
        <v>4.8</v>
      </c>
      <c r="AP74" s="53">
        <f>$M$5+AO74</f>
        <v>852.8</v>
      </c>
    </row>
    <row r="75">
      <c r="A75" s="31"/>
      <c r="B75" s="17"/>
      <c r="C75" s="17"/>
      <c r="D75" s="17"/>
      <c r="E75" s="17"/>
      <c r="F75" s="18"/>
      <c r="G75" s="26"/>
      <c r="H75" s="7" t="s">
        <v>23</v>
      </c>
      <c r="I75" s="7">
        <v>15.0</v>
      </c>
      <c r="J75" s="26"/>
      <c r="K75" s="7">
        <v>30.0</v>
      </c>
      <c r="L75" s="7">
        <v>30.0</v>
      </c>
      <c r="M75" s="26">
        <f>15+15</f>
        <v>30</v>
      </c>
      <c r="N75" s="7">
        <v>12.0</v>
      </c>
      <c r="O75" s="7">
        <v>15.0</v>
      </c>
      <c r="P75" s="26">
        <f>15+15</f>
        <v>30</v>
      </c>
      <c r="Q75" s="26"/>
      <c r="R75" s="27">
        <f>15+15</f>
        <v>30</v>
      </c>
      <c r="S75" s="28">
        <v>15.0</v>
      </c>
      <c r="T75" s="27"/>
      <c r="U75" s="27"/>
      <c r="V75" s="27"/>
      <c r="W75" s="27"/>
      <c r="X75" s="27"/>
      <c r="Y75" s="27"/>
      <c r="Z75" s="28">
        <v>5.0</v>
      </c>
      <c r="AA75" s="27"/>
      <c r="AB75" s="28">
        <v>15.0</v>
      </c>
      <c r="AC75" s="28">
        <f t="shared" ref="AC75:AD75" si="8">15+15</f>
        <v>30</v>
      </c>
      <c r="AD75" s="27">
        <f t="shared" si="8"/>
        <v>30</v>
      </c>
      <c r="AE75" s="27"/>
      <c r="AF75" s="27">
        <f t="shared" ref="AF75:AG75" si="9">15+15</f>
        <v>30</v>
      </c>
      <c r="AG75" s="27">
        <f t="shared" si="9"/>
        <v>30</v>
      </c>
      <c r="AH75" s="28">
        <v>30.0</v>
      </c>
      <c r="AI75" s="28">
        <v>30.0</v>
      </c>
      <c r="AJ75" s="28">
        <v>30.0</v>
      </c>
      <c r="AK75" s="28">
        <v>40.0</v>
      </c>
      <c r="AL75" s="27"/>
      <c r="AM75" s="27"/>
      <c r="AN75" s="32"/>
    </row>
    <row r="76">
      <c r="A76" s="33"/>
      <c r="B76" s="33"/>
      <c r="C76" s="33"/>
      <c r="D76" s="33"/>
      <c r="E76" s="25"/>
      <c r="F76" s="25"/>
      <c r="G76" s="7"/>
      <c r="H76" s="7"/>
      <c r="I76" s="37"/>
      <c r="J76" s="37"/>
      <c r="K76" s="41"/>
      <c r="L76" s="41"/>
      <c r="M76" s="37"/>
      <c r="N76" s="37"/>
      <c r="O76" s="37"/>
      <c r="P76" s="37"/>
      <c r="Q76" s="37"/>
      <c r="R76" s="6"/>
      <c r="S76" s="6"/>
      <c r="T76" s="10"/>
      <c r="U76" s="38"/>
      <c r="V76" s="10"/>
      <c r="W76" s="10"/>
      <c r="X76" s="6"/>
      <c r="Y76" s="6"/>
      <c r="Z76" s="42"/>
      <c r="AA76" s="42"/>
      <c r="AB76" s="6"/>
      <c r="AC76" s="42"/>
      <c r="AD76" s="42"/>
      <c r="AE76" s="6"/>
      <c r="AF76" s="6"/>
      <c r="AG76" s="6"/>
      <c r="AH76" s="6"/>
      <c r="AI76" s="6"/>
      <c r="AJ76" s="27"/>
      <c r="AK76" s="27"/>
      <c r="AL76" s="27"/>
      <c r="AM76" s="27"/>
      <c r="AN76" s="39"/>
      <c r="AO76" s="53"/>
      <c r="AP76" s="53"/>
    </row>
    <row r="77">
      <c r="A77" s="24" t="s">
        <v>48</v>
      </c>
      <c r="B77" s="17"/>
      <c r="C77" s="17"/>
      <c r="D77" s="18"/>
      <c r="E77" s="25">
        <v>2.0</v>
      </c>
      <c r="F77" s="25" t="s">
        <v>21</v>
      </c>
      <c r="G77" s="7">
        <v>458.0</v>
      </c>
      <c r="H77" s="7" t="s">
        <v>22</v>
      </c>
      <c r="I77" s="26"/>
      <c r="J77" s="26"/>
      <c r="K77" s="7">
        <v>180.0</v>
      </c>
      <c r="L77" s="7">
        <v>60.0</v>
      </c>
      <c r="M77" s="26"/>
      <c r="N77" s="26"/>
      <c r="O77" s="26"/>
      <c r="P77" s="26"/>
      <c r="Q77" s="26"/>
      <c r="R77" s="27"/>
      <c r="S77" s="27"/>
      <c r="T77" s="27"/>
      <c r="U77" s="28">
        <v>120.0</v>
      </c>
      <c r="V77" s="27"/>
      <c r="W77" s="27"/>
      <c r="X77" s="27"/>
      <c r="Y77" s="27"/>
      <c r="Z77" s="28">
        <v>120.0</v>
      </c>
      <c r="AA77" s="28">
        <v>120.0</v>
      </c>
      <c r="AB77" s="27"/>
      <c r="AC77" s="28"/>
      <c r="AD77" s="28">
        <v>240.0</v>
      </c>
      <c r="AE77" s="27"/>
      <c r="AF77" s="27"/>
      <c r="AG77" s="27"/>
      <c r="AH77" s="27"/>
      <c r="AI77" s="27"/>
      <c r="AJ77" s="27"/>
      <c r="AK77" s="27"/>
      <c r="AL77" s="27"/>
      <c r="AM77" s="27"/>
      <c r="AN77" s="29">
        <f>G77+SUM(I77:AL77)-SUM(I78:AL78)</f>
        <v>274</v>
      </c>
      <c r="AO77" s="53">
        <f>ROUNDDOWN((AN77/E77)/$H$4,1)</f>
        <v>4.5</v>
      </c>
      <c r="AP77" s="53">
        <f>$M$3+AO77</f>
        <v>853.5</v>
      </c>
    </row>
    <row r="78">
      <c r="A78" s="31"/>
      <c r="B78" s="17"/>
      <c r="C78" s="17"/>
      <c r="D78" s="17"/>
      <c r="E78" s="17"/>
      <c r="F78" s="18"/>
      <c r="G78" s="26"/>
      <c r="H78" s="7" t="s">
        <v>23</v>
      </c>
      <c r="I78" s="7">
        <v>50.0</v>
      </c>
      <c r="J78" s="26"/>
      <c r="K78" s="7">
        <v>68.0</v>
      </c>
      <c r="L78" s="7">
        <v>56.0</v>
      </c>
      <c r="M78" s="7">
        <v>60.0</v>
      </c>
      <c r="N78" s="7">
        <v>20.0</v>
      </c>
      <c r="O78" s="7">
        <v>30.0</v>
      </c>
      <c r="P78" s="26">
        <f>20+30</f>
        <v>50</v>
      </c>
      <c r="Q78" s="26"/>
      <c r="R78" s="27">
        <f>30+20</f>
        <v>50</v>
      </c>
      <c r="S78" s="27">
        <f>26+46</f>
        <v>72</v>
      </c>
      <c r="T78" s="27"/>
      <c r="U78" s="27"/>
      <c r="V78" s="27"/>
      <c r="W78" s="27"/>
      <c r="X78" s="27"/>
      <c r="Y78" s="27"/>
      <c r="Z78" s="28">
        <v>10.0</v>
      </c>
      <c r="AA78" s="27"/>
      <c r="AB78" s="28">
        <f>30+30</f>
        <v>60</v>
      </c>
      <c r="AC78" s="27">
        <f>38+30</f>
        <v>68</v>
      </c>
      <c r="AD78" s="27">
        <f>20+30</f>
        <v>50</v>
      </c>
      <c r="AE78" s="27"/>
      <c r="AF78" s="27">
        <f>30+30</f>
        <v>60</v>
      </c>
      <c r="AG78" s="27">
        <f>38+30</f>
        <v>68</v>
      </c>
      <c r="AH78" s="27">
        <f>30+30</f>
        <v>60</v>
      </c>
      <c r="AI78" s="27">
        <f>36+30</f>
        <v>66</v>
      </c>
      <c r="AJ78" s="27">
        <f>30+30</f>
        <v>60</v>
      </c>
      <c r="AK78" s="28">
        <v>66.0</v>
      </c>
      <c r="AL78" s="27"/>
      <c r="AM78" s="27"/>
      <c r="AN78" s="32"/>
    </row>
    <row r="79">
      <c r="A79" s="33"/>
      <c r="B79" s="33"/>
      <c r="C79" s="33"/>
      <c r="D79" s="33"/>
      <c r="E79" s="25"/>
      <c r="F79" s="25"/>
      <c r="G79" s="7"/>
      <c r="H79" s="7"/>
      <c r="I79" s="37"/>
      <c r="J79" s="37"/>
      <c r="K79" s="41"/>
      <c r="L79" s="41"/>
      <c r="M79" s="37"/>
      <c r="N79" s="37"/>
      <c r="O79" s="37"/>
      <c r="P79" s="37"/>
      <c r="Q79" s="37"/>
      <c r="R79" s="6"/>
      <c r="S79" s="6"/>
      <c r="T79" s="10"/>
      <c r="U79" s="42"/>
      <c r="V79" s="10"/>
      <c r="W79" s="10"/>
      <c r="X79" s="6"/>
      <c r="Y79" s="6"/>
      <c r="Z79" s="42"/>
      <c r="AA79" s="42"/>
      <c r="AB79" s="6"/>
      <c r="AC79" s="42"/>
      <c r="AD79" s="42"/>
      <c r="AE79" s="6"/>
      <c r="AF79" s="6"/>
      <c r="AG79" s="6"/>
      <c r="AH79" s="6"/>
      <c r="AI79" s="6"/>
      <c r="AJ79" s="27"/>
      <c r="AK79" s="27"/>
      <c r="AL79" s="27"/>
      <c r="AM79" s="27"/>
      <c r="AN79" s="39"/>
      <c r="AO79" s="53"/>
      <c r="AP79" s="53"/>
    </row>
    <row r="80">
      <c r="A80" s="24" t="s">
        <v>49</v>
      </c>
      <c r="B80" s="17"/>
      <c r="C80" s="17"/>
      <c r="D80" s="18"/>
      <c r="E80" s="25">
        <v>3.0</v>
      </c>
      <c r="F80" s="25" t="s">
        <v>21</v>
      </c>
      <c r="G80" s="7">
        <v>852.0</v>
      </c>
      <c r="H80" s="7" t="s">
        <v>22</v>
      </c>
      <c r="I80" s="26"/>
      <c r="J80" s="26"/>
      <c r="K80" s="7">
        <v>270.0</v>
      </c>
      <c r="L80" s="7">
        <v>90.0</v>
      </c>
      <c r="M80" s="26"/>
      <c r="N80" s="26"/>
      <c r="O80" s="26"/>
      <c r="P80" s="26"/>
      <c r="Q80" s="26"/>
      <c r="R80" s="27"/>
      <c r="S80" s="27"/>
      <c r="T80" s="27"/>
      <c r="U80" s="28">
        <v>180.0</v>
      </c>
      <c r="V80" s="27"/>
      <c r="W80" s="27"/>
      <c r="X80" s="27"/>
      <c r="Y80" s="27"/>
      <c r="Z80" s="28">
        <v>180.0</v>
      </c>
      <c r="AA80" s="28">
        <v>180.0</v>
      </c>
      <c r="AB80" s="27"/>
      <c r="AC80" s="28"/>
      <c r="AD80" s="28">
        <v>360.0</v>
      </c>
      <c r="AE80" s="27"/>
      <c r="AF80" s="27"/>
      <c r="AG80" s="27"/>
      <c r="AH80" s="27"/>
      <c r="AI80" s="27"/>
      <c r="AJ80" s="27"/>
      <c r="AK80" s="27"/>
      <c r="AL80" s="27"/>
      <c r="AM80" s="27"/>
      <c r="AN80" s="29">
        <f>G80+SUM(I80:AL80)-SUM(I81:AL81)</f>
        <v>576</v>
      </c>
      <c r="AO80" s="53">
        <f>ROUNDDOWN((AN80/E80)/$H$4,1)</f>
        <v>6.4</v>
      </c>
      <c r="AP80" s="53">
        <f>$M$3+AO80</f>
        <v>855.4</v>
      </c>
    </row>
    <row r="81">
      <c r="A81" s="56"/>
      <c r="B81" s="56"/>
      <c r="C81" s="56"/>
      <c r="D81" s="56"/>
      <c r="E81" s="57"/>
      <c r="F81" s="57"/>
      <c r="G81" s="26"/>
      <c r="H81" s="7" t="s">
        <v>23</v>
      </c>
      <c r="I81" s="7">
        <v>75.0</v>
      </c>
      <c r="J81" s="26"/>
      <c r="K81" s="7">
        <v>102.0</v>
      </c>
      <c r="L81" s="7">
        <v>84.0</v>
      </c>
      <c r="M81" s="7">
        <v>90.0</v>
      </c>
      <c r="N81" s="7">
        <v>30.0</v>
      </c>
      <c r="O81" s="7">
        <v>45.0</v>
      </c>
      <c r="P81" s="26">
        <f>30+45</f>
        <v>75</v>
      </c>
      <c r="Q81" s="26"/>
      <c r="R81" s="27">
        <f>45+30</f>
        <v>75</v>
      </c>
      <c r="S81" s="27">
        <f>39+69</f>
        <v>108</v>
      </c>
      <c r="T81" s="27"/>
      <c r="U81" s="27"/>
      <c r="V81" s="27"/>
      <c r="W81" s="27"/>
      <c r="X81" s="27"/>
      <c r="Y81" s="27"/>
      <c r="Z81" s="28">
        <v>15.0</v>
      </c>
      <c r="AA81" s="27"/>
      <c r="AB81" s="28">
        <f>45+45</f>
        <v>90</v>
      </c>
      <c r="AC81" s="27">
        <f>57+45</f>
        <v>102</v>
      </c>
      <c r="AD81" s="28">
        <f>30+45</f>
        <v>75</v>
      </c>
      <c r="AE81" s="27"/>
      <c r="AF81" s="27">
        <f>45+45</f>
        <v>90</v>
      </c>
      <c r="AG81" s="27">
        <f>57+45</f>
        <v>102</v>
      </c>
      <c r="AH81" s="27">
        <f>45+45</f>
        <v>90</v>
      </c>
      <c r="AI81" s="27">
        <f>54+45</f>
        <v>99</v>
      </c>
      <c r="AJ81" s="27">
        <f>45+45</f>
        <v>90</v>
      </c>
      <c r="AK81" s="28">
        <v>99.0</v>
      </c>
      <c r="AL81" s="27"/>
      <c r="AM81" s="27"/>
      <c r="AN81" s="32"/>
    </row>
    <row r="82">
      <c r="A82" s="58"/>
      <c r="B82" s="58"/>
      <c r="C82" s="58"/>
      <c r="D82" s="58"/>
      <c r="E82" s="58"/>
      <c r="F82" s="58"/>
      <c r="G82" s="59"/>
      <c r="H82" s="59"/>
      <c r="I82" s="60"/>
      <c r="J82" s="60"/>
      <c r="K82" s="60"/>
      <c r="L82" s="60"/>
      <c r="M82" s="60"/>
      <c r="N82" s="60"/>
      <c r="O82" s="60"/>
      <c r="P82" s="60"/>
      <c r="Q82" s="60"/>
      <c r="R82" s="61"/>
      <c r="S82" s="61"/>
      <c r="T82" s="62"/>
      <c r="U82" s="61"/>
      <c r="V82" s="62"/>
      <c r="W82" s="62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3"/>
      <c r="AK82" s="63"/>
      <c r="AL82" s="63"/>
      <c r="AM82" s="63"/>
      <c r="AN82" s="63"/>
      <c r="AO82" s="64"/>
      <c r="AP82" s="64"/>
    </row>
    <row r="83">
      <c r="A83" s="16" t="s">
        <v>50</v>
      </c>
      <c r="B83" s="17"/>
      <c r="C83" s="17"/>
      <c r="D83" s="17"/>
      <c r="E83" s="17"/>
      <c r="F83" s="18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7"/>
      <c r="AP83" s="67"/>
    </row>
    <row r="84">
      <c r="A84" s="24" t="s">
        <v>51</v>
      </c>
      <c r="B84" s="17"/>
      <c r="C84" s="17"/>
      <c r="D84" s="18"/>
      <c r="E84" s="25">
        <v>1.0</v>
      </c>
      <c r="F84" s="25" t="s">
        <v>21</v>
      </c>
      <c r="G84" s="7">
        <v>349.0</v>
      </c>
      <c r="H84" s="7" t="s">
        <v>22</v>
      </c>
      <c r="I84" s="26"/>
      <c r="J84" s="26"/>
      <c r="K84" s="26"/>
      <c r="L84" s="26"/>
      <c r="M84" s="26"/>
      <c r="N84" s="26"/>
      <c r="O84" s="7">
        <v>300.0</v>
      </c>
      <c r="P84" s="26"/>
      <c r="Q84" s="26"/>
      <c r="R84" s="27"/>
      <c r="S84" s="27"/>
      <c r="T84" s="27"/>
      <c r="U84" s="27"/>
      <c r="V84" s="27"/>
      <c r="W84" s="27"/>
      <c r="X84" s="27"/>
      <c r="Y84" s="27"/>
      <c r="Z84" s="28">
        <v>380.0</v>
      </c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9">
        <f>G84+SUM(I84:AL84)-SUM(I85:AL85)</f>
        <v>530</v>
      </c>
      <c r="AO84" s="53">
        <f>ROUNDDOWN((AN84/E84)/$H$4,1)</f>
        <v>17.6</v>
      </c>
      <c r="AP84" s="53">
        <f>$M$3+AO84</f>
        <v>866.6</v>
      </c>
    </row>
    <row r="85">
      <c r="A85" s="31"/>
      <c r="B85" s="17"/>
      <c r="C85" s="17"/>
      <c r="D85" s="17"/>
      <c r="E85" s="17"/>
      <c r="F85" s="18"/>
      <c r="G85" s="26"/>
      <c r="H85" s="7" t="s">
        <v>23</v>
      </c>
      <c r="I85" s="7">
        <v>30.0</v>
      </c>
      <c r="J85" s="26"/>
      <c r="K85" s="7">
        <v>30.0</v>
      </c>
      <c r="L85" s="7">
        <v>30.0</v>
      </c>
      <c r="M85" s="26">
        <f>15+15</f>
        <v>30</v>
      </c>
      <c r="N85" s="26"/>
      <c r="O85" s="7">
        <f>10+2</f>
        <v>12</v>
      </c>
      <c r="P85" s="26">
        <f>10+15</f>
        <v>25</v>
      </c>
      <c r="Q85" s="26"/>
      <c r="R85" s="27">
        <f>15+18</f>
        <v>33</v>
      </c>
      <c r="S85" s="27">
        <f>15+15</f>
        <v>30</v>
      </c>
      <c r="T85" s="27"/>
      <c r="U85" s="27"/>
      <c r="V85" s="27"/>
      <c r="W85" s="27"/>
      <c r="X85" s="27"/>
      <c r="Y85" s="27"/>
      <c r="Z85" s="28">
        <v>3.0</v>
      </c>
      <c r="AA85" s="27"/>
      <c r="AB85" s="28">
        <f>18+15</f>
        <v>33</v>
      </c>
      <c r="AC85" s="27">
        <f>6+15</f>
        <v>21</v>
      </c>
      <c r="AD85" s="27">
        <f>13+15</f>
        <v>28</v>
      </c>
      <c r="AE85" s="27"/>
      <c r="AF85" s="27">
        <f>15+19</f>
        <v>34</v>
      </c>
      <c r="AG85" s="27">
        <f>15+15</f>
        <v>30</v>
      </c>
      <c r="AH85" s="27">
        <f>21+15</f>
        <v>36</v>
      </c>
      <c r="AI85" s="27">
        <f>19+15</f>
        <v>34</v>
      </c>
      <c r="AJ85" s="27">
        <f>15+15</f>
        <v>30</v>
      </c>
      <c r="AK85" s="28">
        <v>30.0</v>
      </c>
      <c r="AL85" s="27"/>
      <c r="AM85" s="27"/>
      <c r="AN85" s="32"/>
    </row>
    <row r="86">
      <c r="A86" s="33"/>
      <c r="B86" s="33"/>
      <c r="C86" s="33"/>
      <c r="D86" s="33"/>
      <c r="E86" s="25"/>
      <c r="F86" s="25"/>
      <c r="G86" s="7"/>
      <c r="H86" s="7"/>
      <c r="I86" s="37"/>
      <c r="J86" s="37"/>
      <c r="K86" s="37"/>
      <c r="L86" s="37"/>
      <c r="M86" s="37"/>
      <c r="N86" s="37"/>
      <c r="O86" s="37"/>
      <c r="P86" s="37"/>
      <c r="Q86" s="37"/>
      <c r="R86" s="6"/>
      <c r="S86" s="6"/>
      <c r="T86" s="10"/>
      <c r="U86" s="10"/>
      <c r="V86" s="10"/>
      <c r="W86" s="10"/>
      <c r="X86" s="6"/>
      <c r="Y86" s="6"/>
      <c r="Z86" s="6"/>
      <c r="AA86" s="10"/>
      <c r="AB86" s="6"/>
      <c r="AC86" s="6"/>
      <c r="AD86" s="6"/>
      <c r="AE86" s="6"/>
      <c r="AF86" s="6"/>
      <c r="AG86" s="6"/>
      <c r="AH86" s="6"/>
      <c r="AI86" s="6"/>
      <c r="AJ86" s="27"/>
      <c r="AK86" s="27"/>
      <c r="AL86" s="27"/>
      <c r="AM86" s="27"/>
      <c r="AN86" s="39"/>
      <c r="AO86" s="53"/>
      <c r="AP86" s="53"/>
    </row>
    <row r="87">
      <c r="A87" s="24" t="s">
        <v>52</v>
      </c>
      <c r="B87" s="17"/>
      <c r="C87" s="17"/>
      <c r="D87" s="18"/>
      <c r="E87" s="25">
        <v>1.0</v>
      </c>
      <c r="F87" s="25" t="s">
        <v>21</v>
      </c>
      <c r="G87" s="7">
        <v>687.0</v>
      </c>
      <c r="H87" s="7" t="s">
        <v>22</v>
      </c>
      <c r="I87" s="26"/>
      <c r="J87" s="26"/>
      <c r="K87" s="26"/>
      <c r="L87" s="26"/>
      <c r="M87" s="26"/>
      <c r="N87" s="26"/>
      <c r="O87" s="26"/>
      <c r="P87" s="26"/>
      <c r="Q87" s="26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9">
        <f>G87+SUM(I87:AL87)-SUM(I88:AL88)</f>
        <v>175</v>
      </c>
      <c r="AO87" s="53">
        <f>ROUNDDOWN((AN87/E87)/$H$4,1)</f>
        <v>5.8</v>
      </c>
      <c r="AP87" s="53">
        <f>$M$3+AO87</f>
        <v>854.8</v>
      </c>
    </row>
    <row r="88">
      <c r="A88" s="31"/>
      <c r="B88" s="17"/>
      <c r="C88" s="17"/>
      <c r="D88" s="17"/>
      <c r="E88" s="17"/>
      <c r="F88" s="18"/>
      <c r="G88" s="26"/>
      <c r="H88" s="7" t="s">
        <v>23</v>
      </c>
      <c r="I88" s="7">
        <v>25.0</v>
      </c>
      <c r="J88" s="26"/>
      <c r="K88" s="7">
        <v>34.0</v>
      </c>
      <c r="L88" s="7">
        <v>28.0</v>
      </c>
      <c r="M88" s="7">
        <v>30.0</v>
      </c>
      <c r="N88" s="7">
        <v>10.0</v>
      </c>
      <c r="O88" s="7">
        <v>15.0</v>
      </c>
      <c r="P88" s="26">
        <f>10+15</f>
        <v>25</v>
      </c>
      <c r="Q88" s="26"/>
      <c r="R88" s="27">
        <f>15+10</f>
        <v>25</v>
      </c>
      <c r="S88" s="27">
        <f>13+23</f>
        <v>36</v>
      </c>
      <c r="T88" s="27"/>
      <c r="U88" s="27"/>
      <c r="V88" s="27"/>
      <c r="W88" s="27"/>
      <c r="X88" s="27"/>
      <c r="Y88" s="27"/>
      <c r="Z88" s="28">
        <v>5.0</v>
      </c>
      <c r="AA88" s="27"/>
      <c r="AB88" s="28">
        <f>15+15</f>
        <v>30</v>
      </c>
      <c r="AC88" s="27">
        <f>19+15</f>
        <v>34</v>
      </c>
      <c r="AD88" s="27">
        <f>10+15</f>
        <v>25</v>
      </c>
      <c r="AE88" s="27"/>
      <c r="AF88" s="27">
        <f>15+15</f>
        <v>30</v>
      </c>
      <c r="AG88" s="27">
        <f>19+15</f>
        <v>34</v>
      </c>
      <c r="AH88" s="27">
        <f>15+15</f>
        <v>30</v>
      </c>
      <c r="AI88" s="27">
        <f>18+15</f>
        <v>33</v>
      </c>
      <c r="AJ88" s="27">
        <f>15+15</f>
        <v>30</v>
      </c>
      <c r="AK88" s="28">
        <v>33.0</v>
      </c>
      <c r="AL88" s="27"/>
      <c r="AM88" s="27"/>
      <c r="AN88" s="32"/>
    </row>
    <row r="89">
      <c r="A89" s="33"/>
      <c r="B89" s="33"/>
      <c r="C89" s="33"/>
      <c r="D89" s="33"/>
      <c r="E89" s="25"/>
      <c r="F89" s="25"/>
      <c r="G89" s="7"/>
      <c r="H89" s="7"/>
      <c r="I89" s="37"/>
      <c r="J89" s="37"/>
      <c r="K89" s="37"/>
      <c r="L89" s="37"/>
      <c r="M89" s="41"/>
      <c r="N89" s="37"/>
      <c r="O89" s="37"/>
      <c r="P89" s="37"/>
      <c r="Q89" s="37"/>
      <c r="R89" s="6"/>
      <c r="S89" s="6"/>
      <c r="T89" s="10"/>
      <c r="U89" s="10"/>
      <c r="V89" s="10"/>
      <c r="W89" s="10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42"/>
      <c r="AI89" s="10"/>
      <c r="AJ89" s="27"/>
      <c r="AK89" s="27"/>
      <c r="AL89" s="27"/>
      <c r="AM89" s="27"/>
      <c r="AN89" s="39"/>
      <c r="AO89" s="53"/>
      <c r="AP89" s="53"/>
    </row>
    <row r="90">
      <c r="A90" s="24" t="s">
        <v>53</v>
      </c>
      <c r="B90" s="17"/>
      <c r="C90" s="17"/>
      <c r="D90" s="18"/>
      <c r="E90" s="25">
        <v>1.0</v>
      </c>
      <c r="F90" s="25" t="s">
        <v>30</v>
      </c>
      <c r="G90" s="7">
        <v>335.0</v>
      </c>
      <c r="H90" s="7" t="s">
        <v>22</v>
      </c>
      <c r="I90" s="26"/>
      <c r="J90" s="26"/>
      <c r="K90" s="26"/>
      <c r="L90" s="26"/>
      <c r="M90" s="7">
        <v>60.0</v>
      </c>
      <c r="N90" s="26"/>
      <c r="O90" s="26"/>
      <c r="P90" s="26"/>
      <c r="Q90" s="26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8">
        <v>120.0</v>
      </c>
      <c r="AI90" s="27"/>
      <c r="AJ90" s="27"/>
      <c r="AK90" s="27"/>
      <c r="AL90" s="27"/>
      <c r="AM90" s="27"/>
      <c r="AN90" s="29">
        <f>G90+SUM(I90:AL90)-SUM(I91:AL91)</f>
        <v>18</v>
      </c>
      <c r="AO90" s="53">
        <f>ROUNDDOWN((AN90/E90)/$H$4,1)</f>
        <v>0.6</v>
      </c>
      <c r="AP90" s="53">
        <f>$M$3+AO90</f>
        <v>849.6</v>
      </c>
    </row>
    <row r="91">
      <c r="A91" s="56"/>
      <c r="B91" s="56"/>
      <c r="C91" s="56"/>
      <c r="D91" s="56"/>
      <c r="E91" s="57"/>
      <c r="F91" s="57"/>
      <c r="G91" s="26"/>
      <c r="H91" s="7" t="s">
        <v>23</v>
      </c>
      <c r="I91" s="7">
        <v>30.0</v>
      </c>
      <c r="J91" s="26"/>
      <c r="K91" s="7">
        <v>30.0</v>
      </c>
      <c r="L91" s="7">
        <v>30.0</v>
      </c>
      <c r="M91" s="26">
        <f>15+15</f>
        <v>30</v>
      </c>
      <c r="N91" s="26"/>
      <c r="O91" s="7">
        <v>10.0</v>
      </c>
      <c r="P91" s="26">
        <f>10+15</f>
        <v>25</v>
      </c>
      <c r="Q91" s="26"/>
      <c r="R91" s="27">
        <f>15+18</f>
        <v>33</v>
      </c>
      <c r="S91" s="27">
        <f>15+15</f>
        <v>30</v>
      </c>
      <c r="T91" s="27"/>
      <c r="U91" s="27"/>
      <c r="V91" s="27"/>
      <c r="W91" s="27"/>
      <c r="X91" s="27"/>
      <c r="Y91" s="27"/>
      <c r="Z91" s="28">
        <v>3.0</v>
      </c>
      <c r="AA91" s="27"/>
      <c r="AB91" s="28">
        <f>18+15</f>
        <v>33</v>
      </c>
      <c r="AC91" s="27">
        <f>6+15</f>
        <v>21</v>
      </c>
      <c r="AD91" s="27">
        <f>13+15</f>
        <v>28</v>
      </c>
      <c r="AE91" s="27"/>
      <c r="AF91" s="27">
        <f>15+19</f>
        <v>34</v>
      </c>
      <c r="AG91" s="27">
        <f>15+15</f>
        <v>30</v>
      </c>
      <c r="AH91" s="27">
        <f>21+15</f>
        <v>36</v>
      </c>
      <c r="AI91" s="27">
        <f>19+15</f>
        <v>34</v>
      </c>
      <c r="AJ91" s="27">
        <f>15+15</f>
        <v>30</v>
      </c>
      <c r="AK91" s="28">
        <v>30.0</v>
      </c>
      <c r="AL91" s="27"/>
      <c r="AM91" s="27"/>
      <c r="AN91" s="32"/>
    </row>
    <row r="92">
      <c r="A92" s="58"/>
      <c r="B92" s="58"/>
      <c r="C92" s="58"/>
      <c r="D92" s="58"/>
      <c r="E92" s="58"/>
      <c r="F92" s="58"/>
      <c r="G92" s="68"/>
      <c r="H92" s="48"/>
      <c r="I92" s="6"/>
      <c r="J92" s="6"/>
      <c r="K92" s="6"/>
      <c r="L92" s="6"/>
      <c r="M92" s="6"/>
      <c r="N92" s="10"/>
      <c r="O92" s="6"/>
      <c r="P92" s="6"/>
      <c r="Q92" s="6"/>
      <c r="R92" s="6"/>
      <c r="S92" s="6"/>
      <c r="T92" s="10"/>
      <c r="U92" s="10"/>
      <c r="V92" s="10"/>
      <c r="W92" s="10"/>
      <c r="X92" s="6"/>
      <c r="Y92" s="6"/>
      <c r="Z92" s="6"/>
      <c r="AA92" s="10"/>
      <c r="AB92" s="6"/>
      <c r="AC92" s="6"/>
      <c r="AD92" s="6"/>
      <c r="AE92" s="6"/>
      <c r="AF92" s="6"/>
      <c r="AG92" s="6"/>
      <c r="AH92" s="6"/>
      <c r="AI92" s="6"/>
      <c r="AJ92" s="48"/>
      <c r="AK92" s="48"/>
      <c r="AL92" s="48"/>
      <c r="AM92" s="48"/>
      <c r="AN92" s="48"/>
      <c r="AO92" s="49"/>
      <c r="AP92" s="49"/>
    </row>
    <row r="93">
      <c r="A93" s="16" t="s">
        <v>54</v>
      </c>
      <c r="B93" s="17"/>
      <c r="C93" s="17"/>
      <c r="D93" s="17"/>
      <c r="E93" s="17"/>
      <c r="F93" s="18"/>
      <c r="G93" s="19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52"/>
      <c r="AP93" s="52"/>
    </row>
    <row r="94">
      <c r="A94" s="24" t="s">
        <v>55</v>
      </c>
      <c r="B94" s="17"/>
      <c r="C94" s="17"/>
      <c r="D94" s="18"/>
      <c r="E94" s="25">
        <v>1.0</v>
      </c>
      <c r="F94" s="25" t="s">
        <v>21</v>
      </c>
      <c r="G94" s="7">
        <v>685.0</v>
      </c>
      <c r="H94" s="7" t="s">
        <v>22</v>
      </c>
      <c r="I94" s="26"/>
      <c r="J94" s="26"/>
      <c r="K94" s="26"/>
      <c r="L94" s="26"/>
      <c r="M94" s="26"/>
      <c r="N94" s="26"/>
      <c r="O94" s="26"/>
      <c r="P94" s="26"/>
      <c r="Q94" s="26"/>
      <c r="R94" s="27"/>
      <c r="S94" s="28">
        <v>1100.0</v>
      </c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9">
        <f>G94+SUM(I94:AL94)-SUM(I95:AL95)</f>
        <v>1288</v>
      </c>
      <c r="AO94" s="53">
        <f>ROUNDDOWN((AN94/E94)/$H$4,1)</f>
        <v>42.9</v>
      </c>
      <c r="AP94" s="53">
        <f>$M$3+AO94</f>
        <v>891.9</v>
      </c>
    </row>
    <row r="95">
      <c r="A95" s="31"/>
      <c r="B95" s="17"/>
      <c r="C95" s="17"/>
      <c r="D95" s="17"/>
      <c r="E95" s="17"/>
      <c r="F95" s="18"/>
      <c r="G95" s="26"/>
      <c r="H95" s="7" t="s">
        <v>23</v>
      </c>
      <c r="I95" s="7">
        <v>30.0</v>
      </c>
      <c r="J95" s="26"/>
      <c r="K95" s="7">
        <v>30.0</v>
      </c>
      <c r="L95" s="7">
        <v>30.0</v>
      </c>
      <c r="M95" s="26">
        <f>15+15</f>
        <v>30</v>
      </c>
      <c r="N95" s="26"/>
      <c r="O95" s="7">
        <v>10.0</v>
      </c>
      <c r="P95" s="26">
        <f>10+15</f>
        <v>25</v>
      </c>
      <c r="Q95" s="26"/>
      <c r="R95" s="27">
        <f>15+18</f>
        <v>33</v>
      </c>
      <c r="S95" s="27">
        <f>15+15</f>
        <v>30</v>
      </c>
      <c r="T95" s="27"/>
      <c r="U95" s="27"/>
      <c r="V95" s="27"/>
      <c r="W95" s="27"/>
      <c r="X95" s="27"/>
      <c r="Y95" s="27"/>
      <c r="Z95" s="28">
        <v>3.0</v>
      </c>
      <c r="AA95" s="27"/>
      <c r="AB95" s="28">
        <f>18+15</f>
        <v>33</v>
      </c>
      <c r="AC95" s="27">
        <f>6+15</f>
        <v>21</v>
      </c>
      <c r="AD95" s="27">
        <f>13+15</f>
        <v>28</v>
      </c>
      <c r="AE95" s="27"/>
      <c r="AF95" s="27">
        <f>15+19</f>
        <v>34</v>
      </c>
      <c r="AG95" s="27">
        <f>15+15</f>
        <v>30</v>
      </c>
      <c r="AH95" s="27">
        <f>21+15</f>
        <v>36</v>
      </c>
      <c r="AI95" s="27">
        <f>19+15</f>
        <v>34</v>
      </c>
      <c r="AJ95" s="27">
        <f>15+15</f>
        <v>30</v>
      </c>
      <c r="AK95" s="28">
        <v>30.0</v>
      </c>
      <c r="AL95" s="27"/>
      <c r="AM95" s="27"/>
      <c r="AN95" s="32"/>
    </row>
    <row r="96">
      <c r="A96" s="33"/>
      <c r="B96" s="33"/>
      <c r="C96" s="33"/>
      <c r="D96" s="33"/>
      <c r="E96" s="25"/>
      <c r="F96" s="25"/>
      <c r="G96" s="7"/>
      <c r="H96" s="7"/>
      <c r="I96" s="37"/>
      <c r="J96" s="37"/>
      <c r="K96" s="37"/>
      <c r="L96" s="37"/>
      <c r="M96" s="37"/>
      <c r="N96" s="36"/>
      <c r="O96" s="37"/>
      <c r="P96" s="37"/>
      <c r="Q96" s="37"/>
      <c r="R96" s="6"/>
      <c r="S96" s="6"/>
      <c r="T96" s="10"/>
      <c r="U96" s="10"/>
      <c r="V96" s="10"/>
      <c r="W96" s="10"/>
      <c r="X96" s="6"/>
      <c r="Y96" s="6"/>
      <c r="Z96" s="6"/>
      <c r="AA96" s="10"/>
      <c r="AB96" s="6"/>
      <c r="AC96" s="6"/>
      <c r="AD96" s="6"/>
      <c r="AE96" s="6"/>
      <c r="AF96" s="6"/>
      <c r="AG96" s="6"/>
      <c r="AH96" s="6"/>
      <c r="AI96" s="6"/>
      <c r="AJ96" s="27"/>
      <c r="AK96" s="27"/>
      <c r="AL96" s="27"/>
      <c r="AM96" s="27"/>
      <c r="AN96" s="39"/>
      <c r="AO96" s="53"/>
      <c r="AP96" s="53"/>
    </row>
    <row r="97">
      <c r="A97" s="24" t="s">
        <v>56</v>
      </c>
      <c r="B97" s="17"/>
      <c r="C97" s="17"/>
      <c r="D97" s="18"/>
      <c r="E97" s="25">
        <v>1.0</v>
      </c>
      <c r="F97" s="25" t="s">
        <v>21</v>
      </c>
      <c r="G97" s="7">
        <v>1541.0</v>
      </c>
      <c r="H97" s="7" t="s">
        <v>22</v>
      </c>
      <c r="I97" s="26"/>
      <c r="J97" s="26"/>
      <c r="K97" s="26"/>
      <c r="L97" s="26"/>
      <c r="M97" s="26"/>
      <c r="N97" s="26"/>
      <c r="O97" s="26"/>
      <c r="P97" s="26"/>
      <c r="Q97" s="26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9">
        <f>G97+SUM(I97:AL97)-SUM(I98:AL98)</f>
        <v>1044</v>
      </c>
      <c r="AO97" s="53">
        <f>ROUNDDOWN((AN97/E97)/$H$4,1)</f>
        <v>34.8</v>
      </c>
      <c r="AP97" s="53">
        <f>$M$3+AO97</f>
        <v>883.8</v>
      </c>
    </row>
    <row r="98">
      <c r="A98" s="56"/>
      <c r="B98" s="56"/>
      <c r="C98" s="56"/>
      <c r="D98" s="56"/>
      <c r="E98" s="57"/>
      <c r="F98" s="57"/>
      <c r="G98" s="26"/>
      <c r="H98" s="7" t="s">
        <v>23</v>
      </c>
      <c r="I98" s="7">
        <v>30.0</v>
      </c>
      <c r="J98" s="26"/>
      <c r="K98" s="7">
        <v>30.0</v>
      </c>
      <c r="L98" s="7">
        <v>30.0</v>
      </c>
      <c r="M98" s="26">
        <f>15+15</f>
        <v>30</v>
      </c>
      <c r="N98" s="26"/>
      <c r="O98" s="7">
        <v>10.0</v>
      </c>
      <c r="P98" s="26">
        <f>10+15</f>
        <v>25</v>
      </c>
      <c r="Q98" s="26"/>
      <c r="R98" s="27">
        <f>15+18</f>
        <v>33</v>
      </c>
      <c r="S98" s="27">
        <f>15+15</f>
        <v>30</v>
      </c>
      <c r="T98" s="27"/>
      <c r="U98" s="27"/>
      <c r="V98" s="27"/>
      <c r="W98" s="27"/>
      <c r="X98" s="27"/>
      <c r="Y98" s="27"/>
      <c r="Z98" s="28">
        <v>3.0</v>
      </c>
      <c r="AA98" s="27"/>
      <c r="AB98" s="28">
        <f>18+15</f>
        <v>33</v>
      </c>
      <c r="AC98" s="27">
        <f>6+15</f>
        <v>21</v>
      </c>
      <c r="AD98" s="27">
        <f>13+15</f>
        <v>28</v>
      </c>
      <c r="AE98" s="27"/>
      <c r="AF98" s="27">
        <f>15+19</f>
        <v>34</v>
      </c>
      <c r="AG98" s="27">
        <f>15+15</f>
        <v>30</v>
      </c>
      <c r="AH98" s="27">
        <f>21+15</f>
        <v>36</v>
      </c>
      <c r="AI98" s="27">
        <f>19+15</f>
        <v>34</v>
      </c>
      <c r="AJ98" s="27">
        <f>15+15</f>
        <v>30</v>
      </c>
      <c r="AK98" s="28">
        <v>30.0</v>
      </c>
      <c r="AL98" s="27"/>
      <c r="AM98" s="27"/>
      <c r="AN98" s="32"/>
    </row>
    <row r="99">
      <c r="A99" s="58"/>
      <c r="B99" s="58"/>
      <c r="C99" s="58"/>
      <c r="D99" s="58"/>
      <c r="E99" s="58"/>
      <c r="F99" s="58"/>
      <c r="G99" s="68"/>
      <c r="H99" s="69"/>
      <c r="I99" s="37"/>
      <c r="J99" s="37"/>
      <c r="K99" s="37"/>
      <c r="L99" s="37"/>
      <c r="M99" s="37"/>
      <c r="N99" s="36"/>
      <c r="O99" s="37"/>
      <c r="P99" s="37"/>
      <c r="Q99" s="37"/>
      <c r="R99" s="6"/>
      <c r="S99" s="6"/>
      <c r="T99" s="10"/>
      <c r="U99" s="10"/>
      <c r="V99" s="10"/>
      <c r="W99" s="10"/>
      <c r="X99" s="6"/>
      <c r="Y99" s="6"/>
      <c r="Z99" s="6"/>
      <c r="AA99" s="10"/>
      <c r="AB99" s="6"/>
      <c r="AC99" s="6"/>
      <c r="AD99" s="6"/>
      <c r="AE99" s="6"/>
      <c r="AF99" s="6"/>
      <c r="AG99" s="6"/>
      <c r="AH99" s="6"/>
      <c r="AI99" s="6"/>
      <c r="AJ99" s="48"/>
      <c r="AK99" s="48"/>
      <c r="AL99" s="48"/>
      <c r="AM99" s="48"/>
      <c r="AN99" s="48"/>
      <c r="AO99" s="49"/>
      <c r="AP99" s="49"/>
    </row>
    <row r="100">
      <c r="A100" s="16" t="s">
        <v>57</v>
      </c>
      <c r="B100" s="17"/>
      <c r="C100" s="17"/>
      <c r="D100" s="17"/>
      <c r="E100" s="17"/>
      <c r="F100" s="18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52"/>
      <c r="AP100" s="52"/>
    </row>
    <row r="101">
      <c r="A101" s="55" t="s">
        <v>58</v>
      </c>
      <c r="B101" s="17"/>
      <c r="C101" s="17"/>
      <c r="D101" s="18"/>
      <c r="E101" s="25">
        <v>2.0</v>
      </c>
      <c r="F101" s="25" t="s">
        <v>21</v>
      </c>
      <c r="G101" s="7">
        <v>1516.0</v>
      </c>
      <c r="H101" s="7" t="s">
        <v>22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7"/>
      <c r="S101" s="28">
        <v>2040.0</v>
      </c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9">
        <f>G101+SUM(I101:AL101)-SUM(I102:AL102)</f>
        <v>2562</v>
      </c>
      <c r="AO101" s="53">
        <f>ROUNDDOWN((AN101/E101)/$H$4,1)</f>
        <v>42.7</v>
      </c>
      <c r="AP101" s="53">
        <f>$M$3+AO101</f>
        <v>891.7</v>
      </c>
    </row>
    <row r="102">
      <c r="A102" s="70"/>
      <c r="B102" s="17"/>
      <c r="C102" s="17"/>
      <c r="D102" s="17"/>
      <c r="E102" s="17"/>
      <c r="F102" s="18"/>
      <c r="G102" s="26"/>
      <c r="H102" s="7" t="s">
        <v>23</v>
      </c>
      <c r="I102" s="7">
        <v>60.0</v>
      </c>
      <c r="J102" s="26"/>
      <c r="K102" s="7">
        <v>60.0</v>
      </c>
      <c r="L102" s="7">
        <v>60.0</v>
      </c>
      <c r="M102" s="26">
        <f>30+30</f>
        <v>60</v>
      </c>
      <c r="N102" s="26"/>
      <c r="O102" s="7">
        <v>20.0</v>
      </c>
      <c r="P102" s="26">
        <f>20+30</f>
        <v>50</v>
      </c>
      <c r="Q102" s="26"/>
      <c r="R102" s="27">
        <f>30+36</f>
        <v>66</v>
      </c>
      <c r="S102" s="27">
        <f>30+30</f>
        <v>60</v>
      </c>
      <c r="T102" s="27"/>
      <c r="U102" s="27"/>
      <c r="V102" s="27"/>
      <c r="W102" s="27"/>
      <c r="X102" s="27"/>
      <c r="Y102" s="27"/>
      <c r="Z102" s="28">
        <v>6.0</v>
      </c>
      <c r="AA102" s="27"/>
      <c r="AB102" s="28">
        <f>36+30</f>
        <v>66</v>
      </c>
      <c r="AC102" s="27">
        <f>12+30</f>
        <v>42</v>
      </c>
      <c r="AD102" s="27">
        <f>26+30</f>
        <v>56</v>
      </c>
      <c r="AE102" s="27"/>
      <c r="AF102" s="27">
        <f>30+38</f>
        <v>68</v>
      </c>
      <c r="AG102" s="27">
        <f>30+30</f>
        <v>60</v>
      </c>
      <c r="AH102" s="27">
        <f>42+30</f>
        <v>72</v>
      </c>
      <c r="AI102" s="27">
        <f>38+30</f>
        <v>68</v>
      </c>
      <c r="AJ102" s="27">
        <f>30+30</f>
        <v>60</v>
      </c>
      <c r="AK102" s="28">
        <v>60.0</v>
      </c>
      <c r="AL102" s="27"/>
      <c r="AM102" s="27"/>
      <c r="AN102" s="32"/>
    </row>
    <row r="103">
      <c r="A103" s="54"/>
      <c r="B103" s="54"/>
      <c r="C103" s="54"/>
      <c r="D103" s="54"/>
      <c r="E103" s="25"/>
      <c r="F103" s="25"/>
      <c r="G103" s="7"/>
      <c r="H103" s="7"/>
      <c r="I103" s="37"/>
      <c r="J103" s="37"/>
      <c r="K103" s="37"/>
      <c r="L103" s="37"/>
      <c r="M103" s="37"/>
      <c r="N103" s="36"/>
      <c r="O103" s="37"/>
      <c r="P103" s="37"/>
      <c r="Q103" s="37"/>
      <c r="R103" s="6"/>
      <c r="S103" s="42"/>
      <c r="T103" s="10"/>
      <c r="U103" s="10"/>
      <c r="V103" s="10"/>
      <c r="W103" s="10"/>
      <c r="X103" s="6"/>
      <c r="Y103" s="6"/>
      <c r="Z103" s="6"/>
      <c r="AA103" s="10"/>
      <c r="AB103" s="6"/>
      <c r="AC103" s="6"/>
      <c r="AD103" s="6"/>
      <c r="AE103" s="6"/>
      <c r="AF103" s="6"/>
      <c r="AG103" s="6"/>
      <c r="AH103" s="6"/>
      <c r="AI103" s="6"/>
      <c r="AJ103" s="27"/>
      <c r="AK103" s="27"/>
      <c r="AL103" s="27"/>
      <c r="AM103" s="27"/>
      <c r="AN103" s="39"/>
      <c r="AO103" s="53"/>
      <c r="AP103" s="53"/>
    </row>
    <row r="104">
      <c r="A104" s="55" t="s">
        <v>59</v>
      </c>
      <c r="B104" s="17"/>
      <c r="C104" s="17"/>
      <c r="D104" s="18"/>
      <c r="E104" s="25">
        <v>2.0</v>
      </c>
      <c r="F104" s="25" t="s">
        <v>21</v>
      </c>
      <c r="G104" s="7">
        <v>1548.0</v>
      </c>
      <c r="H104" s="7" t="s">
        <v>22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7"/>
      <c r="S104" s="28">
        <v>2040.0</v>
      </c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9">
        <f>G104+SUM(I104:AL104)-SUM(I105:AL105)</f>
        <v>2594</v>
      </c>
      <c r="AO104" s="53">
        <f>ROUNDDOWN((AN104/E104)/$H$4,1)</f>
        <v>43.2</v>
      </c>
      <c r="AP104" s="53">
        <f>$M$3+AO104</f>
        <v>892.2</v>
      </c>
    </row>
    <row r="105">
      <c r="A105" s="70"/>
      <c r="B105" s="17"/>
      <c r="C105" s="17"/>
      <c r="D105" s="17"/>
      <c r="E105" s="17"/>
      <c r="F105" s="18"/>
      <c r="G105" s="26"/>
      <c r="H105" s="7" t="s">
        <v>23</v>
      </c>
      <c r="I105" s="7">
        <v>60.0</v>
      </c>
      <c r="J105" s="26"/>
      <c r="K105" s="7">
        <v>60.0</v>
      </c>
      <c r="L105" s="7">
        <v>60.0</v>
      </c>
      <c r="M105" s="26">
        <f>30+30</f>
        <v>60</v>
      </c>
      <c r="N105" s="26"/>
      <c r="O105" s="7">
        <v>20.0</v>
      </c>
      <c r="P105" s="26">
        <f>20+30</f>
        <v>50</v>
      </c>
      <c r="Q105" s="26"/>
      <c r="R105" s="27">
        <f>30+36</f>
        <v>66</v>
      </c>
      <c r="S105" s="27">
        <f>30+30</f>
        <v>60</v>
      </c>
      <c r="T105" s="27"/>
      <c r="U105" s="27"/>
      <c r="V105" s="27"/>
      <c r="W105" s="27"/>
      <c r="X105" s="27"/>
      <c r="Y105" s="27"/>
      <c r="Z105" s="28">
        <v>6.0</v>
      </c>
      <c r="AA105" s="27"/>
      <c r="AB105" s="28">
        <f>36+30</f>
        <v>66</v>
      </c>
      <c r="AC105" s="27">
        <f>12+30</f>
        <v>42</v>
      </c>
      <c r="AD105" s="27">
        <f>26+30</f>
        <v>56</v>
      </c>
      <c r="AE105" s="27"/>
      <c r="AF105" s="27">
        <f>30+38</f>
        <v>68</v>
      </c>
      <c r="AG105" s="27">
        <f>30+30</f>
        <v>60</v>
      </c>
      <c r="AH105" s="27">
        <f>42+30</f>
        <v>72</v>
      </c>
      <c r="AI105" s="27">
        <f>38+30</f>
        <v>68</v>
      </c>
      <c r="AJ105" s="27">
        <f>30+30</f>
        <v>60</v>
      </c>
      <c r="AK105" s="28">
        <v>60.0</v>
      </c>
      <c r="AL105" s="27"/>
      <c r="AM105" s="27"/>
      <c r="AN105" s="32"/>
    </row>
    <row r="106">
      <c r="A106" s="54"/>
      <c r="B106" s="54"/>
      <c r="C106" s="54"/>
      <c r="D106" s="54"/>
      <c r="E106" s="25"/>
      <c r="F106" s="25"/>
      <c r="G106" s="7"/>
      <c r="H106" s="7"/>
      <c r="I106" s="37"/>
      <c r="J106" s="37"/>
      <c r="K106" s="37"/>
      <c r="L106" s="37"/>
      <c r="M106" s="37"/>
      <c r="N106" s="36"/>
      <c r="O106" s="37"/>
      <c r="P106" s="37"/>
      <c r="Q106" s="37"/>
      <c r="R106" s="6"/>
      <c r="S106" s="6"/>
      <c r="T106" s="10"/>
      <c r="U106" s="10"/>
      <c r="V106" s="10"/>
      <c r="W106" s="10"/>
      <c r="X106" s="6"/>
      <c r="Y106" s="6"/>
      <c r="Z106" s="6"/>
      <c r="AA106" s="10"/>
      <c r="AB106" s="6"/>
      <c r="AC106" s="6"/>
      <c r="AD106" s="6"/>
      <c r="AE106" s="6"/>
      <c r="AF106" s="6"/>
      <c r="AG106" s="6"/>
      <c r="AH106" s="42"/>
      <c r="AI106" s="6"/>
      <c r="AJ106" s="27"/>
      <c r="AK106" s="27"/>
      <c r="AL106" s="27"/>
      <c r="AM106" s="27"/>
      <c r="AN106" s="39"/>
      <c r="AO106" s="53"/>
      <c r="AP106" s="53"/>
    </row>
    <row r="107">
      <c r="A107" s="55" t="s">
        <v>60</v>
      </c>
      <c r="B107" s="17"/>
      <c r="C107" s="17"/>
      <c r="D107" s="18"/>
      <c r="E107" s="25">
        <v>1.0</v>
      </c>
      <c r="F107" s="25" t="s">
        <v>21</v>
      </c>
      <c r="G107" s="7">
        <v>720.0</v>
      </c>
      <c r="H107" s="7" t="s">
        <v>22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8">
        <v>1020.0</v>
      </c>
      <c r="AI107" s="27"/>
      <c r="AJ107" s="27"/>
      <c r="AK107" s="27"/>
      <c r="AL107" s="27"/>
      <c r="AM107" s="27"/>
      <c r="AN107" s="29">
        <f>G107+SUM(I107:AL107)-SUM(I108:AL108)</f>
        <v>1340</v>
      </c>
      <c r="AO107" s="53">
        <f>ROUNDDOWN((AN107/E107)/$H$4,1)</f>
        <v>44.6</v>
      </c>
      <c r="AP107" s="53">
        <f>$M$3+AO107</f>
        <v>893.6</v>
      </c>
    </row>
    <row r="108">
      <c r="A108" s="70"/>
      <c r="B108" s="17"/>
      <c r="C108" s="17"/>
      <c r="D108" s="17"/>
      <c r="E108" s="17"/>
      <c r="F108" s="18"/>
      <c r="G108" s="26"/>
      <c r="H108" s="7" t="s">
        <v>23</v>
      </c>
      <c r="I108" s="7">
        <v>100.0</v>
      </c>
      <c r="J108" s="71"/>
      <c r="K108" s="26"/>
      <c r="L108" s="26"/>
      <c r="M108" s="26"/>
      <c r="N108" s="26"/>
      <c r="O108" s="7">
        <v>100.0</v>
      </c>
      <c r="P108" s="26"/>
      <c r="Q108" s="26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8">
        <v>100.0</v>
      </c>
      <c r="AG108" s="27"/>
      <c r="AH108" s="27"/>
      <c r="AI108" s="28">
        <v>100.0</v>
      </c>
      <c r="AJ108" s="27"/>
      <c r="AK108" s="27"/>
      <c r="AL108" s="27"/>
      <c r="AM108" s="27"/>
      <c r="AN108" s="32"/>
    </row>
    <row r="109">
      <c r="A109" s="33"/>
      <c r="B109" s="33"/>
      <c r="C109" s="33"/>
      <c r="D109" s="33"/>
      <c r="E109" s="25"/>
      <c r="F109" s="25"/>
      <c r="G109" s="7"/>
      <c r="H109" s="7"/>
      <c r="I109" s="41"/>
      <c r="J109" s="37"/>
      <c r="K109" s="35"/>
      <c r="L109" s="36"/>
      <c r="M109" s="36"/>
      <c r="N109" s="36"/>
      <c r="O109" s="37"/>
      <c r="P109" s="36"/>
      <c r="Q109" s="36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6"/>
      <c r="AF109" s="6"/>
      <c r="AG109" s="10"/>
      <c r="AH109" s="38"/>
      <c r="AI109" s="6"/>
      <c r="AJ109" s="27"/>
      <c r="AK109" s="27"/>
      <c r="AL109" s="27"/>
      <c r="AM109" s="27"/>
      <c r="AN109" s="39"/>
      <c r="AO109" s="53"/>
      <c r="AP109" s="53"/>
    </row>
    <row r="110">
      <c r="A110" s="24" t="s">
        <v>61</v>
      </c>
      <c r="B110" s="17"/>
      <c r="C110" s="17"/>
      <c r="D110" s="18"/>
      <c r="E110" s="25">
        <v>1.0</v>
      </c>
      <c r="F110" s="25" t="s">
        <v>21</v>
      </c>
      <c r="G110" s="7">
        <v>1376.0</v>
      </c>
      <c r="H110" s="7" t="s">
        <v>22</v>
      </c>
      <c r="I110" s="7"/>
      <c r="J110" s="26"/>
      <c r="K110" s="7"/>
      <c r="L110" s="26"/>
      <c r="M110" s="26"/>
      <c r="N110" s="26"/>
      <c r="O110" s="26"/>
      <c r="P110" s="26"/>
      <c r="Q110" s="26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8">
        <v>240.0</v>
      </c>
      <c r="AI110" s="27"/>
      <c r="AJ110" s="27"/>
      <c r="AK110" s="27"/>
      <c r="AL110" s="27"/>
      <c r="AM110" s="27"/>
      <c r="AN110" s="29">
        <f>G110+SUM(I110:AL110)-SUM(I111:AL111)</f>
        <v>1256</v>
      </c>
      <c r="AO110" s="53">
        <f>ROUNDDOWN((AN110/E110)/$H$4,1)</f>
        <v>41.8</v>
      </c>
      <c r="AP110" s="53">
        <f>M6+AO110</f>
        <v>887.8</v>
      </c>
    </row>
    <row r="111">
      <c r="A111" s="31"/>
      <c r="B111" s="17"/>
      <c r="C111" s="17"/>
      <c r="D111" s="17"/>
      <c r="E111" s="17"/>
      <c r="F111" s="18"/>
      <c r="G111" s="26"/>
      <c r="H111" s="7" t="s">
        <v>23</v>
      </c>
      <c r="I111" s="7"/>
      <c r="J111" s="26"/>
      <c r="K111" s="7"/>
      <c r="L111" s="26"/>
      <c r="M111" s="26"/>
      <c r="N111" s="7">
        <f>12+12</f>
        <v>24</v>
      </c>
      <c r="O111" s="26">
        <f>12+12+12</f>
        <v>36</v>
      </c>
      <c r="P111" s="26">
        <f>12+12</f>
        <v>24</v>
      </c>
      <c r="Q111" s="26"/>
      <c r="R111" s="28">
        <v>24.0</v>
      </c>
      <c r="S111" s="28">
        <v>24.0</v>
      </c>
      <c r="T111" s="27"/>
      <c r="U111" s="27">
        <f>24+12</f>
        <v>36</v>
      </c>
      <c r="V111" s="27"/>
      <c r="W111" s="28">
        <v>12.0</v>
      </c>
      <c r="X111" s="27"/>
      <c r="Y111" s="27"/>
      <c r="Z111" s="27"/>
      <c r="AA111" s="27"/>
      <c r="AB111" s="27"/>
      <c r="AC111" s="27">
        <f>24+24</f>
        <v>48</v>
      </c>
      <c r="AD111" s="27"/>
      <c r="AE111" s="27"/>
      <c r="AF111" s="28"/>
      <c r="AG111" s="28">
        <f>24+24</f>
        <v>48</v>
      </c>
      <c r="AH111" s="28">
        <v>36.0</v>
      </c>
      <c r="AI111" s="28">
        <v>24.0</v>
      </c>
      <c r="AJ111" s="28">
        <v>24.0</v>
      </c>
      <c r="AK111" s="27"/>
      <c r="AL111" s="27"/>
      <c r="AM111" s="27"/>
      <c r="AN111" s="32"/>
    </row>
    <row r="112">
      <c r="A112" s="72"/>
      <c r="B112" s="72"/>
      <c r="C112" s="72"/>
      <c r="D112" s="72"/>
      <c r="E112" s="72"/>
      <c r="F112" s="72"/>
      <c r="G112" s="69"/>
      <c r="H112" s="48"/>
      <c r="I112" s="10"/>
      <c r="J112" s="10"/>
      <c r="K112" s="10"/>
      <c r="L112" s="10"/>
      <c r="M112" s="10"/>
      <c r="N112" s="6"/>
      <c r="O112" s="6"/>
      <c r="P112" s="6"/>
      <c r="Q112" s="6"/>
      <c r="R112" s="6"/>
      <c r="S112" s="6"/>
      <c r="T112" s="10"/>
      <c r="U112" s="6"/>
      <c r="V112" s="10"/>
      <c r="W112" s="6"/>
      <c r="X112" s="6"/>
      <c r="Y112" s="6"/>
      <c r="Z112" s="10"/>
      <c r="AA112" s="10"/>
      <c r="AB112" s="10"/>
      <c r="AC112" s="6"/>
      <c r="AD112" s="10"/>
      <c r="AE112" s="10"/>
      <c r="AF112" s="10"/>
      <c r="AG112" s="6"/>
      <c r="AH112" s="6"/>
      <c r="AI112" s="6"/>
      <c r="AJ112" s="48"/>
      <c r="AK112" s="48"/>
      <c r="AL112" s="48"/>
      <c r="AM112" s="48"/>
      <c r="AN112" s="48"/>
      <c r="AO112" s="49"/>
      <c r="AP112" s="49"/>
    </row>
    <row r="113">
      <c r="A113" s="73" t="s">
        <v>62</v>
      </c>
      <c r="B113" s="17"/>
      <c r="C113" s="17"/>
      <c r="D113" s="17"/>
      <c r="E113" s="17"/>
      <c r="F113" s="18"/>
      <c r="G113" s="20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52"/>
      <c r="AP113" s="52"/>
    </row>
    <row r="114">
      <c r="A114" s="24" t="s">
        <v>63</v>
      </c>
      <c r="B114" s="17"/>
      <c r="C114" s="17"/>
      <c r="D114" s="18"/>
      <c r="E114" s="25">
        <v>8.0</v>
      </c>
      <c r="F114" s="25" t="s">
        <v>21</v>
      </c>
      <c r="G114" s="7">
        <v>9000.0</v>
      </c>
      <c r="H114" s="7" t="s">
        <v>22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9">
        <f>G114+SUM(I114:AL114)-SUM(I115:AM115)</f>
        <v>4904</v>
      </c>
      <c r="AO114" s="53">
        <f>ROUNDDOWN((AN114/E114)/$H$4,1)</f>
        <v>20.4</v>
      </c>
      <c r="AP114" s="53">
        <f>$M$3+AO114</f>
        <v>869.4</v>
      </c>
    </row>
    <row r="115">
      <c r="A115" s="31"/>
      <c r="B115" s="17"/>
      <c r="C115" s="17"/>
      <c r="D115" s="17"/>
      <c r="E115" s="17"/>
      <c r="F115" s="18"/>
      <c r="G115" s="26"/>
      <c r="H115" s="7" t="s">
        <v>23</v>
      </c>
      <c r="I115" s="7">
        <v>200.0</v>
      </c>
      <c r="J115" s="26"/>
      <c r="K115" s="7">
        <v>272.0</v>
      </c>
      <c r="L115" s="7">
        <v>224.0</v>
      </c>
      <c r="M115" s="7">
        <v>240.0</v>
      </c>
      <c r="N115" s="7">
        <v>80.0</v>
      </c>
      <c r="O115" s="7">
        <v>120.0</v>
      </c>
      <c r="P115" s="26">
        <f>80+120</f>
        <v>200</v>
      </c>
      <c r="Q115" s="26"/>
      <c r="R115" s="27">
        <f>120+80</f>
        <v>200</v>
      </c>
      <c r="S115" s="27">
        <f>104+184</f>
        <v>288</v>
      </c>
      <c r="T115" s="27"/>
      <c r="U115" s="27"/>
      <c r="V115" s="27"/>
      <c r="W115" s="27"/>
      <c r="X115" s="27"/>
      <c r="Y115" s="27"/>
      <c r="Z115" s="28">
        <v>40.0</v>
      </c>
      <c r="AA115" s="27"/>
      <c r="AB115" s="28">
        <f>120+120</f>
        <v>240</v>
      </c>
      <c r="AC115" s="27">
        <f>152+120</f>
        <v>272</v>
      </c>
      <c r="AD115" s="27">
        <f>80+120</f>
        <v>200</v>
      </c>
      <c r="AE115" s="27"/>
      <c r="AF115" s="27">
        <f>120+120</f>
        <v>240</v>
      </c>
      <c r="AG115" s="27">
        <f>152+120</f>
        <v>272</v>
      </c>
      <c r="AH115" s="27">
        <f>120+120</f>
        <v>240</v>
      </c>
      <c r="AI115" s="27">
        <f>144+120</f>
        <v>264</v>
      </c>
      <c r="AJ115" s="27">
        <f>120+120</f>
        <v>240</v>
      </c>
      <c r="AK115" s="28">
        <v>264.0</v>
      </c>
      <c r="AL115" s="27"/>
      <c r="AM115" s="27"/>
      <c r="AN115" s="32"/>
    </row>
    <row r="116">
      <c r="A116" s="33"/>
      <c r="B116" s="33"/>
      <c r="C116" s="33"/>
      <c r="D116" s="33"/>
      <c r="E116" s="25"/>
      <c r="F116" s="25"/>
      <c r="G116" s="7"/>
      <c r="H116" s="7"/>
      <c r="I116" s="37"/>
      <c r="J116" s="37"/>
      <c r="K116" s="37"/>
      <c r="L116" s="37"/>
      <c r="M116" s="37"/>
      <c r="N116" s="37"/>
      <c r="O116" s="37"/>
      <c r="P116" s="37"/>
      <c r="Q116" s="37"/>
      <c r="R116" s="6"/>
      <c r="S116" s="6"/>
      <c r="T116" s="10"/>
      <c r="U116" s="10"/>
      <c r="V116" s="10"/>
      <c r="W116" s="10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42"/>
      <c r="AJ116" s="27"/>
      <c r="AK116" s="27"/>
      <c r="AL116" s="27"/>
      <c r="AM116" s="27"/>
      <c r="AN116" s="39"/>
      <c r="AO116" s="53"/>
      <c r="AP116" s="53"/>
    </row>
    <row r="117">
      <c r="A117" s="24" t="s">
        <v>64</v>
      </c>
      <c r="B117" s="17"/>
      <c r="C117" s="17"/>
      <c r="D117" s="18"/>
      <c r="E117" s="25">
        <v>26.0</v>
      </c>
      <c r="F117" s="25" t="s">
        <v>21</v>
      </c>
      <c r="G117" s="7">
        <v>22800.0</v>
      </c>
      <c r="H117" s="7" t="s">
        <v>22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8">
        <v>24180.0</v>
      </c>
      <c r="AJ117" s="27"/>
      <c r="AK117" s="27"/>
      <c r="AL117" s="27"/>
      <c r="AM117" s="27"/>
      <c r="AN117" s="29">
        <f>G117+SUM(I117:AL117)-SUM(I118:AM118)</f>
        <v>34058</v>
      </c>
      <c r="AO117" s="53">
        <f>ROUNDDOWN((AN117/E117)/$H$4,1)</f>
        <v>43.6</v>
      </c>
      <c r="AP117" s="53">
        <f>$M$3+AO117</f>
        <v>892.6</v>
      </c>
    </row>
    <row r="118">
      <c r="A118" s="31"/>
      <c r="B118" s="17"/>
      <c r="C118" s="17"/>
      <c r="D118" s="17"/>
      <c r="E118" s="17"/>
      <c r="F118" s="18"/>
      <c r="G118" s="26"/>
      <c r="H118" s="7" t="s">
        <v>23</v>
      </c>
      <c r="I118" s="7">
        <v>780.0</v>
      </c>
      <c r="J118" s="26"/>
      <c r="K118" s="7">
        <v>780.0</v>
      </c>
      <c r="L118" s="7">
        <v>780.0</v>
      </c>
      <c r="M118" s="26">
        <f>390+390</f>
        <v>780</v>
      </c>
      <c r="N118" s="26"/>
      <c r="O118" s="7">
        <v>260.0</v>
      </c>
      <c r="P118" s="26">
        <f>260+390</f>
        <v>650</v>
      </c>
      <c r="Q118" s="26"/>
      <c r="R118" s="27">
        <f>390+468</f>
        <v>858</v>
      </c>
      <c r="S118" s="27">
        <f>390+390</f>
        <v>780</v>
      </c>
      <c r="T118" s="27"/>
      <c r="U118" s="27"/>
      <c r="V118" s="27"/>
      <c r="W118" s="27"/>
      <c r="X118" s="27"/>
      <c r="Y118" s="27"/>
      <c r="Z118" s="28">
        <v>78.0</v>
      </c>
      <c r="AA118" s="27"/>
      <c r="AB118" s="28">
        <f>468+390</f>
        <v>858</v>
      </c>
      <c r="AC118" s="27">
        <f>156+390</f>
        <v>546</v>
      </c>
      <c r="AD118" s="27">
        <f>338+390</f>
        <v>728</v>
      </c>
      <c r="AE118" s="27"/>
      <c r="AF118" s="27">
        <f>390+494</f>
        <v>884</v>
      </c>
      <c r="AG118" s="27">
        <f>390+390</f>
        <v>780</v>
      </c>
      <c r="AH118" s="27">
        <f>546+390</f>
        <v>936</v>
      </c>
      <c r="AI118" s="27">
        <f>494+390</f>
        <v>884</v>
      </c>
      <c r="AJ118" s="27">
        <f>390+390</f>
        <v>780</v>
      </c>
      <c r="AK118" s="28">
        <v>780.0</v>
      </c>
      <c r="AL118" s="27"/>
      <c r="AM118" s="27"/>
      <c r="AN118" s="32"/>
    </row>
    <row r="119">
      <c r="A119" s="33"/>
      <c r="B119" s="33"/>
      <c r="C119" s="33"/>
      <c r="D119" s="33"/>
      <c r="E119" s="25"/>
      <c r="F119" s="25"/>
      <c r="G119" s="7"/>
      <c r="H119" s="7"/>
      <c r="I119" s="37"/>
      <c r="J119" s="37"/>
      <c r="K119" s="37"/>
      <c r="L119" s="37"/>
      <c r="M119" s="37"/>
      <c r="N119" s="36"/>
      <c r="O119" s="37"/>
      <c r="P119" s="37"/>
      <c r="Q119" s="37"/>
      <c r="R119" s="6"/>
      <c r="S119" s="6"/>
      <c r="T119" s="10"/>
      <c r="U119" s="10"/>
      <c r="V119" s="10"/>
      <c r="W119" s="10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27"/>
      <c r="AK119" s="27"/>
      <c r="AL119" s="27"/>
      <c r="AM119" s="27"/>
      <c r="AN119" s="39"/>
      <c r="AO119" s="53"/>
      <c r="AP119" s="53"/>
    </row>
    <row r="120">
      <c r="A120" s="24" t="s">
        <v>65</v>
      </c>
      <c r="B120" s="17"/>
      <c r="C120" s="17"/>
      <c r="D120" s="18"/>
      <c r="E120" s="25">
        <v>2.0</v>
      </c>
      <c r="F120" s="25" t="s">
        <v>21</v>
      </c>
      <c r="G120" s="7">
        <v>48696.0</v>
      </c>
      <c r="H120" s="7" t="s">
        <v>22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9">
        <f>G120+SUM(I120:AL120)-SUM(I121:AM121)</f>
        <v>47702</v>
      </c>
      <c r="AO120" s="53">
        <f>ROUNDDOWN((AN120/E120)/$H$4,1)</f>
        <v>795</v>
      </c>
      <c r="AP120" s="53">
        <f>$M$3+AO120</f>
        <v>1644</v>
      </c>
    </row>
    <row r="121">
      <c r="A121" s="31"/>
      <c r="B121" s="17"/>
      <c r="C121" s="17"/>
      <c r="D121" s="17"/>
      <c r="E121" s="17"/>
      <c r="F121" s="18"/>
      <c r="G121" s="26"/>
      <c r="H121" s="7" t="s">
        <v>23</v>
      </c>
      <c r="I121" s="7">
        <v>60.0</v>
      </c>
      <c r="J121" s="26"/>
      <c r="K121" s="7">
        <v>60.0</v>
      </c>
      <c r="L121" s="7">
        <v>60.0</v>
      </c>
      <c r="M121" s="26">
        <f>30+30</f>
        <v>60</v>
      </c>
      <c r="N121" s="26"/>
      <c r="O121" s="7">
        <v>20.0</v>
      </c>
      <c r="P121" s="26">
        <f>20+30</f>
        <v>50</v>
      </c>
      <c r="Q121" s="26"/>
      <c r="R121" s="27">
        <f>30+36</f>
        <v>66</v>
      </c>
      <c r="S121" s="27">
        <f>30+30</f>
        <v>60</v>
      </c>
      <c r="T121" s="27"/>
      <c r="U121" s="27"/>
      <c r="V121" s="27"/>
      <c r="W121" s="27"/>
      <c r="X121" s="27"/>
      <c r="Y121" s="27"/>
      <c r="Z121" s="28">
        <v>6.0</v>
      </c>
      <c r="AA121" s="27"/>
      <c r="AB121" s="28">
        <f>36+30</f>
        <v>66</v>
      </c>
      <c r="AC121" s="27">
        <f>12+30</f>
        <v>42</v>
      </c>
      <c r="AD121" s="27">
        <f>26+30</f>
        <v>56</v>
      </c>
      <c r="AE121" s="27"/>
      <c r="AF121" s="27">
        <f>30+38</f>
        <v>68</v>
      </c>
      <c r="AG121" s="27">
        <f>30+30</f>
        <v>60</v>
      </c>
      <c r="AH121" s="27">
        <f>30+42</f>
        <v>72</v>
      </c>
      <c r="AI121" s="27">
        <f>38+30</f>
        <v>68</v>
      </c>
      <c r="AJ121" s="27">
        <f>30+30</f>
        <v>60</v>
      </c>
      <c r="AK121" s="28">
        <v>60.0</v>
      </c>
      <c r="AL121" s="27"/>
      <c r="AM121" s="27"/>
      <c r="AN121" s="32"/>
    </row>
    <row r="122">
      <c r="A122" s="33"/>
      <c r="B122" s="33"/>
      <c r="C122" s="33"/>
      <c r="D122" s="33"/>
      <c r="E122" s="25"/>
      <c r="F122" s="25"/>
      <c r="G122" s="43"/>
      <c r="H122" s="7"/>
      <c r="I122" s="37"/>
      <c r="J122" s="37"/>
      <c r="K122" s="37"/>
      <c r="L122" s="37"/>
      <c r="M122" s="37"/>
      <c r="N122" s="36"/>
      <c r="O122" s="37"/>
      <c r="P122" s="37"/>
      <c r="Q122" s="37"/>
      <c r="R122" s="6"/>
      <c r="S122" s="6"/>
      <c r="T122" s="10"/>
      <c r="U122" s="10"/>
      <c r="V122" s="10"/>
      <c r="W122" s="10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27"/>
      <c r="AK122" s="27"/>
      <c r="AL122" s="27"/>
      <c r="AM122" s="27"/>
      <c r="AN122" s="39"/>
      <c r="AO122" s="53"/>
      <c r="AP122" s="53"/>
    </row>
    <row r="123">
      <c r="A123" s="24" t="s">
        <v>66</v>
      </c>
      <c r="B123" s="17"/>
      <c r="C123" s="17"/>
      <c r="D123" s="18"/>
      <c r="E123" s="25">
        <v>10.0</v>
      </c>
      <c r="F123" s="25" t="s">
        <v>21</v>
      </c>
      <c r="G123" s="43">
        <v>11720.0</v>
      </c>
      <c r="H123" s="7" t="s">
        <v>22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9">
        <f>G123+SUM(I123:AL123)-SUM(I124:AM124)</f>
        <v>6740</v>
      </c>
      <c r="AO123" s="53">
        <f>ROUNDDOWN((AN123/E123)/$H$4,1)</f>
        <v>22.4</v>
      </c>
      <c r="AP123" s="53">
        <f>$M$3+AO123</f>
        <v>871.4</v>
      </c>
    </row>
    <row r="124">
      <c r="A124" s="31"/>
      <c r="B124" s="17"/>
      <c r="C124" s="17"/>
      <c r="D124" s="17"/>
      <c r="E124" s="17"/>
      <c r="F124" s="18"/>
      <c r="G124" s="26"/>
      <c r="H124" s="7" t="s">
        <v>23</v>
      </c>
      <c r="I124" s="7">
        <v>240.0</v>
      </c>
      <c r="J124" s="26"/>
      <c r="K124" s="7">
        <v>300.0</v>
      </c>
      <c r="L124" s="7">
        <v>240.0</v>
      </c>
      <c r="M124" s="7">
        <f>60+90+90+60</f>
        <v>300</v>
      </c>
      <c r="N124" s="7">
        <v>48.0</v>
      </c>
      <c r="O124" s="7">
        <f>60+60</f>
        <v>120</v>
      </c>
      <c r="P124" s="26">
        <f>60+90+60+60</f>
        <v>270</v>
      </c>
      <c r="Q124" s="26"/>
      <c r="R124" s="27">
        <f>90+108+60+60</f>
        <v>318</v>
      </c>
      <c r="S124" s="27">
        <f>90+90+60</f>
        <v>240</v>
      </c>
      <c r="T124" s="27"/>
      <c r="U124" s="27"/>
      <c r="V124" s="27"/>
      <c r="W124" s="27"/>
      <c r="X124" s="27"/>
      <c r="Y124" s="27"/>
      <c r="Z124" s="28">
        <f>18+20</f>
        <v>38</v>
      </c>
      <c r="AA124" s="27"/>
      <c r="AB124" s="28">
        <f>108+90+60</f>
        <v>258</v>
      </c>
      <c r="AC124" s="27">
        <f>36+90+90+60</f>
        <v>276</v>
      </c>
      <c r="AD124" s="27">
        <f>78+90+90+90</f>
        <v>348</v>
      </c>
      <c r="AE124" s="27"/>
      <c r="AF124" s="27">
        <f>90+114+60+60</f>
        <v>324</v>
      </c>
      <c r="AG124" s="27">
        <f>90+90+60+60</f>
        <v>300</v>
      </c>
      <c r="AH124" s="27">
        <f>126+90+120</f>
        <v>336</v>
      </c>
      <c r="AI124" s="27">
        <f>114+90+180</f>
        <v>384</v>
      </c>
      <c r="AJ124" s="27">
        <f>90+90+120</f>
        <v>300</v>
      </c>
      <c r="AK124" s="28">
        <v>340.0</v>
      </c>
      <c r="AL124" s="27"/>
      <c r="AM124" s="27"/>
      <c r="AN124" s="32"/>
    </row>
    <row r="125">
      <c r="A125" s="33"/>
      <c r="B125" s="33"/>
      <c r="C125" s="33"/>
      <c r="D125" s="33"/>
      <c r="E125" s="25"/>
      <c r="F125" s="25"/>
      <c r="G125" s="7"/>
      <c r="H125" s="7"/>
      <c r="I125" s="37"/>
      <c r="J125" s="37"/>
      <c r="K125" s="37"/>
      <c r="L125" s="37"/>
      <c r="M125" s="37"/>
      <c r="N125" s="37"/>
      <c r="O125" s="37"/>
      <c r="P125" s="37"/>
      <c r="Q125" s="37"/>
      <c r="R125" s="6"/>
      <c r="S125" s="6"/>
      <c r="T125" s="10"/>
      <c r="U125" s="10"/>
      <c r="V125" s="10"/>
      <c r="W125" s="10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27"/>
      <c r="AK125" s="27"/>
      <c r="AL125" s="27"/>
      <c r="AM125" s="27"/>
      <c r="AN125" s="39"/>
      <c r="AO125" s="53"/>
      <c r="AP125" s="53"/>
    </row>
    <row r="126">
      <c r="A126" s="24" t="s">
        <v>67</v>
      </c>
      <c r="B126" s="17"/>
      <c r="C126" s="17"/>
      <c r="D126" s="18"/>
      <c r="E126" s="25">
        <v>6.0</v>
      </c>
      <c r="F126" s="25" t="s">
        <v>21</v>
      </c>
      <c r="G126" s="7">
        <f>112300-50000</f>
        <v>62300</v>
      </c>
      <c r="H126" s="7" t="s">
        <v>22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9">
        <f>G126+SUM(I126:AL126)-SUM(I127:AM127)</f>
        <v>60980</v>
      </c>
      <c r="AO126" s="53">
        <f>ROUNDDOWN((AN126/E126)/$H$4,1)</f>
        <v>338.7</v>
      </c>
      <c r="AP126" s="53">
        <f>$M$3+AO126</f>
        <v>1187.7</v>
      </c>
    </row>
    <row r="127">
      <c r="A127" s="31"/>
      <c r="B127" s="17"/>
      <c r="C127" s="17"/>
      <c r="D127" s="17"/>
      <c r="E127" s="17"/>
      <c r="F127" s="18"/>
      <c r="G127" s="26"/>
      <c r="H127" s="7" t="s">
        <v>23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8"/>
      <c r="AD127" s="28">
        <f>90+90</f>
        <v>180</v>
      </c>
      <c r="AE127" s="27"/>
      <c r="AF127" s="27">
        <f t="shared" ref="AF127:AG127" si="10">90+90</f>
        <v>180</v>
      </c>
      <c r="AG127" s="27">
        <f t="shared" si="10"/>
        <v>180</v>
      </c>
      <c r="AH127" s="28">
        <v>180.0</v>
      </c>
      <c r="AI127" s="28">
        <v>180.0</v>
      </c>
      <c r="AJ127" s="28">
        <v>180.0</v>
      </c>
      <c r="AK127" s="28">
        <v>240.0</v>
      </c>
      <c r="AL127" s="27"/>
      <c r="AM127" s="27"/>
      <c r="AN127" s="32"/>
    </row>
    <row r="128">
      <c r="A128" s="33"/>
      <c r="B128" s="33"/>
      <c r="C128" s="33"/>
      <c r="D128" s="33"/>
      <c r="E128" s="25"/>
      <c r="F128" s="25"/>
      <c r="G128" s="7"/>
      <c r="H128" s="7"/>
      <c r="I128" s="36"/>
      <c r="J128" s="36"/>
      <c r="K128" s="36"/>
      <c r="L128" s="36"/>
      <c r="M128" s="36"/>
      <c r="N128" s="36"/>
      <c r="O128" s="36"/>
      <c r="P128" s="36"/>
      <c r="Q128" s="36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6"/>
      <c r="AE128" s="6"/>
      <c r="AF128" s="6"/>
      <c r="AG128" s="6"/>
      <c r="AH128" s="6"/>
      <c r="AI128" s="42"/>
      <c r="AJ128" s="27"/>
      <c r="AK128" s="27"/>
      <c r="AL128" s="27"/>
      <c r="AM128" s="27"/>
      <c r="AN128" s="39"/>
      <c r="AO128" s="53"/>
      <c r="AP128" s="53"/>
    </row>
    <row r="129">
      <c r="A129" s="24" t="s">
        <v>68</v>
      </c>
      <c r="B129" s="17"/>
      <c r="C129" s="17"/>
      <c r="D129" s="18"/>
      <c r="E129" s="25">
        <v>12.0</v>
      </c>
      <c r="F129" s="25" t="s">
        <v>21</v>
      </c>
      <c r="G129" s="7">
        <v>8220.0</v>
      </c>
      <c r="H129" s="7" t="s">
        <v>22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8">
        <v>11160.0</v>
      </c>
      <c r="AJ129" s="27"/>
      <c r="AK129" s="27"/>
      <c r="AL129" s="27"/>
      <c r="AM129" s="27"/>
      <c r="AN129" s="29">
        <f>G129+SUM(I129:AL129)-SUM(I130:AM130)</f>
        <v>15078</v>
      </c>
      <c r="AO129" s="53">
        <f>ROUNDDOWN((AN129/E129)/$H$4,1)</f>
        <v>41.8</v>
      </c>
      <c r="AP129" s="53">
        <f>$M$3+AO129</f>
        <v>890.8</v>
      </c>
    </row>
    <row r="130">
      <c r="A130" s="31"/>
      <c r="B130" s="17"/>
      <c r="C130" s="17"/>
      <c r="D130" s="17"/>
      <c r="E130" s="17"/>
      <c r="F130" s="18"/>
      <c r="G130" s="26"/>
      <c r="H130" s="7" t="s">
        <v>23</v>
      </c>
      <c r="I130" s="7">
        <v>180.0</v>
      </c>
      <c r="J130" s="26"/>
      <c r="K130" s="7">
        <v>180.0</v>
      </c>
      <c r="L130" s="7">
        <v>180.0</v>
      </c>
      <c r="M130" s="7">
        <f>180</f>
        <v>180</v>
      </c>
      <c r="N130" s="26"/>
      <c r="O130" s="7">
        <f>60</f>
        <v>60</v>
      </c>
      <c r="P130" s="26">
        <f>60+90</f>
        <v>150</v>
      </c>
      <c r="Q130" s="26"/>
      <c r="R130" s="27">
        <f>90+108</f>
        <v>198</v>
      </c>
      <c r="S130" s="27">
        <f>90+90</f>
        <v>180</v>
      </c>
      <c r="T130" s="27"/>
      <c r="U130" s="27"/>
      <c r="V130" s="27"/>
      <c r="W130" s="27"/>
      <c r="X130" s="27"/>
      <c r="Y130" s="27"/>
      <c r="Z130" s="28">
        <v>18.0</v>
      </c>
      <c r="AA130" s="27"/>
      <c r="AB130" s="28">
        <f>108+90</f>
        <v>198</v>
      </c>
      <c r="AC130" s="27">
        <f>36+90+90+90</f>
        <v>306</v>
      </c>
      <c r="AD130" s="27">
        <f>78+90+90+90</f>
        <v>348</v>
      </c>
      <c r="AE130" s="27"/>
      <c r="AF130" s="27">
        <f>90+114+90+90</f>
        <v>384</v>
      </c>
      <c r="AG130" s="27">
        <f>90+90+90+90</f>
        <v>360</v>
      </c>
      <c r="AH130" s="27">
        <f>126+90+180</f>
        <v>396</v>
      </c>
      <c r="AI130" s="27">
        <f>114+90+180</f>
        <v>384</v>
      </c>
      <c r="AJ130" s="27">
        <f>90+90+180</f>
        <v>360</v>
      </c>
      <c r="AK130" s="28">
        <v>240.0</v>
      </c>
      <c r="AL130" s="27"/>
      <c r="AM130" s="27"/>
      <c r="AN130" s="32"/>
    </row>
    <row r="131">
      <c r="A131" s="33"/>
      <c r="B131" s="33"/>
      <c r="C131" s="33"/>
      <c r="D131" s="33"/>
      <c r="E131" s="25"/>
      <c r="F131" s="25"/>
      <c r="G131" s="7"/>
      <c r="H131" s="7"/>
      <c r="I131" s="37"/>
      <c r="J131" s="37"/>
      <c r="K131" s="37"/>
      <c r="L131" s="37"/>
      <c r="M131" s="37"/>
      <c r="N131" s="36"/>
      <c r="O131" s="37"/>
      <c r="P131" s="37"/>
      <c r="Q131" s="37"/>
      <c r="R131" s="6"/>
      <c r="S131" s="6"/>
      <c r="T131" s="10"/>
      <c r="U131" s="10"/>
      <c r="V131" s="10"/>
      <c r="W131" s="10"/>
      <c r="X131" s="6"/>
      <c r="Y131" s="6"/>
      <c r="Z131" s="6"/>
      <c r="AA131" s="10"/>
      <c r="AB131" s="6"/>
      <c r="AC131" s="6"/>
      <c r="AD131" s="6"/>
      <c r="AE131" s="6"/>
      <c r="AF131" s="6"/>
      <c r="AG131" s="6"/>
      <c r="AH131" s="6"/>
      <c r="AI131" s="6"/>
      <c r="AJ131" s="27"/>
      <c r="AK131" s="27"/>
      <c r="AL131" s="27"/>
      <c r="AM131" s="27"/>
      <c r="AN131" s="39"/>
      <c r="AO131" s="53"/>
      <c r="AP131" s="53"/>
    </row>
    <row r="132">
      <c r="A132" s="24" t="s">
        <v>69</v>
      </c>
      <c r="B132" s="17"/>
      <c r="C132" s="17"/>
      <c r="D132" s="18"/>
      <c r="E132" s="25">
        <v>6.0</v>
      </c>
      <c r="F132" s="25" t="s">
        <v>21</v>
      </c>
      <c r="G132" s="7">
        <v>5675.0</v>
      </c>
      <c r="H132" s="7" t="s">
        <v>22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9">
        <f>G132+SUM(I132:AL132)-SUM(I133:AM133)</f>
        <v>2819</v>
      </c>
      <c r="AO132" s="53">
        <f>ROUNDDOWN((AN132/E132)/$H$4,1)</f>
        <v>15.6</v>
      </c>
      <c r="AP132" s="53">
        <f>$M$3+AO132</f>
        <v>864.6</v>
      </c>
    </row>
    <row r="133">
      <c r="A133" s="31"/>
      <c r="B133" s="17"/>
      <c r="C133" s="17"/>
      <c r="D133" s="17"/>
      <c r="E133" s="17"/>
      <c r="F133" s="18"/>
      <c r="G133" s="26"/>
      <c r="H133" s="7" t="s">
        <v>23</v>
      </c>
      <c r="I133" s="7">
        <v>120.0</v>
      </c>
      <c r="J133" s="26"/>
      <c r="K133" s="7">
        <v>120.0</v>
      </c>
      <c r="L133" s="7">
        <v>150.0</v>
      </c>
      <c r="M133" s="7">
        <v>180.0</v>
      </c>
      <c r="N133" s="7">
        <v>60.0</v>
      </c>
      <c r="O133" s="7">
        <v>90.0</v>
      </c>
      <c r="P133" s="7">
        <v>180.0</v>
      </c>
      <c r="Q133" s="26"/>
      <c r="R133" s="28">
        <v>180.0</v>
      </c>
      <c r="S133" s="28">
        <v>180.0</v>
      </c>
      <c r="T133" s="27"/>
      <c r="U133" s="27"/>
      <c r="V133" s="27"/>
      <c r="W133" s="27"/>
      <c r="X133" s="27"/>
      <c r="Y133" s="27"/>
      <c r="Z133" s="27"/>
      <c r="AA133" s="27"/>
      <c r="AB133" s="27">
        <f>120</f>
        <v>120</v>
      </c>
      <c r="AC133" s="28">
        <v>180.0</v>
      </c>
      <c r="AD133" s="28">
        <v>180.0</v>
      </c>
      <c r="AE133" s="27"/>
      <c r="AF133" s="28">
        <v>180.0</v>
      </c>
      <c r="AG133" s="28">
        <v>180.0</v>
      </c>
      <c r="AH133" s="28">
        <v>216.0</v>
      </c>
      <c r="AI133" s="28">
        <v>180.0</v>
      </c>
      <c r="AJ133" s="28">
        <v>180.0</v>
      </c>
      <c r="AK133" s="28">
        <v>180.0</v>
      </c>
      <c r="AL133" s="27"/>
      <c r="AM133" s="27"/>
      <c r="AN133" s="32"/>
    </row>
    <row r="134">
      <c r="A134" s="33"/>
      <c r="B134" s="33"/>
      <c r="C134" s="33"/>
      <c r="D134" s="33"/>
      <c r="E134" s="25"/>
      <c r="F134" s="25"/>
      <c r="G134" s="7"/>
      <c r="H134" s="7"/>
      <c r="I134" s="37"/>
      <c r="J134" s="37"/>
      <c r="K134" s="37"/>
      <c r="L134" s="37"/>
      <c r="M134" s="37"/>
      <c r="N134" s="37"/>
      <c r="O134" s="37"/>
      <c r="P134" s="37"/>
      <c r="Q134" s="37"/>
      <c r="R134" s="6"/>
      <c r="S134" s="6"/>
      <c r="T134" s="10"/>
      <c r="U134" s="10"/>
      <c r="V134" s="10"/>
      <c r="W134" s="10"/>
      <c r="X134" s="10"/>
      <c r="Y134" s="10"/>
      <c r="Z134" s="10"/>
      <c r="AA134" s="10"/>
      <c r="AB134" s="6"/>
      <c r="AC134" s="6"/>
      <c r="AD134" s="6"/>
      <c r="AE134" s="6"/>
      <c r="AF134" s="6"/>
      <c r="AG134" s="6"/>
      <c r="AH134" s="6"/>
      <c r="AI134" s="6"/>
      <c r="AJ134" s="27"/>
      <c r="AK134" s="27"/>
      <c r="AL134" s="27"/>
      <c r="AM134" s="27"/>
      <c r="AN134" s="39"/>
      <c r="AO134" s="53"/>
      <c r="AP134" s="53"/>
    </row>
    <row r="135">
      <c r="A135" s="24" t="s">
        <v>70</v>
      </c>
      <c r="B135" s="17"/>
      <c r="C135" s="17"/>
      <c r="D135" s="18"/>
      <c r="E135" s="25">
        <v>8.0</v>
      </c>
      <c r="F135" s="25" t="s">
        <v>21</v>
      </c>
      <c r="G135" s="7">
        <v>46288.0</v>
      </c>
      <c r="H135" s="7" t="s">
        <v>22</v>
      </c>
      <c r="I135" s="26"/>
      <c r="J135" s="26"/>
      <c r="K135" s="26"/>
      <c r="L135" s="26"/>
      <c r="M135" s="26"/>
      <c r="N135" s="26"/>
      <c r="O135" s="26"/>
      <c r="P135" s="26"/>
      <c r="Q135" s="26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9">
        <f>G135+SUM(I135:AL135)-SUM(I136:AM136)</f>
        <v>42438</v>
      </c>
      <c r="AO135" s="53">
        <f>ROUNDDOWN((AN135/E135)/$H$4,1)</f>
        <v>176.8</v>
      </c>
      <c r="AP135" s="53">
        <f>$M$3+AO135</f>
        <v>1025.8</v>
      </c>
    </row>
    <row r="136">
      <c r="A136" s="31"/>
      <c r="B136" s="17"/>
      <c r="C136" s="17"/>
      <c r="D136" s="17"/>
      <c r="E136" s="17"/>
      <c r="F136" s="18"/>
      <c r="G136" s="26"/>
      <c r="H136" s="7" t="s">
        <v>23</v>
      </c>
      <c r="I136" s="7">
        <v>180.0</v>
      </c>
      <c r="J136" s="26"/>
      <c r="K136" s="7">
        <v>180.0</v>
      </c>
      <c r="L136" s="7">
        <v>210.0</v>
      </c>
      <c r="M136" s="7">
        <f>180+30+30</f>
        <v>240</v>
      </c>
      <c r="N136" s="7">
        <v>60.0</v>
      </c>
      <c r="O136" s="7">
        <f>90+20</f>
        <v>110</v>
      </c>
      <c r="P136" s="26">
        <f>20+30+180</f>
        <v>230</v>
      </c>
      <c r="Q136" s="26"/>
      <c r="R136" s="27">
        <f>30+36+180</f>
        <v>246</v>
      </c>
      <c r="S136" s="27">
        <f>30+30+180</f>
        <v>240</v>
      </c>
      <c r="T136" s="27"/>
      <c r="U136" s="27"/>
      <c r="V136" s="27"/>
      <c r="W136" s="27"/>
      <c r="X136" s="27"/>
      <c r="Y136" s="27"/>
      <c r="Z136" s="28">
        <v>6.0</v>
      </c>
      <c r="AA136" s="27"/>
      <c r="AB136" s="28">
        <f>36+120+30</f>
        <v>186</v>
      </c>
      <c r="AC136" s="27">
        <f>12+30+180</f>
        <v>222</v>
      </c>
      <c r="AD136" s="27">
        <f>26+30+180</f>
        <v>236</v>
      </c>
      <c r="AE136" s="27"/>
      <c r="AF136" s="27">
        <f>30+38+180</f>
        <v>248</v>
      </c>
      <c r="AG136" s="27">
        <f>30+30+180</f>
        <v>240</v>
      </c>
      <c r="AH136" s="27">
        <f>42+30+216</f>
        <v>288</v>
      </c>
      <c r="AI136" s="27">
        <f>38+30+180</f>
        <v>248</v>
      </c>
      <c r="AJ136" s="27">
        <f>30+30+180</f>
        <v>240</v>
      </c>
      <c r="AK136" s="28">
        <v>240.0</v>
      </c>
      <c r="AL136" s="27"/>
      <c r="AM136" s="27"/>
      <c r="AN136" s="32"/>
    </row>
    <row r="137">
      <c r="A137" s="33"/>
      <c r="B137" s="33"/>
      <c r="C137" s="33"/>
      <c r="D137" s="33"/>
      <c r="E137" s="25"/>
      <c r="F137" s="25"/>
      <c r="G137" s="7"/>
      <c r="H137" s="7"/>
      <c r="I137" s="37"/>
      <c r="J137" s="37"/>
      <c r="K137" s="37"/>
      <c r="L137" s="37"/>
      <c r="M137" s="37"/>
      <c r="N137" s="37"/>
      <c r="O137" s="37"/>
      <c r="P137" s="37"/>
      <c r="Q137" s="37"/>
      <c r="R137" s="6"/>
      <c r="S137" s="6"/>
      <c r="T137" s="10"/>
      <c r="U137" s="10"/>
      <c r="V137" s="10"/>
      <c r="W137" s="10"/>
      <c r="X137" s="6"/>
      <c r="Y137" s="6"/>
      <c r="Z137" s="6"/>
      <c r="AA137" s="10"/>
      <c r="AB137" s="6"/>
      <c r="AC137" s="6"/>
      <c r="AD137" s="6"/>
      <c r="AE137" s="6"/>
      <c r="AF137" s="6"/>
      <c r="AG137" s="6"/>
      <c r="AH137" s="6"/>
      <c r="AI137" s="42"/>
      <c r="AJ137" s="27"/>
      <c r="AK137" s="27"/>
      <c r="AL137" s="27"/>
      <c r="AM137" s="27"/>
      <c r="AN137" s="39"/>
      <c r="AO137" s="53"/>
      <c r="AP137" s="53"/>
    </row>
    <row r="138">
      <c r="A138" s="24" t="s">
        <v>71</v>
      </c>
      <c r="B138" s="17"/>
      <c r="C138" s="17"/>
      <c r="D138" s="18"/>
      <c r="E138" s="25">
        <v>8.0</v>
      </c>
      <c r="F138" s="25" t="s">
        <v>21</v>
      </c>
      <c r="G138" s="7">
        <v>7948.0</v>
      </c>
      <c r="H138" s="7" t="s">
        <v>22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8">
        <v>6480.0</v>
      </c>
      <c r="AJ138" s="27"/>
      <c r="AK138" s="27"/>
      <c r="AL138" s="27"/>
      <c r="AM138" s="27"/>
      <c r="AN138" s="29">
        <f>G138+SUM(I138:AL138)-SUM(I139:AM139)</f>
        <v>10578</v>
      </c>
      <c r="AO138" s="53">
        <f>ROUNDDOWN((AN138/E138)/$H$4,1)</f>
        <v>44</v>
      </c>
      <c r="AP138" s="53">
        <f>$M$3+AO138</f>
        <v>893</v>
      </c>
    </row>
    <row r="139">
      <c r="A139" s="31"/>
      <c r="B139" s="17"/>
      <c r="C139" s="17"/>
      <c r="D139" s="17"/>
      <c r="E139" s="17"/>
      <c r="F139" s="18"/>
      <c r="G139" s="26"/>
      <c r="H139" s="7" t="s">
        <v>23</v>
      </c>
      <c r="I139" s="7">
        <v>180.0</v>
      </c>
      <c r="J139" s="26"/>
      <c r="K139" s="7">
        <v>180.0</v>
      </c>
      <c r="L139" s="7">
        <v>210.0</v>
      </c>
      <c r="M139" s="7">
        <f>180+30+30</f>
        <v>240</v>
      </c>
      <c r="N139" s="7">
        <v>60.0</v>
      </c>
      <c r="O139" s="7">
        <f>90+20</f>
        <v>110</v>
      </c>
      <c r="P139" s="26">
        <f>20+30+180</f>
        <v>230</v>
      </c>
      <c r="Q139" s="26"/>
      <c r="R139" s="27">
        <f>30+36+180</f>
        <v>246</v>
      </c>
      <c r="S139" s="27">
        <f>30+30+180</f>
        <v>240</v>
      </c>
      <c r="T139" s="27"/>
      <c r="U139" s="27"/>
      <c r="V139" s="27"/>
      <c r="W139" s="27"/>
      <c r="X139" s="27"/>
      <c r="Y139" s="27"/>
      <c r="Z139" s="28">
        <v>6.0</v>
      </c>
      <c r="AA139" s="27"/>
      <c r="AB139" s="28">
        <f>36+120+30</f>
        <v>186</v>
      </c>
      <c r="AC139" s="27">
        <f>12+30+180</f>
        <v>222</v>
      </c>
      <c r="AD139" s="27">
        <f>26+30+180</f>
        <v>236</v>
      </c>
      <c r="AE139" s="27"/>
      <c r="AF139" s="27">
        <f>30+38+180</f>
        <v>248</v>
      </c>
      <c r="AG139" s="27">
        <f>30+30+180</f>
        <v>240</v>
      </c>
      <c r="AH139" s="27">
        <f>42+30+216</f>
        <v>288</v>
      </c>
      <c r="AI139" s="27">
        <f>38+30+180</f>
        <v>248</v>
      </c>
      <c r="AJ139" s="27">
        <f>30+30+180</f>
        <v>240</v>
      </c>
      <c r="AK139" s="28">
        <v>240.0</v>
      </c>
      <c r="AL139" s="27"/>
      <c r="AM139" s="27"/>
      <c r="AN139" s="32"/>
    </row>
    <row r="140">
      <c r="A140" s="33"/>
      <c r="B140" s="33"/>
      <c r="C140" s="33"/>
      <c r="D140" s="33"/>
      <c r="E140" s="25"/>
      <c r="F140" s="25"/>
      <c r="G140" s="7"/>
      <c r="H140" s="7"/>
      <c r="I140" s="37"/>
      <c r="J140" s="37"/>
      <c r="K140" s="37"/>
      <c r="L140" s="37"/>
      <c r="M140" s="37"/>
      <c r="N140" s="37"/>
      <c r="O140" s="37"/>
      <c r="P140" s="37"/>
      <c r="Q140" s="37"/>
      <c r="R140" s="6"/>
      <c r="S140" s="6"/>
      <c r="T140" s="10"/>
      <c r="U140" s="10"/>
      <c r="V140" s="10"/>
      <c r="W140" s="10"/>
      <c r="X140" s="6"/>
      <c r="Y140" s="6"/>
      <c r="Z140" s="6"/>
      <c r="AA140" s="10"/>
      <c r="AB140" s="6"/>
      <c r="AC140" s="6"/>
      <c r="AD140" s="6"/>
      <c r="AE140" s="6"/>
      <c r="AF140" s="6"/>
      <c r="AG140" s="6"/>
      <c r="AH140" s="6"/>
      <c r="AI140" s="42"/>
      <c r="AJ140" s="27"/>
      <c r="AK140" s="27"/>
      <c r="AL140" s="27"/>
      <c r="AM140" s="27"/>
      <c r="AN140" s="39"/>
      <c r="AO140" s="53"/>
      <c r="AP140" s="53"/>
    </row>
    <row r="141">
      <c r="A141" s="24" t="s">
        <v>72</v>
      </c>
      <c r="B141" s="17"/>
      <c r="C141" s="17"/>
      <c r="D141" s="18"/>
      <c r="E141" s="25">
        <v>12.0</v>
      </c>
      <c r="F141" s="25" t="s">
        <v>21</v>
      </c>
      <c r="G141" s="7">
        <v>8148.0</v>
      </c>
      <c r="H141" s="7" t="s">
        <v>22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8">
        <v>12240.0</v>
      </c>
      <c r="AJ141" s="27"/>
      <c r="AK141" s="27"/>
      <c r="AL141" s="27"/>
      <c r="AM141" s="27"/>
      <c r="AN141" s="29">
        <f>G141+SUM(I141:AL141)-SUM(I142:AM142)</f>
        <v>14844</v>
      </c>
      <c r="AO141" s="53">
        <f>ROUNDDOWN((AN141/E141)/$H$4,1)</f>
        <v>41.2</v>
      </c>
      <c r="AP141" s="53">
        <f>$M$5+AO141</f>
        <v>889.2</v>
      </c>
    </row>
    <row r="142">
      <c r="A142" s="31"/>
      <c r="B142" s="17"/>
      <c r="C142" s="17"/>
      <c r="D142" s="17"/>
      <c r="E142" s="17"/>
      <c r="F142" s="18"/>
      <c r="G142" s="26"/>
      <c r="H142" s="7" t="s">
        <v>23</v>
      </c>
      <c r="I142" s="7">
        <v>180.0</v>
      </c>
      <c r="J142" s="26"/>
      <c r="K142" s="7">
        <v>360.0</v>
      </c>
      <c r="L142" s="7">
        <v>180.0</v>
      </c>
      <c r="M142" s="26">
        <f>180+180</f>
        <v>360</v>
      </c>
      <c r="N142" s="7">
        <v>144.0</v>
      </c>
      <c r="O142" s="7">
        <v>180.0</v>
      </c>
      <c r="P142" s="26">
        <f>180+180</f>
        <v>360</v>
      </c>
      <c r="Q142" s="26"/>
      <c r="R142" s="27">
        <f>180+180</f>
        <v>360</v>
      </c>
      <c r="S142" s="28">
        <v>180.0</v>
      </c>
      <c r="T142" s="27"/>
      <c r="U142" s="27"/>
      <c r="V142" s="27"/>
      <c r="W142" s="27"/>
      <c r="X142" s="27"/>
      <c r="Y142" s="27"/>
      <c r="Z142" s="28">
        <v>60.0</v>
      </c>
      <c r="AA142" s="27"/>
      <c r="AB142" s="28">
        <v>180.0</v>
      </c>
      <c r="AC142" s="28">
        <f t="shared" ref="AC142:AD142" si="11">180+180</f>
        <v>360</v>
      </c>
      <c r="AD142" s="27">
        <f t="shared" si="11"/>
        <v>360</v>
      </c>
      <c r="AE142" s="27"/>
      <c r="AF142" s="27">
        <f t="shared" ref="AF142:AG142" si="12">180+180</f>
        <v>360</v>
      </c>
      <c r="AG142" s="27">
        <f t="shared" si="12"/>
        <v>360</v>
      </c>
      <c r="AH142" s="28">
        <v>360.0</v>
      </c>
      <c r="AI142" s="28">
        <v>360.0</v>
      </c>
      <c r="AJ142" s="28">
        <v>360.0</v>
      </c>
      <c r="AK142" s="28">
        <v>480.0</v>
      </c>
      <c r="AL142" s="27"/>
      <c r="AM142" s="27"/>
      <c r="AN142" s="32"/>
    </row>
    <row r="143">
      <c r="A143" s="33"/>
      <c r="B143" s="33"/>
      <c r="C143" s="33"/>
      <c r="D143" s="33"/>
      <c r="E143" s="25"/>
      <c r="F143" s="25"/>
      <c r="G143" s="7"/>
      <c r="H143" s="7"/>
      <c r="I143" s="37"/>
      <c r="J143" s="37"/>
      <c r="K143" s="37"/>
      <c r="L143" s="37"/>
      <c r="M143" s="37"/>
      <c r="N143" s="37"/>
      <c r="O143" s="37"/>
      <c r="P143" s="37"/>
      <c r="Q143" s="37"/>
      <c r="R143" s="6"/>
      <c r="S143" s="6"/>
      <c r="T143" s="10"/>
      <c r="U143" s="10"/>
      <c r="V143" s="10"/>
      <c r="W143" s="10"/>
      <c r="X143" s="6"/>
      <c r="Y143" s="6"/>
      <c r="Z143" s="6"/>
      <c r="AA143" s="10"/>
      <c r="AB143" s="6"/>
      <c r="AC143" s="6"/>
      <c r="AD143" s="6"/>
      <c r="AE143" s="6"/>
      <c r="AF143" s="6"/>
      <c r="AG143" s="6"/>
      <c r="AH143" s="6"/>
      <c r="AI143" s="42"/>
      <c r="AJ143" s="27"/>
      <c r="AK143" s="27"/>
      <c r="AL143" s="27"/>
      <c r="AM143" s="27"/>
      <c r="AN143" s="39"/>
      <c r="AO143" s="53"/>
      <c r="AP143" s="53"/>
    </row>
    <row r="144">
      <c r="A144" s="24" t="s">
        <v>73</v>
      </c>
      <c r="B144" s="17"/>
      <c r="C144" s="17"/>
      <c r="D144" s="18"/>
      <c r="E144" s="25">
        <v>12.0</v>
      </c>
      <c r="F144" s="25" t="s">
        <v>21</v>
      </c>
      <c r="G144" s="7">
        <v>10076.0</v>
      </c>
      <c r="H144" s="7" t="s">
        <v>22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8">
        <v>11520.0</v>
      </c>
      <c r="AJ144" s="27"/>
      <c r="AK144" s="27"/>
      <c r="AL144" s="27"/>
      <c r="AM144" s="27"/>
      <c r="AN144" s="29">
        <f>G144+SUM(I144:AL144)-SUM(I145:AM145)</f>
        <v>16052</v>
      </c>
      <c r="AO144" s="53">
        <f>ROUNDDOWN((AN144/E144)/$H$4,1)</f>
        <v>44.5</v>
      </c>
      <c r="AP144" s="53">
        <f>$M$5+AO144</f>
        <v>892.5</v>
      </c>
    </row>
    <row r="145">
      <c r="A145" s="31"/>
      <c r="B145" s="17"/>
      <c r="C145" s="17"/>
      <c r="D145" s="17"/>
      <c r="E145" s="17"/>
      <c r="F145" s="18"/>
      <c r="G145" s="26"/>
      <c r="H145" s="7" t="s">
        <v>23</v>
      </c>
      <c r="I145" s="7">
        <v>180.0</v>
      </c>
      <c r="J145" s="26"/>
      <c r="K145" s="7">
        <v>360.0</v>
      </c>
      <c r="L145" s="7">
        <v>180.0</v>
      </c>
      <c r="M145" s="26">
        <f>180+180</f>
        <v>360</v>
      </c>
      <c r="N145" s="7">
        <v>144.0</v>
      </c>
      <c r="O145" s="7">
        <v>180.0</v>
      </c>
      <c r="P145" s="26">
        <f>180+180</f>
        <v>360</v>
      </c>
      <c r="Q145" s="26"/>
      <c r="R145" s="27">
        <f>180+180</f>
        <v>360</v>
      </c>
      <c r="S145" s="28">
        <v>180.0</v>
      </c>
      <c r="T145" s="27"/>
      <c r="U145" s="27"/>
      <c r="V145" s="27"/>
      <c r="W145" s="27"/>
      <c r="X145" s="27"/>
      <c r="Y145" s="27"/>
      <c r="Z145" s="28">
        <v>60.0</v>
      </c>
      <c r="AA145" s="27"/>
      <c r="AB145" s="28">
        <v>180.0</v>
      </c>
      <c r="AC145" s="28">
        <f t="shared" ref="AC145:AD145" si="13">180+180</f>
        <v>360</v>
      </c>
      <c r="AD145" s="27">
        <f t="shared" si="13"/>
        <v>360</v>
      </c>
      <c r="AE145" s="27"/>
      <c r="AF145" s="27">
        <f t="shared" ref="AF145:AG145" si="14">180+180</f>
        <v>360</v>
      </c>
      <c r="AG145" s="27">
        <f t="shared" si="14"/>
        <v>360</v>
      </c>
      <c r="AH145" s="28">
        <v>360.0</v>
      </c>
      <c r="AI145" s="28">
        <v>360.0</v>
      </c>
      <c r="AJ145" s="28">
        <v>360.0</v>
      </c>
      <c r="AK145" s="28">
        <v>480.0</v>
      </c>
      <c r="AL145" s="27"/>
      <c r="AM145" s="27"/>
      <c r="AN145" s="32"/>
    </row>
    <row r="146">
      <c r="A146" s="33"/>
      <c r="B146" s="33"/>
      <c r="C146" s="33"/>
      <c r="D146" s="33"/>
      <c r="E146" s="25"/>
      <c r="F146" s="25"/>
      <c r="G146" s="7"/>
      <c r="H146" s="7"/>
      <c r="I146" s="37"/>
      <c r="J146" s="37"/>
      <c r="K146" s="37"/>
      <c r="L146" s="37"/>
      <c r="M146" s="37"/>
      <c r="N146" s="37"/>
      <c r="O146" s="37"/>
      <c r="P146" s="37"/>
      <c r="Q146" s="37"/>
      <c r="R146" s="6"/>
      <c r="S146" s="6"/>
      <c r="T146" s="10"/>
      <c r="U146" s="10"/>
      <c r="V146" s="10"/>
      <c r="W146" s="10"/>
      <c r="X146" s="6"/>
      <c r="Y146" s="6"/>
      <c r="Z146" s="6"/>
      <c r="AA146" s="10"/>
      <c r="AB146" s="6"/>
      <c r="AC146" s="6"/>
      <c r="AD146" s="6"/>
      <c r="AE146" s="6"/>
      <c r="AF146" s="6"/>
      <c r="AG146" s="6"/>
      <c r="AH146" s="6"/>
      <c r="AI146" s="6"/>
      <c r="AJ146" s="27"/>
      <c r="AK146" s="27"/>
      <c r="AL146" s="27"/>
      <c r="AM146" s="27"/>
      <c r="AN146" s="39"/>
      <c r="AO146" s="53"/>
      <c r="AP146" s="53"/>
    </row>
    <row r="147">
      <c r="A147" s="24" t="s">
        <v>74</v>
      </c>
      <c r="B147" s="17"/>
      <c r="C147" s="17"/>
      <c r="D147" s="18"/>
      <c r="E147" s="25">
        <v>18.0</v>
      </c>
      <c r="F147" s="25" t="s">
        <v>21</v>
      </c>
      <c r="G147" s="7">
        <v>32116.0</v>
      </c>
      <c r="H147" s="7" t="s">
        <v>22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9">
        <f>G147+SUM(I147:AL147)-SUM(I148:AM148)</f>
        <v>23548</v>
      </c>
      <c r="AO147" s="53">
        <f>ROUNDDOWN((AN147/E147)/$H$4,1)</f>
        <v>43.6</v>
      </c>
      <c r="AP147" s="53">
        <f>$M$5+AO147</f>
        <v>891.6</v>
      </c>
    </row>
    <row r="148">
      <c r="A148" s="31"/>
      <c r="B148" s="17"/>
      <c r="C148" s="17"/>
      <c r="D148" s="17"/>
      <c r="E148" s="17"/>
      <c r="F148" s="18"/>
      <c r="G148" s="26"/>
      <c r="H148" s="7" t="s">
        <v>23</v>
      </c>
      <c r="I148" s="7">
        <v>540.0</v>
      </c>
      <c r="J148" s="26"/>
      <c r="K148" s="7">
        <v>540.0</v>
      </c>
      <c r="L148" s="7">
        <v>540.0</v>
      </c>
      <c r="M148" s="7">
        <f>270+270</f>
        <v>540</v>
      </c>
      <c r="N148" s="26"/>
      <c r="O148" s="7">
        <v>180.0</v>
      </c>
      <c r="P148" s="26">
        <f>180+270</f>
        <v>450</v>
      </c>
      <c r="Q148" s="26"/>
      <c r="R148" s="27">
        <f>270+324</f>
        <v>594</v>
      </c>
      <c r="S148" s="27">
        <f>270+270</f>
        <v>540</v>
      </c>
      <c r="T148" s="27"/>
      <c r="U148" s="27"/>
      <c r="V148" s="27"/>
      <c r="W148" s="27"/>
      <c r="X148" s="27"/>
      <c r="Y148" s="27"/>
      <c r="Z148" s="28">
        <v>54.0</v>
      </c>
      <c r="AA148" s="27"/>
      <c r="AB148" s="28">
        <f>324+270</f>
        <v>594</v>
      </c>
      <c r="AC148" s="27"/>
      <c r="AD148" s="27">
        <f>234+270</f>
        <v>504</v>
      </c>
      <c r="AE148" s="27"/>
      <c r="AF148" s="27">
        <f>270+342</f>
        <v>612</v>
      </c>
      <c r="AG148" s="27">
        <f>270+270</f>
        <v>540</v>
      </c>
      <c r="AH148" s="27">
        <f>270+378</f>
        <v>648</v>
      </c>
      <c r="AI148" s="27">
        <f>342+270</f>
        <v>612</v>
      </c>
      <c r="AJ148" s="27">
        <f>270+270</f>
        <v>540</v>
      </c>
      <c r="AK148" s="28">
        <v>540.0</v>
      </c>
      <c r="AL148" s="27"/>
      <c r="AM148" s="27"/>
      <c r="AN148" s="32"/>
    </row>
    <row r="149">
      <c r="A149" s="33"/>
      <c r="B149" s="33"/>
      <c r="C149" s="33"/>
      <c r="D149" s="33"/>
      <c r="E149" s="25"/>
      <c r="F149" s="25"/>
      <c r="G149" s="7"/>
      <c r="H149" s="7"/>
      <c r="I149" s="37"/>
      <c r="J149" s="37"/>
      <c r="K149" s="37"/>
      <c r="L149" s="37"/>
      <c r="M149" s="37"/>
      <c r="N149" s="37"/>
      <c r="O149" s="37"/>
      <c r="P149" s="37"/>
      <c r="Q149" s="37"/>
      <c r="R149" s="6"/>
      <c r="S149" s="6"/>
      <c r="T149" s="10"/>
      <c r="U149" s="10"/>
      <c r="V149" s="10"/>
      <c r="W149" s="10"/>
      <c r="X149" s="6"/>
      <c r="Y149" s="6"/>
      <c r="Z149" s="6"/>
      <c r="AA149" s="10"/>
      <c r="AB149" s="6"/>
      <c r="AC149" s="10"/>
      <c r="AD149" s="6"/>
      <c r="AE149" s="6"/>
      <c r="AF149" s="6"/>
      <c r="AG149" s="6"/>
      <c r="AH149" s="6"/>
      <c r="AI149" s="6"/>
      <c r="AJ149" s="27"/>
      <c r="AK149" s="27"/>
      <c r="AL149" s="27"/>
      <c r="AM149" s="27"/>
      <c r="AN149" s="39"/>
      <c r="AO149" s="53"/>
      <c r="AP149" s="53"/>
    </row>
    <row r="150">
      <c r="A150" s="24" t="s">
        <v>75</v>
      </c>
      <c r="B150" s="17"/>
      <c r="C150" s="17"/>
      <c r="D150" s="18"/>
      <c r="E150" s="25">
        <v>12.0</v>
      </c>
      <c r="F150" s="25" t="s">
        <v>21</v>
      </c>
      <c r="G150" s="7">
        <v>47963.0</v>
      </c>
      <c r="H150" s="7" t="s">
        <v>22</v>
      </c>
      <c r="I150" s="26"/>
      <c r="J150" s="26"/>
      <c r="K150" s="26"/>
      <c r="L150" s="26"/>
      <c r="M150" s="26"/>
      <c r="N150" s="26"/>
      <c r="O150" s="26"/>
      <c r="P150" s="26"/>
      <c r="Q150" s="26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9">
        <f>G150+SUM(I150:AL150)-SUM(I151:AM151)</f>
        <v>42293</v>
      </c>
      <c r="AO150" s="53">
        <f>ROUNDDOWN((AN150/E150)/$H$4,1)</f>
        <v>117.4</v>
      </c>
      <c r="AP150" s="53">
        <f>$M$4+AO150</f>
        <v>969.4</v>
      </c>
    </row>
    <row r="151">
      <c r="A151" s="31"/>
      <c r="B151" s="17"/>
      <c r="C151" s="17"/>
      <c r="D151" s="17"/>
      <c r="E151" s="17"/>
      <c r="F151" s="18"/>
      <c r="G151" s="26"/>
      <c r="H151" s="7" t="s">
        <v>23</v>
      </c>
      <c r="I151" s="7">
        <v>90.0</v>
      </c>
      <c r="J151" s="26"/>
      <c r="K151" s="7">
        <v>180.0</v>
      </c>
      <c r="L151" s="7">
        <v>90.0</v>
      </c>
      <c r="M151" s="7">
        <f>120+90+90</f>
        <v>300</v>
      </c>
      <c r="N151" s="7">
        <v>0.0</v>
      </c>
      <c r="O151" s="7">
        <f>+90+120+2160</f>
        <v>2370</v>
      </c>
      <c r="P151" s="26">
        <f>90+90</f>
        <v>180</v>
      </c>
      <c r="Q151" s="26"/>
      <c r="R151" s="27">
        <f>90+90</f>
        <v>180</v>
      </c>
      <c r="S151" s="28">
        <f>120+90</f>
        <v>210</v>
      </c>
      <c r="T151" s="27"/>
      <c r="U151" s="27"/>
      <c r="V151" s="28">
        <v>120.0</v>
      </c>
      <c r="W151" s="27"/>
      <c r="X151" s="27"/>
      <c r="Y151" s="27"/>
      <c r="Z151" s="28">
        <v>30.0</v>
      </c>
      <c r="AA151" s="27"/>
      <c r="AB151" s="28">
        <f>120+90</f>
        <v>210</v>
      </c>
      <c r="AC151" s="28">
        <v>120.0</v>
      </c>
      <c r="AD151" s="27"/>
      <c r="AE151" s="27"/>
      <c r="AF151" s="28">
        <v>270.0</v>
      </c>
      <c r="AG151" s="28">
        <v>270.0</v>
      </c>
      <c r="AH151" s="28">
        <f>120+270</f>
        <v>390</v>
      </c>
      <c r="AI151" s="28">
        <v>270.0</v>
      </c>
      <c r="AJ151" s="28">
        <v>120.0</v>
      </c>
      <c r="AK151" s="28">
        <v>270.0</v>
      </c>
      <c r="AL151" s="27"/>
      <c r="AM151" s="27"/>
      <c r="AN151" s="32"/>
    </row>
    <row r="152">
      <c r="A152" s="33"/>
      <c r="B152" s="33"/>
      <c r="C152" s="33"/>
      <c r="D152" s="33"/>
      <c r="E152" s="25"/>
      <c r="F152" s="25"/>
      <c r="G152" s="7"/>
      <c r="H152" s="7"/>
      <c r="I152" s="37"/>
      <c r="J152" s="37"/>
      <c r="K152" s="37"/>
      <c r="L152" s="37"/>
      <c r="M152" s="37"/>
      <c r="N152" s="37"/>
      <c r="O152" s="37"/>
      <c r="P152" s="37"/>
      <c r="Q152" s="37"/>
      <c r="R152" s="6"/>
      <c r="S152" s="6"/>
      <c r="T152" s="10"/>
      <c r="U152" s="10"/>
      <c r="V152" s="6"/>
      <c r="W152" s="10"/>
      <c r="X152" s="6"/>
      <c r="Y152" s="6"/>
      <c r="Z152" s="6"/>
      <c r="AA152" s="10"/>
      <c r="AB152" s="6"/>
      <c r="AC152" s="6"/>
      <c r="AD152" s="10"/>
      <c r="AE152" s="6"/>
      <c r="AF152" s="6"/>
      <c r="AG152" s="6"/>
      <c r="AH152" s="6"/>
      <c r="AI152" s="6"/>
      <c r="AJ152" s="27"/>
      <c r="AK152" s="27"/>
      <c r="AL152" s="27"/>
      <c r="AM152" s="27"/>
      <c r="AN152" s="39"/>
      <c r="AO152" s="53"/>
      <c r="AP152" s="53"/>
    </row>
    <row r="153">
      <c r="A153" s="24" t="s">
        <v>76</v>
      </c>
      <c r="B153" s="17"/>
      <c r="C153" s="17"/>
      <c r="D153" s="18"/>
      <c r="E153" s="25">
        <v>1.0</v>
      </c>
      <c r="F153" s="25" t="s">
        <v>21</v>
      </c>
      <c r="G153" s="7">
        <v>1870.0</v>
      </c>
      <c r="H153" s="7" t="s">
        <v>22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9">
        <f>G153+SUM(I153:AL153)-SUM(I154:AM154)</f>
        <v>1330</v>
      </c>
      <c r="AO153" s="53">
        <f>ROUNDDOWN((AN153/E153)/$H$4,1)</f>
        <v>44.3</v>
      </c>
      <c r="AP153" s="53">
        <f>$M$4+AO153</f>
        <v>896.3</v>
      </c>
    </row>
    <row r="154">
      <c r="A154" s="31"/>
      <c r="B154" s="17"/>
      <c r="C154" s="17"/>
      <c r="D154" s="17"/>
      <c r="E154" s="17"/>
      <c r="F154" s="18"/>
      <c r="G154" s="26"/>
      <c r="H154" s="7" t="s">
        <v>23</v>
      </c>
      <c r="I154" s="26"/>
      <c r="J154" s="26"/>
      <c r="K154" s="26"/>
      <c r="L154" s="26"/>
      <c r="M154" s="26"/>
      <c r="N154" s="7">
        <v>90.0</v>
      </c>
      <c r="O154" s="26"/>
      <c r="P154" s="26"/>
      <c r="Q154" s="26"/>
      <c r="R154" s="27"/>
      <c r="S154" s="28">
        <v>90.0</v>
      </c>
      <c r="T154" s="27"/>
      <c r="U154" s="27"/>
      <c r="V154" s="27"/>
      <c r="W154" s="27"/>
      <c r="X154" s="27"/>
      <c r="Y154" s="27"/>
      <c r="Z154" s="28">
        <v>90.0</v>
      </c>
      <c r="AA154" s="27"/>
      <c r="AB154" s="27"/>
      <c r="AC154" s="27"/>
      <c r="AD154" s="27"/>
      <c r="AE154" s="27"/>
      <c r="AF154" s="28">
        <v>90.0</v>
      </c>
      <c r="AG154" s="27"/>
      <c r="AH154" s="27"/>
      <c r="AI154" s="28">
        <v>90.0</v>
      </c>
      <c r="AJ154" s="27"/>
      <c r="AK154" s="28">
        <v>90.0</v>
      </c>
      <c r="AL154" s="27"/>
      <c r="AM154" s="27"/>
      <c r="AN154" s="32"/>
    </row>
    <row r="155">
      <c r="A155" s="33"/>
      <c r="B155" s="33"/>
      <c r="C155" s="33"/>
      <c r="D155" s="33"/>
      <c r="E155" s="25"/>
      <c r="F155" s="25"/>
      <c r="G155" s="7"/>
      <c r="H155" s="7"/>
      <c r="I155" s="37"/>
      <c r="J155" s="37"/>
      <c r="K155" s="37"/>
      <c r="L155" s="37"/>
      <c r="M155" s="37"/>
      <c r="N155" s="37"/>
      <c r="O155" s="37"/>
      <c r="P155" s="37"/>
      <c r="Q155" s="37"/>
      <c r="R155" s="6"/>
      <c r="S155" s="6"/>
      <c r="T155" s="10"/>
      <c r="U155" s="10"/>
      <c r="V155" s="10"/>
      <c r="W155" s="10"/>
      <c r="X155" s="6"/>
      <c r="Y155" s="6"/>
      <c r="Z155" s="6"/>
      <c r="AA155" s="10"/>
      <c r="AB155" s="10"/>
      <c r="AC155" s="10"/>
      <c r="AD155" s="10"/>
      <c r="AE155" s="6"/>
      <c r="AF155" s="6"/>
      <c r="AG155" s="10"/>
      <c r="AH155" s="10"/>
      <c r="AI155" s="6"/>
      <c r="AJ155" s="27"/>
      <c r="AK155" s="27"/>
      <c r="AL155" s="27"/>
      <c r="AM155" s="27"/>
      <c r="AN155" s="39"/>
      <c r="AO155" s="53"/>
      <c r="AP155" s="53"/>
    </row>
    <row r="156">
      <c r="A156" s="24" t="s">
        <v>77</v>
      </c>
      <c r="B156" s="17"/>
      <c r="C156" s="17"/>
      <c r="D156" s="18"/>
      <c r="E156" s="25">
        <v>8.0</v>
      </c>
      <c r="F156" s="25" t="s">
        <v>21</v>
      </c>
      <c r="G156" s="7">
        <v>13400.0</v>
      </c>
      <c r="H156" s="7" t="s">
        <v>22</v>
      </c>
      <c r="I156" s="26"/>
      <c r="J156" s="26"/>
      <c r="K156" s="26"/>
      <c r="L156" s="26"/>
      <c r="M156" s="26"/>
      <c r="N156" s="26"/>
      <c r="O156" s="26"/>
      <c r="P156" s="26"/>
      <c r="Q156" s="26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9">
        <f>G156+SUM(I156:AL156)-SUM(I157:AM157)</f>
        <v>9080</v>
      </c>
      <c r="AO156" s="53">
        <f>ROUNDDOWN((AN156/E156)/$H$4,1)</f>
        <v>37.8</v>
      </c>
      <c r="AP156" s="53">
        <f>$M$4+AO156</f>
        <v>889.8</v>
      </c>
    </row>
    <row r="157">
      <c r="A157" s="31"/>
      <c r="B157" s="17"/>
      <c r="C157" s="17"/>
      <c r="D157" s="17"/>
      <c r="E157" s="17"/>
      <c r="F157" s="18"/>
      <c r="G157" s="26"/>
      <c r="H157" s="7" t="s">
        <v>23</v>
      </c>
      <c r="I157" s="7">
        <v>480.0</v>
      </c>
      <c r="J157" s="26"/>
      <c r="K157" s="26"/>
      <c r="L157" s="26"/>
      <c r="M157" s="26"/>
      <c r="N157" s="7">
        <v>480.0</v>
      </c>
      <c r="O157" s="26"/>
      <c r="P157" s="7">
        <v>480.0</v>
      </c>
      <c r="Q157" s="26"/>
      <c r="R157" s="27"/>
      <c r="S157" s="27"/>
      <c r="T157" s="27"/>
      <c r="U157" s="28">
        <v>480.0</v>
      </c>
      <c r="V157" s="27"/>
      <c r="W157" s="27"/>
      <c r="X157" s="27"/>
      <c r="Y157" s="27"/>
      <c r="Z157" s="27"/>
      <c r="AA157" s="28">
        <v>480.0</v>
      </c>
      <c r="AB157" s="27"/>
      <c r="AC157" s="28">
        <v>480.0</v>
      </c>
      <c r="AD157" s="27"/>
      <c r="AE157" s="27"/>
      <c r="AF157" s="28">
        <v>480.0</v>
      </c>
      <c r="AG157" s="27"/>
      <c r="AH157" s="28">
        <v>480.0</v>
      </c>
      <c r="AI157" s="27"/>
      <c r="AJ157" s="28">
        <v>480.0</v>
      </c>
      <c r="AK157" s="27"/>
      <c r="AL157" s="27"/>
      <c r="AM157" s="27"/>
      <c r="AN157" s="32"/>
    </row>
    <row r="158">
      <c r="A158" s="33"/>
      <c r="B158" s="33"/>
      <c r="C158" s="33"/>
      <c r="D158" s="33"/>
      <c r="E158" s="25"/>
      <c r="F158" s="25"/>
      <c r="G158" s="7"/>
      <c r="H158" s="7"/>
      <c r="I158" s="37"/>
      <c r="J158" s="37"/>
      <c r="K158" s="36"/>
      <c r="L158" s="36"/>
      <c r="M158" s="37"/>
      <c r="N158" s="37"/>
      <c r="O158" s="36"/>
      <c r="P158" s="37"/>
      <c r="Q158" s="37"/>
      <c r="R158" s="10"/>
      <c r="S158" s="10"/>
      <c r="T158" s="10"/>
      <c r="U158" s="6"/>
      <c r="V158" s="10"/>
      <c r="W158" s="10"/>
      <c r="X158" s="10"/>
      <c r="Y158" s="10"/>
      <c r="Z158" s="10"/>
      <c r="AA158" s="6"/>
      <c r="AB158" s="10"/>
      <c r="AC158" s="6"/>
      <c r="AD158" s="10"/>
      <c r="AE158" s="6"/>
      <c r="AF158" s="6"/>
      <c r="AG158" s="10"/>
      <c r="AH158" s="6"/>
      <c r="AI158" s="10"/>
      <c r="AJ158" s="27"/>
      <c r="AK158" s="27"/>
      <c r="AL158" s="27"/>
      <c r="AM158" s="27"/>
      <c r="AN158" s="39"/>
      <c r="AO158" s="53"/>
      <c r="AP158" s="53"/>
    </row>
    <row r="159">
      <c r="A159" s="24" t="s">
        <v>78</v>
      </c>
      <c r="B159" s="17"/>
      <c r="C159" s="17"/>
      <c r="D159" s="18"/>
      <c r="E159" s="25">
        <v>6.0</v>
      </c>
      <c r="F159" s="25" t="s">
        <v>21</v>
      </c>
      <c r="G159" s="7">
        <v>13552.0</v>
      </c>
      <c r="H159" s="7" t="s">
        <v>22</v>
      </c>
      <c r="I159" s="26"/>
      <c r="J159" s="26"/>
      <c r="K159" s="26"/>
      <c r="L159" s="26"/>
      <c r="M159" s="26"/>
      <c r="N159" s="26"/>
      <c r="O159" s="26"/>
      <c r="P159" s="26"/>
      <c r="Q159" s="26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9">
        <f>G159+SUM(I159:AL159)-SUM(I160:AM160)</f>
        <v>10696</v>
      </c>
      <c r="AO159" s="53">
        <f>ROUNDDOWN((AN159/E159)/$H$4,1)</f>
        <v>59.4</v>
      </c>
      <c r="AP159" s="53">
        <f>$M$3+AO159</f>
        <v>908.4</v>
      </c>
    </row>
    <row r="160">
      <c r="A160" s="31"/>
      <c r="B160" s="17"/>
      <c r="C160" s="17"/>
      <c r="D160" s="17"/>
      <c r="E160" s="17"/>
      <c r="F160" s="18"/>
      <c r="G160" s="26"/>
      <c r="H160" s="7" t="s">
        <v>23</v>
      </c>
      <c r="I160" s="7">
        <v>120.0</v>
      </c>
      <c r="J160" s="26"/>
      <c r="K160" s="7">
        <v>120.0</v>
      </c>
      <c r="L160" s="7">
        <v>150.0</v>
      </c>
      <c r="M160" s="7">
        <v>180.0</v>
      </c>
      <c r="N160" s="7">
        <v>60.0</v>
      </c>
      <c r="O160" s="7">
        <v>90.0</v>
      </c>
      <c r="P160" s="7">
        <v>180.0</v>
      </c>
      <c r="Q160" s="26"/>
      <c r="R160" s="28">
        <v>180.0</v>
      </c>
      <c r="S160" s="27">
        <f>180</f>
        <v>180</v>
      </c>
      <c r="T160" s="27"/>
      <c r="U160" s="27"/>
      <c r="V160" s="27"/>
      <c r="W160" s="27"/>
      <c r="X160" s="27"/>
      <c r="Y160" s="27"/>
      <c r="Z160" s="27"/>
      <c r="AA160" s="27"/>
      <c r="AB160" s="28">
        <v>120.0</v>
      </c>
      <c r="AC160" s="28">
        <v>180.0</v>
      </c>
      <c r="AD160" s="28">
        <v>180.0</v>
      </c>
      <c r="AE160" s="27"/>
      <c r="AF160" s="28">
        <v>180.0</v>
      </c>
      <c r="AG160" s="28">
        <v>180.0</v>
      </c>
      <c r="AH160" s="28">
        <v>216.0</v>
      </c>
      <c r="AI160" s="28">
        <v>180.0</v>
      </c>
      <c r="AJ160" s="28">
        <v>180.0</v>
      </c>
      <c r="AK160" s="28">
        <v>180.0</v>
      </c>
      <c r="AL160" s="27"/>
      <c r="AM160" s="27"/>
      <c r="AN160" s="32"/>
    </row>
    <row r="161">
      <c r="A161" s="33"/>
      <c r="B161" s="33"/>
      <c r="C161" s="33"/>
      <c r="D161" s="33"/>
      <c r="E161" s="25"/>
      <c r="F161" s="25"/>
      <c r="G161" s="7"/>
      <c r="H161" s="7"/>
      <c r="I161" s="37"/>
      <c r="J161" s="37"/>
      <c r="K161" s="37"/>
      <c r="L161" s="37"/>
      <c r="M161" s="37"/>
      <c r="N161" s="37"/>
      <c r="O161" s="37"/>
      <c r="P161" s="37"/>
      <c r="Q161" s="37"/>
      <c r="R161" s="6"/>
      <c r="S161" s="6"/>
      <c r="T161" s="10"/>
      <c r="U161" s="10"/>
      <c r="V161" s="10"/>
      <c r="W161" s="10"/>
      <c r="X161" s="10"/>
      <c r="Y161" s="10"/>
      <c r="Z161" s="10"/>
      <c r="AA161" s="10"/>
      <c r="AB161" s="6"/>
      <c r="AC161" s="6"/>
      <c r="AD161" s="6"/>
      <c r="AE161" s="6"/>
      <c r="AF161" s="6"/>
      <c r="AG161" s="6"/>
      <c r="AH161" s="6"/>
      <c r="AI161" s="42"/>
      <c r="AJ161" s="27"/>
      <c r="AK161" s="27"/>
      <c r="AL161" s="27"/>
      <c r="AM161" s="27"/>
      <c r="AN161" s="39"/>
      <c r="AO161" s="53"/>
      <c r="AP161" s="53"/>
    </row>
    <row r="162">
      <c r="A162" s="24" t="s">
        <v>79</v>
      </c>
      <c r="B162" s="17"/>
      <c r="C162" s="17"/>
      <c r="D162" s="18"/>
      <c r="E162" s="25">
        <v>12.0</v>
      </c>
      <c r="F162" s="25" t="s">
        <v>21</v>
      </c>
      <c r="G162" s="7">
        <v>11003.0</v>
      </c>
      <c r="H162" s="7" t="s">
        <v>22</v>
      </c>
      <c r="I162" s="26"/>
      <c r="J162" s="26"/>
      <c r="K162" s="26"/>
      <c r="L162" s="26"/>
      <c r="M162" s="26"/>
      <c r="N162" s="26"/>
      <c r="O162" s="26"/>
      <c r="P162" s="26"/>
      <c r="Q162" s="26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8">
        <v>10800.0</v>
      </c>
      <c r="AJ162" s="27"/>
      <c r="AK162" s="27"/>
      <c r="AL162" s="27"/>
      <c r="AM162" s="27"/>
      <c r="AN162" s="29">
        <f>G162+SUM(I162:AL162)-SUM(I163:AM163)</f>
        <v>16259</v>
      </c>
      <c r="AO162" s="53">
        <f>ROUNDDOWN((AN162/E162)/$H$4,1)</f>
        <v>45.1</v>
      </c>
      <c r="AP162" s="53">
        <f>M5+AO162</f>
        <v>893.1</v>
      </c>
    </row>
    <row r="163">
      <c r="A163" s="31"/>
      <c r="B163" s="17"/>
      <c r="C163" s="17"/>
      <c r="D163" s="17"/>
      <c r="E163" s="17"/>
      <c r="F163" s="18"/>
      <c r="G163" s="26"/>
      <c r="H163" s="7" t="s">
        <v>23</v>
      </c>
      <c r="I163" s="7">
        <v>180.0</v>
      </c>
      <c r="J163" s="26"/>
      <c r="K163" s="7">
        <v>360.0</v>
      </c>
      <c r="L163" s="7">
        <v>180.0</v>
      </c>
      <c r="M163" s="26">
        <f>180+180</f>
        <v>360</v>
      </c>
      <c r="N163" s="7">
        <v>144.0</v>
      </c>
      <c r="O163" s="7">
        <v>180.0</v>
      </c>
      <c r="P163" s="26">
        <f>180+180</f>
        <v>360</v>
      </c>
      <c r="Q163" s="26"/>
      <c r="R163" s="27">
        <f>180+180</f>
        <v>360</v>
      </c>
      <c r="S163" s="28">
        <v>180.0</v>
      </c>
      <c r="T163" s="27"/>
      <c r="U163" s="27"/>
      <c r="V163" s="27"/>
      <c r="W163" s="27"/>
      <c r="X163" s="27"/>
      <c r="Y163" s="27"/>
      <c r="Z163" s="28">
        <v>60.0</v>
      </c>
      <c r="AA163" s="27"/>
      <c r="AB163" s="28">
        <v>180.0</v>
      </c>
      <c r="AC163" s="28">
        <f t="shared" ref="AC163:AD163" si="15">180+180</f>
        <v>360</v>
      </c>
      <c r="AD163" s="27">
        <f t="shared" si="15"/>
        <v>360</v>
      </c>
      <c r="AE163" s="27"/>
      <c r="AF163" s="27">
        <f t="shared" ref="AF163:AG163" si="16">180+180</f>
        <v>360</v>
      </c>
      <c r="AG163" s="27">
        <f t="shared" si="16"/>
        <v>360</v>
      </c>
      <c r="AH163" s="28">
        <v>360.0</v>
      </c>
      <c r="AI163" s="28">
        <v>360.0</v>
      </c>
      <c r="AJ163" s="28">
        <v>360.0</v>
      </c>
      <c r="AK163" s="28">
        <v>480.0</v>
      </c>
      <c r="AL163" s="27"/>
      <c r="AM163" s="27"/>
      <c r="AN163" s="32"/>
    </row>
    <row r="164">
      <c r="A164" s="33"/>
      <c r="B164" s="33"/>
      <c r="C164" s="33"/>
      <c r="D164" s="33"/>
      <c r="E164" s="25"/>
      <c r="F164" s="25"/>
      <c r="G164" s="7"/>
      <c r="H164" s="7"/>
      <c r="I164" s="37"/>
      <c r="J164" s="37"/>
      <c r="K164" s="37"/>
      <c r="L164" s="37"/>
      <c r="M164" s="37"/>
      <c r="N164" s="37"/>
      <c r="O164" s="37"/>
      <c r="P164" s="37"/>
      <c r="Q164" s="37"/>
      <c r="R164" s="6"/>
      <c r="S164" s="6"/>
      <c r="T164" s="10"/>
      <c r="U164" s="10"/>
      <c r="V164" s="10"/>
      <c r="W164" s="10"/>
      <c r="X164" s="6"/>
      <c r="Y164" s="6"/>
      <c r="Z164" s="6"/>
      <c r="AA164" s="10"/>
      <c r="AB164" s="6"/>
      <c r="AC164" s="6"/>
      <c r="AD164" s="6"/>
      <c r="AE164" s="6"/>
      <c r="AF164" s="6"/>
      <c r="AG164" s="6"/>
      <c r="AH164" s="6"/>
      <c r="AI164" s="42"/>
      <c r="AJ164" s="27"/>
      <c r="AK164" s="27"/>
      <c r="AL164" s="27"/>
      <c r="AM164" s="27"/>
      <c r="AN164" s="39"/>
      <c r="AO164" s="53"/>
      <c r="AP164" s="53"/>
    </row>
    <row r="165">
      <c r="A165" s="24" t="s">
        <v>80</v>
      </c>
      <c r="B165" s="17"/>
      <c r="C165" s="17"/>
      <c r="D165" s="18"/>
      <c r="E165" s="25">
        <v>6.0</v>
      </c>
      <c r="F165" s="25" t="s">
        <v>21</v>
      </c>
      <c r="G165" s="7">
        <v>4140.0</v>
      </c>
      <c r="H165" s="7" t="s">
        <v>22</v>
      </c>
      <c r="I165" s="26"/>
      <c r="J165" s="26"/>
      <c r="K165" s="26"/>
      <c r="L165" s="26"/>
      <c r="M165" s="26"/>
      <c r="N165" s="26"/>
      <c r="O165" s="26"/>
      <c r="P165" s="26"/>
      <c r="Q165" s="26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8">
        <v>6120.0</v>
      </c>
      <c r="AJ165" s="27"/>
      <c r="AK165" s="27"/>
      <c r="AL165" s="27"/>
      <c r="AM165" s="27"/>
      <c r="AN165" s="29">
        <f>G165+SUM(I165:AL165)-SUM(I166:AM166)</f>
        <v>7278</v>
      </c>
      <c r="AO165" s="53">
        <f>ROUNDDOWN((AN165/E165)/$H$4,1)</f>
        <v>40.4</v>
      </c>
      <c r="AP165" s="53">
        <f>$M$3+AO165</f>
        <v>889.4</v>
      </c>
    </row>
    <row r="166">
      <c r="A166" s="31"/>
      <c r="B166" s="17"/>
      <c r="C166" s="17"/>
      <c r="D166" s="17"/>
      <c r="E166" s="17"/>
      <c r="F166" s="18"/>
      <c r="G166" s="26"/>
      <c r="H166" s="7" t="s">
        <v>23</v>
      </c>
      <c r="I166" s="7">
        <v>180.0</v>
      </c>
      <c r="J166" s="26"/>
      <c r="K166" s="7">
        <v>180.0</v>
      </c>
      <c r="L166" s="7">
        <v>180.0</v>
      </c>
      <c r="M166" s="7">
        <f>90+90</f>
        <v>180</v>
      </c>
      <c r="N166" s="26"/>
      <c r="O166" s="7">
        <v>60.0</v>
      </c>
      <c r="P166" s="26">
        <f>60+90</f>
        <v>150</v>
      </c>
      <c r="Q166" s="26"/>
      <c r="R166" s="27">
        <f>90+108</f>
        <v>198</v>
      </c>
      <c r="S166" s="27">
        <f>90+90</f>
        <v>180</v>
      </c>
      <c r="T166" s="27"/>
      <c r="U166" s="27"/>
      <c r="V166" s="27"/>
      <c r="W166" s="27"/>
      <c r="X166" s="27"/>
      <c r="Y166" s="27"/>
      <c r="Z166" s="28">
        <v>18.0</v>
      </c>
      <c r="AA166" s="27"/>
      <c r="AB166" s="28">
        <f>108+90</f>
        <v>198</v>
      </c>
      <c r="AC166" s="27">
        <f>36+90</f>
        <v>126</v>
      </c>
      <c r="AD166" s="27">
        <f>78+90</f>
        <v>168</v>
      </c>
      <c r="AE166" s="27"/>
      <c r="AF166" s="27">
        <f>90+114</f>
        <v>204</v>
      </c>
      <c r="AG166" s="27">
        <f>90+90</f>
        <v>180</v>
      </c>
      <c r="AH166" s="27">
        <f>126+90</f>
        <v>216</v>
      </c>
      <c r="AI166" s="27">
        <f>114+90</f>
        <v>204</v>
      </c>
      <c r="AJ166" s="27">
        <f>90+90</f>
        <v>180</v>
      </c>
      <c r="AK166" s="28">
        <v>180.0</v>
      </c>
      <c r="AL166" s="27"/>
      <c r="AM166" s="27"/>
      <c r="AN166" s="32"/>
    </row>
    <row r="167">
      <c r="A167" s="33"/>
      <c r="B167" s="33"/>
      <c r="C167" s="33"/>
      <c r="D167" s="33"/>
      <c r="E167" s="25"/>
      <c r="F167" s="25"/>
      <c r="G167" s="7"/>
      <c r="H167" s="7"/>
      <c r="I167" s="37"/>
      <c r="J167" s="37"/>
      <c r="K167" s="37"/>
      <c r="L167" s="37"/>
      <c r="M167" s="37"/>
      <c r="N167" s="36"/>
      <c r="O167" s="37"/>
      <c r="P167" s="37"/>
      <c r="Q167" s="37"/>
      <c r="R167" s="6"/>
      <c r="S167" s="6"/>
      <c r="T167" s="10"/>
      <c r="U167" s="10"/>
      <c r="V167" s="10"/>
      <c r="W167" s="10"/>
      <c r="X167" s="6"/>
      <c r="Y167" s="6"/>
      <c r="Z167" s="6"/>
      <c r="AA167" s="10"/>
      <c r="AB167" s="6"/>
      <c r="AC167" s="6"/>
      <c r="AD167" s="6"/>
      <c r="AE167" s="6"/>
      <c r="AF167" s="6"/>
      <c r="AG167" s="6"/>
      <c r="AH167" s="6"/>
      <c r="AI167" s="42"/>
      <c r="AJ167" s="27"/>
      <c r="AK167" s="27"/>
      <c r="AL167" s="27"/>
      <c r="AM167" s="27"/>
      <c r="AN167" s="39"/>
      <c r="AO167" s="53"/>
      <c r="AP167" s="53"/>
    </row>
    <row r="168">
      <c r="A168" s="24" t="s">
        <v>81</v>
      </c>
      <c r="B168" s="17"/>
      <c r="C168" s="17"/>
      <c r="D168" s="18"/>
      <c r="E168" s="25">
        <v>6.0</v>
      </c>
      <c r="F168" s="25" t="s">
        <v>21</v>
      </c>
      <c r="G168" s="7">
        <v>5388.0</v>
      </c>
      <c r="H168" s="7" t="s">
        <v>22</v>
      </c>
      <c r="I168" s="26"/>
      <c r="J168" s="26"/>
      <c r="K168" s="26"/>
      <c r="L168" s="26"/>
      <c r="M168" s="26"/>
      <c r="N168" s="26"/>
      <c r="O168" s="26"/>
      <c r="P168" s="26"/>
      <c r="Q168" s="26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8">
        <v>5220.0</v>
      </c>
      <c r="AJ168" s="27"/>
      <c r="AK168" s="27"/>
      <c r="AL168" s="27"/>
      <c r="AM168" s="27"/>
      <c r="AN168" s="29">
        <f>G168+SUM(I168:AL168)-SUM(I169:AM169)</f>
        <v>7836</v>
      </c>
      <c r="AO168" s="53">
        <f>ROUNDDOWN((AN168/E168)/$H$4,1)</f>
        <v>43.5</v>
      </c>
      <c r="AP168" s="53">
        <f>$M$5+AO168</f>
        <v>891.5</v>
      </c>
    </row>
    <row r="169">
      <c r="A169" s="31"/>
      <c r="B169" s="17"/>
      <c r="C169" s="17"/>
      <c r="D169" s="17"/>
      <c r="E169" s="17"/>
      <c r="F169" s="18"/>
      <c r="G169" s="26"/>
      <c r="H169" s="7" t="s">
        <v>23</v>
      </c>
      <c r="I169" s="7">
        <v>90.0</v>
      </c>
      <c r="J169" s="26"/>
      <c r="K169" s="7">
        <v>180.0</v>
      </c>
      <c r="L169" s="7">
        <v>90.0</v>
      </c>
      <c r="M169" s="7">
        <f>90+90</f>
        <v>180</v>
      </c>
      <c r="N169" s="7">
        <v>72.0</v>
      </c>
      <c r="O169" s="7">
        <v>90.0</v>
      </c>
      <c r="P169" s="26">
        <f>90+90</f>
        <v>180</v>
      </c>
      <c r="Q169" s="26"/>
      <c r="R169" s="27">
        <f>90+90</f>
        <v>180</v>
      </c>
      <c r="S169" s="28">
        <v>90.0</v>
      </c>
      <c r="T169" s="27"/>
      <c r="U169" s="27"/>
      <c r="V169" s="27"/>
      <c r="W169" s="27"/>
      <c r="X169" s="27"/>
      <c r="Y169" s="27"/>
      <c r="Z169" s="28">
        <v>30.0</v>
      </c>
      <c r="AA169" s="27"/>
      <c r="AB169" s="28">
        <v>90.0</v>
      </c>
      <c r="AC169" s="27">
        <f t="shared" ref="AC169:AD169" si="17">90+90</f>
        <v>180</v>
      </c>
      <c r="AD169" s="28">
        <f t="shared" si="17"/>
        <v>180</v>
      </c>
      <c r="AE169" s="27"/>
      <c r="AF169" s="27">
        <f t="shared" ref="AF169:AG169" si="18">90+90</f>
        <v>180</v>
      </c>
      <c r="AG169" s="27">
        <f t="shared" si="18"/>
        <v>180</v>
      </c>
      <c r="AH169" s="28">
        <v>180.0</v>
      </c>
      <c r="AI169" s="28">
        <v>180.0</v>
      </c>
      <c r="AJ169" s="28">
        <v>180.0</v>
      </c>
      <c r="AK169" s="28">
        <v>240.0</v>
      </c>
      <c r="AL169" s="27"/>
      <c r="AM169" s="27"/>
      <c r="AN169" s="32"/>
    </row>
    <row r="170">
      <c r="A170" s="33"/>
      <c r="B170" s="33"/>
      <c r="C170" s="33"/>
      <c r="D170" s="33"/>
      <c r="E170" s="25"/>
      <c r="F170" s="25"/>
      <c r="G170" s="7"/>
      <c r="H170" s="7"/>
      <c r="I170" s="37"/>
      <c r="J170" s="37"/>
      <c r="K170" s="37"/>
      <c r="L170" s="37"/>
      <c r="M170" s="37"/>
      <c r="N170" s="37"/>
      <c r="O170" s="37"/>
      <c r="P170" s="37"/>
      <c r="Q170" s="37"/>
      <c r="R170" s="6"/>
      <c r="S170" s="6"/>
      <c r="T170" s="10"/>
      <c r="U170" s="10"/>
      <c r="V170" s="10"/>
      <c r="W170" s="10"/>
      <c r="X170" s="6"/>
      <c r="Y170" s="6"/>
      <c r="Z170" s="6"/>
      <c r="AA170" s="10"/>
      <c r="AB170" s="6"/>
      <c r="AC170" s="6"/>
      <c r="AD170" s="6"/>
      <c r="AE170" s="6"/>
      <c r="AF170" s="6"/>
      <c r="AG170" s="6"/>
      <c r="AH170" s="6"/>
      <c r="AI170" s="42"/>
      <c r="AJ170" s="27"/>
      <c r="AK170" s="27"/>
      <c r="AL170" s="27"/>
      <c r="AM170" s="27"/>
      <c r="AN170" s="39"/>
      <c r="AO170" s="53"/>
      <c r="AP170" s="53"/>
    </row>
    <row r="171">
      <c r="A171" s="24" t="s">
        <v>82</v>
      </c>
      <c r="B171" s="17"/>
      <c r="C171" s="17"/>
      <c r="D171" s="18"/>
      <c r="E171" s="25">
        <v>2.0</v>
      </c>
      <c r="F171" s="25" t="s">
        <v>21</v>
      </c>
      <c r="G171" s="7">
        <v>2174.0</v>
      </c>
      <c r="H171" s="7" t="s">
        <v>22</v>
      </c>
      <c r="I171" s="26"/>
      <c r="J171" s="26"/>
      <c r="K171" s="26"/>
      <c r="L171" s="26"/>
      <c r="M171" s="26"/>
      <c r="N171" s="26"/>
      <c r="O171" s="26"/>
      <c r="P171" s="26"/>
      <c r="Q171" s="26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8">
        <v>1440.0</v>
      </c>
      <c r="AJ171" s="27"/>
      <c r="AK171" s="27"/>
      <c r="AL171" s="27"/>
      <c r="AM171" s="27"/>
      <c r="AN171" s="29">
        <f>G171+SUM(I171:AL171)-SUM(I172:AM172)</f>
        <v>2590</v>
      </c>
      <c r="AO171" s="53">
        <f>ROUNDDOWN((AN171/E171)/$H$4,1)</f>
        <v>43.1</v>
      </c>
      <c r="AP171" s="53">
        <f>$M$3+AO171</f>
        <v>892.1</v>
      </c>
    </row>
    <row r="172">
      <c r="A172" s="31"/>
      <c r="B172" s="17"/>
      <c r="C172" s="17"/>
      <c r="D172" s="17"/>
      <c r="E172" s="17"/>
      <c r="F172" s="18"/>
      <c r="G172" s="26"/>
      <c r="H172" s="7" t="s">
        <v>23</v>
      </c>
      <c r="I172" s="7">
        <v>50.0</v>
      </c>
      <c r="J172" s="26"/>
      <c r="K172" s="7">
        <v>68.0</v>
      </c>
      <c r="L172" s="7">
        <v>56.0</v>
      </c>
      <c r="M172" s="7">
        <v>60.0</v>
      </c>
      <c r="N172" s="7">
        <v>20.0</v>
      </c>
      <c r="O172" s="7">
        <v>30.0</v>
      </c>
      <c r="P172" s="26">
        <f>20+30</f>
        <v>50</v>
      </c>
      <c r="Q172" s="26"/>
      <c r="R172" s="27">
        <f>30+20</f>
        <v>50</v>
      </c>
      <c r="S172" s="27">
        <f>26+46</f>
        <v>72</v>
      </c>
      <c r="T172" s="27"/>
      <c r="U172" s="27"/>
      <c r="V172" s="27"/>
      <c r="W172" s="27"/>
      <c r="X172" s="27"/>
      <c r="Y172" s="27"/>
      <c r="Z172" s="28">
        <v>10.0</v>
      </c>
      <c r="AA172" s="27"/>
      <c r="AB172" s="28">
        <f>30+30</f>
        <v>60</v>
      </c>
      <c r="AC172" s="27">
        <f>38+30</f>
        <v>68</v>
      </c>
      <c r="AD172" s="27">
        <f>20+30</f>
        <v>50</v>
      </c>
      <c r="AE172" s="27"/>
      <c r="AF172" s="27">
        <f>30+30</f>
        <v>60</v>
      </c>
      <c r="AG172" s="27">
        <f>38+30</f>
        <v>68</v>
      </c>
      <c r="AH172" s="27">
        <f>30+30</f>
        <v>60</v>
      </c>
      <c r="AI172" s="27">
        <f>36+30</f>
        <v>66</v>
      </c>
      <c r="AJ172" s="27">
        <f>30+30</f>
        <v>60</v>
      </c>
      <c r="AK172" s="28">
        <v>66.0</v>
      </c>
      <c r="AL172" s="27"/>
      <c r="AM172" s="27"/>
      <c r="AN172" s="32"/>
    </row>
    <row r="173">
      <c r="A173" s="33"/>
      <c r="B173" s="33"/>
      <c r="C173" s="33"/>
      <c r="D173" s="33"/>
      <c r="E173" s="25"/>
      <c r="F173" s="25"/>
      <c r="G173" s="43"/>
      <c r="H173" s="7"/>
      <c r="I173" s="37"/>
      <c r="J173" s="37"/>
      <c r="K173" s="37"/>
      <c r="L173" s="37"/>
      <c r="M173" s="37"/>
      <c r="N173" s="37"/>
      <c r="O173" s="37"/>
      <c r="P173" s="37"/>
      <c r="Q173" s="37"/>
      <c r="R173" s="6"/>
      <c r="S173" s="6"/>
      <c r="T173" s="10"/>
      <c r="U173" s="10"/>
      <c r="V173" s="10"/>
      <c r="W173" s="10"/>
      <c r="X173" s="6"/>
      <c r="Y173" s="6"/>
      <c r="Z173" s="6"/>
      <c r="AA173" s="10"/>
      <c r="AB173" s="6"/>
      <c r="AC173" s="6"/>
      <c r="AD173" s="6"/>
      <c r="AE173" s="6"/>
      <c r="AF173" s="6"/>
      <c r="AG173" s="6"/>
      <c r="AH173" s="6"/>
      <c r="AI173" s="6"/>
      <c r="AJ173" s="27"/>
      <c r="AK173" s="27"/>
      <c r="AL173" s="27"/>
      <c r="AM173" s="27"/>
      <c r="AN173" s="39"/>
      <c r="AO173" s="53"/>
      <c r="AP173" s="53"/>
    </row>
    <row r="174">
      <c r="A174" s="24" t="s">
        <v>83</v>
      </c>
      <c r="B174" s="17"/>
      <c r="C174" s="17"/>
      <c r="D174" s="18"/>
      <c r="E174" s="25">
        <v>12.0</v>
      </c>
      <c r="F174" s="25" t="s">
        <v>21</v>
      </c>
      <c r="G174" s="43">
        <v>9916.0</v>
      </c>
      <c r="H174" s="7" t="s">
        <v>22</v>
      </c>
      <c r="I174" s="26"/>
      <c r="J174" s="26"/>
      <c r="K174" s="26"/>
      <c r="L174" s="26"/>
      <c r="M174" s="26"/>
      <c r="N174" s="26"/>
      <c r="O174" s="26"/>
      <c r="P174" s="26"/>
      <c r="Q174" s="26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9">
        <f>G174+SUM(I174:AL174)-SUM(I175:AM175)</f>
        <v>4372</v>
      </c>
      <c r="AO174" s="53">
        <f>ROUNDDOWN((AN174/E174)/$H$4,1)</f>
        <v>12.1</v>
      </c>
      <c r="AP174" s="53">
        <f>$M$5+AO174</f>
        <v>860.1</v>
      </c>
    </row>
    <row r="175">
      <c r="A175" s="31"/>
      <c r="B175" s="17"/>
      <c r="C175" s="17"/>
      <c r="D175" s="17"/>
      <c r="E175" s="17"/>
      <c r="F175" s="18"/>
      <c r="G175" s="26"/>
      <c r="H175" s="7" t="s">
        <v>23</v>
      </c>
      <c r="I175" s="7">
        <v>180.0</v>
      </c>
      <c r="J175" s="26"/>
      <c r="K175" s="7">
        <v>360.0</v>
      </c>
      <c r="L175" s="7">
        <v>180.0</v>
      </c>
      <c r="M175" s="26">
        <f>180+180</f>
        <v>360</v>
      </c>
      <c r="N175" s="7">
        <v>144.0</v>
      </c>
      <c r="O175" s="7">
        <v>180.0</v>
      </c>
      <c r="P175" s="26">
        <f>180+180</f>
        <v>360</v>
      </c>
      <c r="Q175" s="26"/>
      <c r="R175" s="27">
        <f>180+180</f>
        <v>360</v>
      </c>
      <c r="S175" s="28">
        <v>180.0</v>
      </c>
      <c r="T175" s="27"/>
      <c r="U175" s="27"/>
      <c r="V175" s="27"/>
      <c r="W175" s="27"/>
      <c r="X175" s="27"/>
      <c r="Y175" s="27"/>
      <c r="Z175" s="28">
        <v>60.0</v>
      </c>
      <c r="AA175" s="27"/>
      <c r="AB175" s="28">
        <v>180.0</v>
      </c>
      <c r="AC175" s="28">
        <f t="shared" ref="AC175:AD175" si="19">180+180</f>
        <v>360</v>
      </c>
      <c r="AD175" s="27">
        <f t="shared" si="19"/>
        <v>360</v>
      </c>
      <c r="AE175" s="27"/>
      <c r="AF175" s="27">
        <f t="shared" ref="AF175:AG175" si="20">180+180</f>
        <v>360</v>
      </c>
      <c r="AG175" s="27">
        <f t="shared" si="20"/>
        <v>360</v>
      </c>
      <c r="AH175" s="28">
        <v>360.0</v>
      </c>
      <c r="AI175" s="28">
        <v>360.0</v>
      </c>
      <c r="AJ175" s="28">
        <v>360.0</v>
      </c>
      <c r="AK175" s="28">
        <v>480.0</v>
      </c>
      <c r="AL175" s="27"/>
      <c r="AM175" s="27"/>
      <c r="AN175" s="32"/>
    </row>
    <row r="176">
      <c r="A176" s="33"/>
      <c r="B176" s="33"/>
      <c r="C176" s="33"/>
      <c r="D176" s="33"/>
      <c r="E176" s="25"/>
      <c r="F176" s="25"/>
      <c r="G176" s="7"/>
      <c r="H176" s="7"/>
      <c r="I176" s="37"/>
      <c r="J176" s="37"/>
      <c r="K176" s="37"/>
      <c r="L176" s="37"/>
      <c r="M176" s="37"/>
      <c r="N176" s="37"/>
      <c r="O176" s="37"/>
      <c r="P176" s="37"/>
      <c r="Q176" s="37"/>
      <c r="R176" s="6"/>
      <c r="S176" s="6"/>
      <c r="T176" s="10"/>
      <c r="U176" s="10"/>
      <c r="V176" s="10"/>
      <c r="W176" s="10"/>
      <c r="X176" s="6"/>
      <c r="Y176" s="6"/>
      <c r="Z176" s="6"/>
      <c r="AA176" s="10"/>
      <c r="AB176" s="6"/>
      <c r="AC176" s="6"/>
      <c r="AD176" s="6"/>
      <c r="AE176" s="6"/>
      <c r="AF176" s="6"/>
      <c r="AG176" s="6"/>
      <c r="AH176" s="6"/>
      <c r="AI176" s="42"/>
      <c r="AJ176" s="27"/>
      <c r="AK176" s="27"/>
      <c r="AL176" s="27"/>
      <c r="AM176" s="27"/>
      <c r="AN176" s="39"/>
      <c r="AO176" s="53"/>
      <c r="AP176" s="53"/>
    </row>
    <row r="177">
      <c r="A177" s="24" t="s">
        <v>84</v>
      </c>
      <c r="B177" s="17"/>
      <c r="C177" s="17"/>
      <c r="D177" s="18"/>
      <c r="E177" s="25">
        <v>2.0</v>
      </c>
      <c r="F177" s="25" t="s">
        <v>21</v>
      </c>
      <c r="G177" s="7">
        <v>1358.0</v>
      </c>
      <c r="H177" s="7" t="s">
        <v>22</v>
      </c>
      <c r="I177" s="26"/>
      <c r="J177" s="26"/>
      <c r="K177" s="26"/>
      <c r="L177" s="26"/>
      <c r="M177" s="26"/>
      <c r="N177" s="26"/>
      <c r="O177" s="26"/>
      <c r="P177" s="26"/>
      <c r="Q177" s="26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8">
        <v>2040.0</v>
      </c>
      <c r="AJ177" s="27"/>
      <c r="AK177" s="27"/>
      <c r="AL177" s="27"/>
      <c r="AM177" s="27"/>
      <c r="AN177" s="29">
        <f>G177+SUM(I177:AL177)-SUM(I178:AM178)</f>
        <v>2096</v>
      </c>
      <c r="AO177" s="53">
        <f>ROUNDDOWN((AN177/E177)/$H$4,1)</f>
        <v>34.9</v>
      </c>
      <c r="AP177" s="53">
        <f>$M$3+AO177</f>
        <v>883.9</v>
      </c>
    </row>
    <row r="178">
      <c r="A178" s="31"/>
      <c r="B178" s="17"/>
      <c r="C178" s="17"/>
      <c r="D178" s="17"/>
      <c r="E178" s="17"/>
      <c r="F178" s="18"/>
      <c r="G178" s="26"/>
      <c r="H178" s="7" t="s">
        <v>23</v>
      </c>
      <c r="I178" s="7">
        <v>30.0</v>
      </c>
      <c r="J178" s="26"/>
      <c r="K178" s="7">
        <v>60.0</v>
      </c>
      <c r="L178" s="7">
        <v>30.0</v>
      </c>
      <c r="M178" s="26">
        <f>30+30</f>
        <v>60</v>
      </c>
      <c r="N178" s="7">
        <v>24.0</v>
      </c>
      <c r="O178" s="7">
        <v>30.0</v>
      </c>
      <c r="P178" s="26">
        <f>30+30</f>
        <v>60</v>
      </c>
      <c r="Q178" s="26"/>
      <c r="R178" s="27">
        <f>30+30</f>
        <v>60</v>
      </c>
      <c r="S178" s="28">
        <v>30.0</v>
      </c>
      <c r="T178" s="27"/>
      <c r="U178" s="27"/>
      <c r="V178" s="27"/>
      <c r="W178" s="27"/>
      <c r="X178" s="27"/>
      <c r="Y178" s="27"/>
      <c r="Z178" s="28">
        <v>10.0</v>
      </c>
      <c r="AA178" s="27"/>
      <c r="AB178" s="28">
        <v>30.0</v>
      </c>
      <c r="AC178" s="27">
        <f>108+270+30+30</f>
        <v>438</v>
      </c>
      <c r="AD178" s="27">
        <f>30+30</f>
        <v>60</v>
      </c>
      <c r="AE178" s="27"/>
      <c r="AF178" s="27">
        <f t="shared" ref="AF178:AG178" si="21">30+30</f>
        <v>60</v>
      </c>
      <c r="AG178" s="27">
        <f t="shared" si="21"/>
        <v>60</v>
      </c>
      <c r="AH178" s="28">
        <v>60.0</v>
      </c>
      <c r="AI178" s="28">
        <v>60.0</v>
      </c>
      <c r="AJ178" s="28">
        <v>60.0</v>
      </c>
      <c r="AK178" s="28">
        <v>80.0</v>
      </c>
      <c r="AL178" s="27"/>
      <c r="AM178" s="27"/>
      <c r="AN178" s="32"/>
    </row>
    <row r="179">
      <c r="A179" s="33"/>
      <c r="B179" s="33"/>
      <c r="C179" s="33"/>
      <c r="D179" s="33"/>
      <c r="E179" s="25"/>
      <c r="F179" s="25"/>
      <c r="G179" s="7"/>
      <c r="H179" s="7"/>
      <c r="I179" s="37"/>
      <c r="J179" s="37"/>
      <c r="K179" s="37"/>
      <c r="L179" s="37"/>
      <c r="M179" s="37"/>
      <c r="N179" s="37"/>
      <c r="O179" s="37"/>
      <c r="P179" s="37"/>
      <c r="Q179" s="37"/>
      <c r="R179" s="6"/>
      <c r="S179" s="6"/>
      <c r="T179" s="10"/>
      <c r="U179" s="10"/>
      <c r="V179" s="10"/>
      <c r="W179" s="10"/>
      <c r="X179" s="6"/>
      <c r="Y179" s="6"/>
      <c r="Z179" s="6"/>
      <c r="AA179" s="10"/>
      <c r="AB179" s="6"/>
      <c r="AC179" s="6"/>
      <c r="AD179" s="6"/>
      <c r="AE179" s="6"/>
      <c r="AF179" s="6"/>
      <c r="AG179" s="6"/>
      <c r="AH179" s="6"/>
      <c r="AI179" s="42"/>
      <c r="AJ179" s="27"/>
      <c r="AK179" s="27"/>
      <c r="AL179" s="27"/>
      <c r="AM179" s="27"/>
      <c r="AN179" s="39"/>
      <c r="AO179" s="53"/>
      <c r="AP179" s="53"/>
    </row>
    <row r="180">
      <c r="A180" s="24" t="s">
        <v>85</v>
      </c>
      <c r="B180" s="17"/>
      <c r="C180" s="17"/>
      <c r="D180" s="18"/>
      <c r="E180" s="25">
        <v>6.0</v>
      </c>
      <c r="F180" s="25" t="s">
        <v>21</v>
      </c>
      <c r="G180" s="7">
        <v>5048.0</v>
      </c>
      <c r="H180" s="7" t="s">
        <v>22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8">
        <v>5760.0</v>
      </c>
      <c r="AJ180" s="27"/>
      <c r="AK180" s="27"/>
      <c r="AL180" s="27"/>
      <c r="AM180" s="27"/>
      <c r="AN180" s="29">
        <f>G180+SUM(I180:AL180)-SUM(I181:AM181)</f>
        <v>7826</v>
      </c>
      <c r="AO180" s="53">
        <f>ROUNDDOWN((AN180/E180)/$H$4,1)</f>
        <v>43.4</v>
      </c>
      <c r="AP180" s="53">
        <f>$M$3+AO180</f>
        <v>892.4</v>
      </c>
    </row>
    <row r="181">
      <c r="A181" s="31"/>
      <c r="B181" s="17"/>
      <c r="C181" s="17"/>
      <c r="D181" s="17"/>
      <c r="E181" s="17"/>
      <c r="F181" s="18"/>
      <c r="G181" s="26"/>
      <c r="H181" s="7" t="s">
        <v>23</v>
      </c>
      <c r="I181" s="7">
        <v>180.0</v>
      </c>
      <c r="J181" s="26"/>
      <c r="K181" s="7">
        <v>180.0</v>
      </c>
      <c r="L181" s="7">
        <v>180.0</v>
      </c>
      <c r="M181" s="26">
        <f>60+60+60</f>
        <v>180</v>
      </c>
      <c r="N181" s="26"/>
      <c r="O181" s="7">
        <v>60.0</v>
      </c>
      <c r="P181" s="26">
        <f>60+90</f>
        <v>150</v>
      </c>
      <c r="Q181" s="26"/>
      <c r="R181" s="27">
        <f>90+108</f>
        <v>198</v>
      </c>
      <c r="S181" s="27">
        <f>90+90</f>
        <v>180</v>
      </c>
      <c r="T181" s="27"/>
      <c r="U181" s="27"/>
      <c r="V181" s="27"/>
      <c r="W181" s="27"/>
      <c r="X181" s="27"/>
      <c r="Y181" s="27"/>
      <c r="Z181" s="28">
        <v>18.0</v>
      </c>
      <c r="AA181" s="27"/>
      <c r="AB181" s="28">
        <f>108+90</f>
        <v>198</v>
      </c>
      <c r="AC181" s="27">
        <f>36+90</f>
        <v>126</v>
      </c>
      <c r="AD181" s="27">
        <f>78+90</f>
        <v>168</v>
      </c>
      <c r="AE181" s="27"/>
      <c r="AF181" s="27">
        <f>90+114</f>
        <v>204</v>
      </c>
      <c r="AG181" s="27">
        <f>90+90</f>
        <v>180</v>
      </c>
      <c r="AH181" s="27">
        <f>90+126</f>
        <v>216</v>
      </c>
      <c r="AI181" s="27">
        <f>114+90</f>
        <v>204</v>
      </c>
      <c r="AJ181" s="27">
        <f>90+90</f>
        <v>180</v>
      </c>
      <c r="AK181" s="28">
        <v>180.0</v>
      </c>
      <c r="AL181" s="27"/>
      <c r="AM181" s="27"/>
      <c r="AN181" s="32"/>
    </row>
    <row r="182">
      <c r="A182" s="33"/>
      <c r="B182" s="33"/>
      <c r="C182" s="33"/>
      <c r="D182" s="33"/>
      <c r="E182" s="25"/>
      <c r="F182" s="25"/>
      <c r="G182" s="7"/>
      <c r="H182" s="7"/>
      <c r="I182" s="37"/>
      <c r="J182" s="37"/>
      <c r="K182" s="37"/>
      <c r="L182" s="37"/>
      <c r="M182" s="37"/>
      <c r="N182" s="36"/>
      <c r="O182" s="37"/>
      <c r="P182" s="37"/>
      <c r="Q182" s="37"/>
      <c r="R182" s="6"/>
      <c r="S182" s="6"/>
      <c r="T182" s="10"/>
      <c r="U182" s="10"/>
      <c r="V182" s="10"/>
      <c r="W182" s="10"/>
      <c r="X182" s="6"/>
      <c r="Y182" s="6"/>
      <c r="Z182" s="6"/>
      <c r="AA182" s="10"/>
      <c r="AB182" s="6"/>
      <c r="AC182" s="6"/>
      <c r="AD182" s="6"/>
      <c r="AE182" s="6"/>
      <c r="AF182" s="6"/>
      <c r="AG182" s="6"/>
      <c r="AH182" s="6"/>
      <c r="AI182" s="42"/>
      <c r="AJ182" s="27"/>
      <c r="AK182" s="27"/>
      <c r="AL182" s="27"/>
      <c r="AM182" s="27"/>
      <c r="AN182" s="39"/>
      <c r="AO182" s="53"/>
      <c r="AP182" s="53"/>
    </row>
    <row r="183">
      <c r="A183" s="24" t="s">
        <v>86</v>
      </c>
      <c r="B183" s="17"/>
      <c r="C183" s="17"/>
      <c r="D183" s="18"/>
      <c r="E183" s="25">
        <v>4.0</v>
      </c>
      <c r="F183" s="25" t="s">
        <v>21</v>
      </c>
      <c r="G183" s="7">
        <v>2760.0</v>
      </c>
      <c r="H183" s="7" t="s">
        <v>22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8">
        <v>4080.0</v>
      </c>
      <c r="AJ183" s="27"/>
      <c r="AK183" s="27"/>
      <c r="AL183" s="27"/>
      <c r="AM183" s="27"/>
      <c r="AN183" s="29">
        <f>G183+SUM(I183:AL183)-SUM(I184:AM184)</f>
        <v>4850</v>
      </c>
      <c r="AO183" s="53">
        <f>ROUNDDOWN((AN183/E183)/$H$4,1)</f>
        <v>40.4</v>
      </c>
      <c r="AP183" s="53">
        <f>$M$3+AO183</f>
        <v>889.4</v>
      </c>
    </row>
    <row r="184">
      <c r="A184" s="31"/>
      <c r="B184" s="17"/>
      <c r="C184" s="17"/>
      <c r="D184" s="17"/>
      <c r="E184" s="17"/>
      <c r="F184" s="18"/>
      <c r="G184" s="26"/>
      <c r="H184" s="7" t="s">
        <v>23</v>
      </c>
      <c r="I184" s="7">
        <v>120.0</v>
      </c>
      <c r="J184" s="26"/>
      <c r="K184" s="7">
        <v>120.0</v>
      </c>
      <c r="L184" s="7">
        <v>120.0</v>
      </c>
      <c r="M184" s="26">
        <f>60+60</f>
        <v>120</v>
      </c>
      <c r="N184" s="26"/>
      <c r="O184" s="7">
        <v>40.0</v>
      </c>
      <c r="P184" s="26">
        <f>40+60</f>
        <v>100</v>
      </c>
      <c r="Q184" s="26"/>
      <c r="R184" s="28">
        <v>132.0</v>
      </c>
      <c r="S184" s="27">
        <f>60+60</f>
        <v>120</v>
      </c>
      <c r="T184" s="27"/>
      <c r="U184" s="27"/>
      <c r="V184" s="27"/>
      <c r="W184" s="27"/>
      <c r="X184" s="27"/>
      <c r="Y184" s="27"/>
      <c r="Z184" s="28">
        <v>12.0</v>
      </c>
      <c r="AA184" s="27"/>
      <c r="AB184" s="28">
        <f>72+60</f>
        <v>132</v>
      </c>
      <c r="AC184" s="27">
        <f>24+60</f>
        <v>84</v>
      </c>
      <c r="AD184" s="27">
        <f>52+60</f>
        <v>112</v>
      </c>
      <c r="AE184" s="27"/>
      <c r="AF184" s="27">
        <f>60+78</f>
        <v>138</v>
      </c>
      <c r="AG184" s="27">
        <f>60+60</f>
        <v>120</v>
      </c>
      <c r="AH184" s="27">
        <f>60+84</f>
        <v>144</v>
      </c>
      <c r="AI184" s="27">
        <f>76+60</f>
        <v>136</v>
      </c>
      <c r="AJ184" s="27">
        <f>60+60</f>
        <v>120</v>
      </c>
      <c r="AK184" s="28">
        <v>120.0</v>
      </c>
      <c r="AL184" s="27"/>
      <c r="AM184" s="27"/>
      <c r="AN184" s="32"/>
    </row>
    <row r="185">
      <c r="A185" s="74"/>
      <c r="B185" s="74"/>
      <c r="C185" s="74"/>
      <c r="D185" s="74"/>
      <c r="E185" s="74"/>
      <c r="F185" s="74"/>
      <c r="G185" s="75"/>
      <c r="H185" s="69"/>
      <c r="I185" s="37"/>
      <c r="J185" s="37"/>
      <c r="K185" s="37"/>
      <c r="L185" s="37"/>
      <c r="M185" s="37"/>
      <c r="N185" s="36"/>
      <c r="O185" s="37"/>
      <c r="P185" s="37"/>
      <c r="Q185" s="37"/>
      <c r="R185" s="6"/>
      <c r="S185" s="6"/>
      <c r="T185" s="10"/>
      <c r="U185" s="10"/>
      <c r="V185" s="10"/>
      <c r="W185" s="10"/>
      <c r="X185" s="6"/>
      <c r="Y185" s="6"/>
      <c r="Z185" s="6"/>
      <c r="AA185" s="10"/>
      <c r="AB185" s="6"/>
      <c r="AC185" s="6"/>
      <c r="AD185" s="6"/>
      <c r="AE185" s="6"/>
      <c r="AF185" s="6"/>
      <c r="AG185" s="6"/>
      <c r="AH185" s="6"/>
      <c r="AI185" s="6"/>
      <c r="AJ185" s="48"/>
      <c r="AK185" s="48"/>
      <c r="AL185" s="48"/>
      <c r="AM185" s="48"/>
      <c r="AN185" s="48"/>
      <c r="AO185" s="49"/>
      <c r="AP185" s="49"/>
    </row>
    <row r="186">
      <c r="A186" s="76" t="s">
        <v>87</v>
      </c>
      <c r="B186" s="17"/>
      <c r="C186" s="17"/>
      <c r="D186" s="17"/>
      <c r="E186" s="17"/>
      <c r="F186" s="18"/>
      <c r="G186" s="77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52"/>
      <c r="AP186" s="52"/>
    </row>
    <row r="187">
      <c r="A187" s="24" t="s">
        <v>88</v>
      </c>
      <c r="B187" s="17"/>
      <c r="C187" s="17"/>
      <c r="D187" s="18"/>
      <c r="E187" s="25">
        <v>1.39</v>
      </c>
      <c r="F187" s="25" t="s">
        <v>89</v>
      </c>
      <c r="G187" s="78">
        <v>1325.0</v>
      </c>
      <c r="H187" s="7" t="s">
        <v>22</v>
      </c>
      <c r="I187" s="26"/>
      <c r="J187" s="26"/>
      <c r="K187" s="26"/>
      <c r="L187" s="26"/>
      <c r="M187" s="26"/>
      <c r="N187" s="26"/>
      <c r="O187" s="7">
        <v>640.0</v>
      </c>
      <c r="P187" s="26"/>
      <c r="Q187" s="26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9">
        <f>G187+SUM(I187:AL187)-SUM(I188:AL188)</f>
        <v>1487</v>
      </c>
      <c r="AO187" s="53">
        <f>ROUNDDOWN((AN187/E187)/$H$4,1)</f>
        <v>35.6</v>
      </c>
    </row>
    <row r="188">
      <c r="A188" s="31"/>
      <c r="B188" s="17"/>
      <c r="C188" s="17"/>
      <c r="D188" s="17"/>
      <c r="E188" s="17"/>
      <c r="F188" s="18"/>
      <c r="G188" s="27"/>
      <c r="H188" s="7" t="s">
        <v>23</v>
      </c>
      <c r="I188" s="7">
        <v>11.0</v>
      </c>
      <c r="J188" s="26"/>
      <c r="K188" s="7">
        <v>12.0</v>
      </c>
      <c r="L188" s="7">
        <v>11.0</v>
      </c>
      <c r="M188" s="7">
        <f>38+1</f>
        <v>39</v>
      </c>
      <c r="N188" s="7">
        <v>1.0</v>
      </c>
      <c r="O188" s="7">
        <f>38+3+1</f>
        <v>42</v>
      </c>
      <c r="P188" s="26">
        <f>3+5+1+1</f>
        <v>10</v>
      </c>
      <c r="Q188" s="26"/>
      <c r="R188" s="27">
        <f>5+6+1+1</f>
        <v>13</v>
      </c>
      <c r="S188" s="27">
        <f>5+4+38+1</f>
        <v>48</v>
      </c>
      <c r="T188" s="27"/>
      <c r="U188" s="27"/>
      <c r="V188" s="28">
        <v>38.0</v>
      </c>
      <c r="W188" s="27"/>
      <c r="X188" s="27"/>
      <c r="Y188" s="27"/>
      <c r="Z188" s="28">
        <v>1.0</v>
      </c>
      <c r="AA188" s="27"/>
      <c r="AB188" s="28">
        <f>6+38+4+1</f>
        <v>49</v>
      </c>
      <c r="AC188" s="27">
        <f>2+5+1+38</f>
        <v>46</v>
      </c>
      <c r="AD188" s="28">
        <f>4+4+1</f>
        <v>9</v>
      </c>
      <c r="AE188" s="27"/>
      <c r="AF188" s="27">
        <f>4+6+1</f>
        <v>11</v>
      </c>
      <c r="AG188" s="27">
        <f>4+4+1+1</f>
        <v>10</v>
      </c>
      <c r="AH188" s="28">
        <f>1+4+7+2+38</f>
        <v>52</v>
      </c>
      <c r="AI188" s="27">
        <f>6+4+2+5</f>
        <v>17</v>
      </c>
      <c r="AJ188" s="27">
        <f>4+4+2+38</f>
        <v>48</v>
      </c>
      <c r="AK188" s="28">
        <v>10.0</v>
      </c>
      <c r="AL188" s="27"/>
      <c r="AM188" s="27"/>
      <c r="AN188" s="32"/>
    </row>
    <row r="189">
      <c r="A189" s="33"/>
      <c r="B189" s="33"/>
      <c r="C189" s="33"/>
      <c r="D189" s="33"/>
      <c r="E189" s="25"/>
      <c r="F189" s="25"/>
      <c r="G189" s="78"/>
      <c r="H189" s="7"/>
      <c r="I189" s="37"/>
      <c r="J189" s="37"/>
      <c r="K189" s="37"/>
      <c r="L189" s="41"/>
      <c r="M189" s="37"/>
      <c r="N189" s="37"/>
      <c r="O189" s="37"/>
      <c r="P189" s="37"/>
      <c r="Q189" s="37"/>
      <c r="R189" s="6"/>
      <c r="S189" s="6"/>
      <c r="T189" s="10"/>
      <c r="U189" s="10"/>
      <c r="V189" s="6"/>
      <c r="W189" s="10"/>
      <c r="X189" s="6"/>
      <c r="Y189" s="6"/>
      <c r="Z189" s="6"/>
      <c r="AA189" s="10"/>
      <c r="AB189" s="6"/>
      <c r="AC189" s="6"/>
      <c r="AD189" s="6"/>
      <c r="AE189" s="6"/>
      <c r="AF189" s="6"/>
      <c r="AG189" s="6"/>
      <c r="AH189" s="6"/>
      <c r="AI189" s="6"/>
      <c r="AJ189" s="27"/>
      <c r="AK189" s="27"/>
      <c r="AL189" s="27"/>
      <c r="AM189" s="27"/>
      <c r="AN189" s="39"/>
      <c r="AO189" s="53"/>
      <c r="AP189" s="53"/>
    </row>
    <row r="190">
      <c r="A190" s="24" t="s">
        <v>90</v>
      </c>
      <c r="B190" s="17"/>
      <c r="C190" s="17"/>
      <c r="D190" s="18"/>
      <c r="E190" s="25">
        <v>0.4</v>
      </c>
      <c r="F190" s="25" t="s">
        <v>21</v>
      </c>
      <c r="G190" s="78">
        <v>24.0</v>
      </c>
      <c r="H190" s="7" t="s">
        <v>22</v>
      </c>
      <c r="I190" s="26"/>
      <c r="J190" s="26"/>
      <c r="K190" s="26"/>
      <c r="L190" s="7">
        <v>530.0</v>
      </c>
      <c r="M190" s="26"/>
      <c r="N190" s="26"/>
      <c r="O190" s="26"/>
      <c r="P190" s="26"/>
      <c r="Q190" s="26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9">
        <f>G190+SUM(I190:AL190)-SUM(I191:AL191)</f>
        <v>436</v>
      </c>
      <c r="AO190" s="53">
        <f>ROUNDDOWN((AN190/E190)/$H$4,1)</f>
        <v>36.3</v>
      </c>
      <c r="AP190" s="53">
        <f>M5+AO190</f>
        <v>884.3</v>
      </c>
    </row>
    <row r="191">
      <c r="A191" s="31"/>
      <c r="B191" s="17"/>
      <c r="C191" s="17"/>
      <c r="D191" s="17"/>
      <c r="E191" s="17"/>
      <c r="F191" s="18"/>
      <c r="G191" s="27"/>
      <c r="H191" s="7" t="s">
        <v>23</v>
      </c>
      <c r="I191" s="7">
        <v>4.0</v>
      </c>
      <c r="J191" s="26"/>
      <c r="K191" s="7">
        <v>7.0</v>
      </c>
      <c r="L191" s="7">
        <v>4.0</v>
      </c>
      <c r="M191" s="7">
        <f>3+1</f>
        <v>4</v>
      </c>
      <c r="N191" s="7">
        <v>4.0</v>
      </c>
      <c r="O191" s="7">
        <v>9.0</v>
      </c>
      <c r="P191" s="26">
        <f>3+3</f>
        <v>6</v>
      </c>
      <c r="Q191" s="26"/>
      <c r="R191" s="27">
        <f>3+3</f>
        <v>6</v>
      </c>
      <c r="S191" s="28">
        <v>3.0</v>
      </c>
      <c r="T191" s="27"/>
      <c r="U191" s="27"/>
      <c r="V191" s="27"/>
      <c r="W191" s="27"/>
      <c r="X191" s="27"/>
      <c r="Y191" s="27"/>
      <c r="Z191" s="28">
        <v>2.0</v>
      </c>
      <c r="AA191" s="27"/>
      <c r="AB191" s="28">
        <v>4.0</v>
      </c>
      <c r="AC191" s="28">
        <v>9.0</v>
      </c>
      <c r="AD191" s="28">
        <f>5+4</f>
        <v>9</v>
      </c>
      <c r="AE191" s="27"/>
      <c r="AF191" s="28">
        <v>4.0</v>
      </c>
      <c r="AG191" s="27">
        <f>4+4</f>
        <v>8</v>
      </c>
      <c r="AH191" s="28">
        <v>8.0</v>
      </c>
      <c r="AI191" s="28">
        <v>8.0</v>
      </c>
      <c r="AJ191" s="28">
        <v>8.0</v>
      </c>
      <c r="AK191" s="28">
        <v>11.0</v>
      </c>
      <c r="AL191" s="27"/>
      <c r="AM191" s="27"/>
      <c r="AN191" s="32"/>
    </row>
    <row r="192">
      <c r="A192" s="33"/>
      <c r="B192" s="33"/>
      <c r="C192" s="33"/>
      <c r="D192" s="33"/>
      <c r="E192" s="25"/>
      <c r="F192" s="25"/>
      <c r="G192" s="78"/>
      <c r="H192" s="7"/>
      <c r="I192" s="37"/>
      <c r="J192" s="37"/>
      <c r="K192" s="37"/>
      <c r="L192" s="37"/>
      <c r="M192" s="37"/>
      <c r="N192" s="37"/>
      <c r="O192" s="41"/>
      <c r="P192" s="37"/>
      <c r="Q192" s="37"/>
      <c r="R192" s="6"/>
      <c r="S192" s="6"/>
      <c r="T192" s="10"/>
      <c r="U192" s="10"/>
      <c r="V192" s="10"/>
      <c r="W192" s="10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27"/>
      <c r="AK192" s="27"/>
      <c r="AL192" s="27"/>
      <c r="AM192" s="27"/>
      <c r="AN192" s="39"/>
      <c r="AO192" s="53"/>
      <c r="AP192" s="53"/>
    </row>
    <row r="193">
      <c r="A193" s="24" t="s">
        <v>91</v>
      </c>
      <c r="B193" s="17"/>
      <c r="C193" s="17"/>
      <c r="D193" s="18"/>
      <c r="E193" s="25">
        <v>0.24</v>
      </c>
      <c r="F193" s="25" t="s">
        <v>92</v>
      </c>
      <c r="G193" s="78">
        <v>118.0</v>
      </c>
      <c r="H193" s="7" t="s">
        <v>22</v>
      </c>
      <c r="I193" s="26"/>
      <c r="J193" s="26"/>
      <c r="K193" s="26"/>
      <c r="L193" s="26"/>
      <c r="M193" s="26"/>
      <c r="N193" s="26"/>
      <c r="O193" s="7">
        <v>123.0</v>
      </c>
      <c r="P193" s="26"/>
      <c r="Q193" s="26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9">
        <f>G193+SUM(I193:AL193)-SUM(I194:AL194)</f>
        <v>156</v>
      </c>
      <c r="AO193" s="53">
        <f>ROUNDDOWN((AN193/E193)/$H$4,1)</f>
        <v>21.6</v>
      </c>
      <c r="AP193" s="53">
        <f>M3+AO193</f>
        <v>870.6</v>
      </c>
    </row>
    <row r="194">
      <c r="A194" s="31"/>
      <c r="B194" s="17"/>
      <c r="C194" s="17"/>
      <c r="D194" s="17"/>
      <c r="E194" s="17"/>
      <c r="F194" s="18"/>
      <c r="G194" s="27"/>
      <c r="H194" s="7" t="s">
        <v>23</v>
      </c>
      <c r="I194" s="7">
        <v>4.0</v>
      </c>
      <c r="J194" s="26"/>
      <c r="K194" s="7">
        <v>5.0</v>
      </c>
      <c r="L194" s="7">
        <v>6.0</v>
      </c>
      <c r="M194" s="7">
        <v>5.0</v>
      </c>
      <c r="N194" s="26"/>
      <c r="O194" s="7">
        <v>3.0</v>
      </c>
      <c r="P194" s="26">
        <f>2+3</f>
        <v>5</v>
      </c>
      <c r="Q194" s="26"/>
      <c r="R194" s="27">
        <f>3+2</f>
        <v>5</v>
      </c>
      <c r="S194" s="28">
        <v>3.0</v>
      </c>
      <c r="T194" s="27"/>
      <c r="U194" s="27"/>
      <c r="V194" s="27"/>
      <c r="W194" s="27"/>
      <c r="X194" s="27"/>
      <c r="Y194" s="27"/>
      <c r="Z194" s="27"/>
      <c r="AA194" s="27"/>
      <c r="AB194" s="28">
        <f>2+3</f>
        <v>5</v>
      </c>
      <c r="AC194" s="27">
        <f t="shared" ref="AC194:AD194" si="22">3+3</f>
        <v>6</v>
      </c>
      <c r="AD194" s="27">
        <f t="shared" si="22"/>
        <v>6</v>
      </c>
      <c r="AE194" s="27"/>
      <c r="AF194" s="27">
        <f>3+3</f>
        <v>6</v>
      </c>
      <c r="AG194" s="27">
        <f>4+3</f>
        <v>7</v>
      </c>
      <c r="AH194" s="27">
        <f>3+3</f>
        <v>6</v>
      </c>
      <c r="AI194" s="28">
        <v>3.0</v>
      </c>
      <c r="AJ194" s="27">
        <f>3+4</f>
        <v>7</v>
      </c>
      <c r="AK194" s="28">
        <v>3.0</v>
      </c>
      <c r="AL194" s="27"/>
      <c r="AM194" s="27"/>
      <c r="AN194" s="32"/>
    </row>
    <row r="195">
      <c r="A195" s="33"/>
      <c r="B195" s="33"/>
      <c r="C195" s="33"/>
      <c r="D195" s="33"/>
      <c r="E195" s="57"/>
      <c r="F195" s="57"/>
      <c r="G195" s="78"/>
      <c r="H195" s="7"/>
      <c r="I195" s="37"/>
      <c r="J195" s="37"/>
      <c r="K195" s="37"/>
      <c r="L195" s="37"/>
      <c r="M195" s="37"/>
      <c r="N195" s="36"/>
      <c r="O195" s="37"/>
      <c r="P195" s="37"/>
      <c r="Q195" s="37"/>
      <c r="R195" s="6"/>
      <c r="S195" s="6"/>
      <c r="T195" s="10"/>
      <c r="U195" s="10"/>
      <c r="V195" s="10"/>
      <c r="W195" s="10"/>
      <c r="X195" s="10"/>
      <c r="Y195" s="10"/>
      <c r="Z195" s="10"/>
      <c r="AA195" s="38"/>
      <c r="AB195" s="42"/>
      <c r="AC195" s="6"/>
      <c r="AD195" s="6"/>
      <c r="AE195" s="6"/>
      <c r="AF195" s="6"/>
      <c r="AG195" s="6"/>
      <c r="AH195" s="6"/>
      <c r="AI195" s="6"/>
      <c r="AJ195" s="27"/>
      <c r="AK195" s="27"/>
      <c r="AL195" s="27"/>
      <c r="AM195" s="27"/>
      <c r="AN195" s="39"/>
      <c r="AO195" s="53"/>
      <c r="AP195" s="53"/>
    </row>
    <row r="196">
      <c r="A196" s="24" t="s">
        <v>93</v>
      </c>
      <c r="B196" s="17"/>
      <c r="C196" s="17"/>
      <c r="D196" s="18"/>
      <c r="E196" s="57"/>
      <c r="F196" s="57"/>
      <c r="G196" s="78">
        <v>150.0</v>
      </c>
      <c r="H196" s="7" t="s">
        <v>22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7"/>
      <c r="S196" s="27"/>
      <c r="T196" s="27"/>
      <c r="U196" s="27"/>
      <c r="V196" s="27"/>
      <c r="W196" s="27"/>
      <c r="X196" s="27"/>
      <c r="Y196" s="27"/>
      <c r="Z196" s="27"/>
      <c r="AA196" s="28">
        <v>50.0</v>
      </c>
      <c r="AB196" s="28">
        <v>800.0</v>
      </c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9">
        <f>G196+SUM(I196:AL196)-SUM(I197:AL197)</f>
        <v>500</v>
      </c>
      <c r="AO196" s="53"/>
      <c r="AP196" s="53"/>
    </row>
    <row r="197">
      <c r="A197" s="31"/>
      <c r="B197" s="17"/>
      <c r="C197" s="17"/>
      <c r="D197" s="17"/>
      <c r="E197" s="17"/>
      <c r="F197" s="18"/>
      <c r="G197" s="27"/>
      <c r="H197" s="7" t="s">
        <v>23</v>
      </c>
      <c r="I197" s="26"/>
      <c r="J197" s="26"/>
      <c r="K197" s="26"/>
      <c r="L197" s="26"/>
      <c r="M197" s="7">
        <v>25.0</v>
      </c>
      <c r="N197" s="26"/>
      <c r="O197" s="26"/>
      <c r="P197" s="7">
        <v>25.0</v>
      </c>
      <c r="Q197" s="26"/>
      <c r="R197" s="28">
        <v>25.0</v>
      </c>
      <c r="S197" s="27"/>
      <c r="T197" s="27"/>
      <c r="U197" s="27"/>
      <c r="V197" s="27"/>
      <c r="W197" s="27"/>
      <c r="X197" s="27"/>
      <c r="Y197" s="27"/>
      <c r="Z197" s="28">
        <v>75.0</v>
      </c>
      <c r="AA197" s="28">
        <v>50.0</v>
      </c>
      <c r="AB197" s="27"/>
      <c r="AC197" s="27">
        <f>25*6</f>
        <v>150</v>
      </c>
      <c r="AD197" s="28">
        <v>25.0</v>
      </c>
      <c r="AE197" s="27"/>
      <c r="AF197" s="27"/>
      <c r="AG197" s="28">
        <v>50.0</v>
      </c>
      <c r="AH197" s="28">
        <v>25.0</v>
      </c>
      <c r="AI197" s="28">
        <v>50.0</v>
      </c>
      <c r="AJ197" s="27"/>
      <c r="AK197" s="27"/>
      <c r="AL197" s="27"/>
      <c r="AM197" s="27"/>
      <c r="AN197" s="32"/>
    </row>
    <row r="198">
      <c r="A198" s="33"/>
      <c r="B198" s="33"/>
      <c r="C198" s="33"/>
      <c r="D198" s="33"/>
      <c r="E198" s="57"/>
      <c r="F198" s="57"/>
      <c r="G198" s="78"/>
      <c r="H198" s="7"/>
      <c r="I198" s="36"/>
      <c r="J198" s="36"/>
      <c r="K198" s="36"/>
      <c r="L198" s="36"/>
      <c r="M198" s="37"/>
      <c r="N198" s="36"/>
      <c r="O198" s="36"/>
      <c r="P198" s="37"/>
      <c r="Q198" s="37"/>
      <c r="R198" s="6"/>
      <c r="S198" s="10"/>
      <c r="T198" s="10"/>
      <c r="U198" s="10"/>
      <c r="V198" s="10"/>
      <c r="W198" s="10"/>
      <c r="X198" s="6"/>
      <c r="Y198" s="6"/>
      <c r="Z198" s="6"/>
      <c r="AA198" s="6"/>
      <c r="AB198" s="42"/>
      <c r="AC198" s="6"/>
      <c r="AD198" s="6"/>
      <c r="AE198" s="6"/>
      <c r="AF198" s="10"/>
      <c r="AG198" s="6"/>
      <c r="AH198" s="6"/>
      <c r="AI198" s="6"/>
      <c r="AJ198" s="27"/>
      <c r="AK198" s="27"/>
      <c r="AL198" s="27"/>
      <c r="AM198" s="27"/>
      <c r="AN198" s="39"/>
      <c r="AO198" s="53"/>
      <c r="AP198" s="53"/>
    </row>
    <row r="199">
      <c r="A199" s="24" t="s">
        <v>94</v>
      </c>
      <c r="B199" s="17"/>
      <c r="C199" s="17"/>
      <c r="D199" s="18"/>
      <c r="E199" s="57"/>
      <c r="F199" s="57"/>
      <c r="G199" s="78">
        <v>175.0</v>
      </c>
      <c r="H199" s="7" t="s">
        <v>22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8">
        <v>225.0</v>
      </c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9">
        <f>G199+SUM(I199:AL199)-SUM(I200:AL200)</f>
        <v>300</v>
      </c>
      <c r="AO199" s="53"/>
      <c r="AP199" s="53"/>
    </row>
    <row r="200">
      <c r="A200" s="31"/>
      <c r="B200" s="17"/>
      <c r="C200" s="17"/>
      <c r="D200" s="17"/>
      <c r="E200" s="17"/>
      <c r="F200" s="18"/>
      <c r="G200" s="27"/>
      <c r="H200" s="7" t="s">
        <v>23</v>
      </c>
      <c r="I200" s="26"/>
      <c r="J200" s="26"/>
      <c r="K200" s="26"/>
      <c r="L200" s="26"/>
      <c r="M200" s="26"/>
      <c r="N200" s="7">
        <v>25.0</v>
      </c>
      <c r="O200" s="26"/>
      <c r="P200" s="26"/>
      <c r="Q200" s="26"/>
      <c r="R200" s="27"/>
      <c r="S200" s="27"/>
      <c r="T200" s="27"/>
      <c r="U200" s="27"/>
      <c r="V200" s="27"/>
      <c r="W200" s="27"/>
      <c r="X200" s="27"/>
      <c r="Y200" s="27"/>
      <c r="Z200" s="28">
        <v>25.0</v>
      </c>
      <c r="AA200" s="27"/>
      <c r="AB200" s="27"/>
      <c r="AC200" s="28">
        <v>25.0</v>
      </c>
      <c r="AD200" s="27"/>
      <c r="AE200" s="27"/>
      <c r="AF200" s="27"/>
      <c r="AG200" s="28">
        <v>25.0</v>
      </c>
      <c r="AH200" s="27"/>
      <c r="AI200" s="27"/>
      <c r="AJ200" s="27"/>
      <c r="AK200" s="27"/>
      <c r="AL200" s="27"/>
      <c r="AM200" s="27"/>
      <c r="AN200" s="32"/>
    </row>
    <row r="201">
      <c r="A201" s="33"/>
      <c r="B201" s="33"/>
      <c r="C201" s="33"/>
      <c r="D201" s="33"/>
      <c r="E201" s="57"/>
      <c r="F201" s="57"/>
      <c r="G201" s="78"/>
      <c r="H201" s="7"/>
      <c r="I201" s="36"/>
      <c r="J201" s="36"/>
      <c r="K201" s="36"/>
      <c r="L201" s="36"/>
      <c r="M201" s="36"/>
      <c r="N201" s="37"/>
      <c r="O201" s="36"/>
      <c r="P201" s="36"/>
      <c r="Q201" s="36"/>
      <c r="R201" s="10"/>
      <c r="S201" s="10"/>
      <c r="T201" s="10"/>
      <c r="U201" s="10"/>
      <c r="V201" s="10"/>
      <c r="W201" s="10"/>
      <c r="X201" s="6"/>
      <c r="Y201" s="6"/>
      <c r="Z201" s="6"/>
      <c r="AA201" s="10"/>
      <c r="AB201" s="42"/>
      <c r="AC201" s="6"/>
      <c r="AD201" s="10"/>
      <c r="AE201" s="10"/>
      <c r="AF201" s="10"/>
      <c r="AG201" s="6"/>
      <c r="AH201" s="10"/>
      <c r="AI201" s="10"/>
      <c r="AJ201" s="27"/>
      <c r="AK201" s="27"/>
      <c r="AL201" s="27"/>
      <c r="AM201" s="27"/>
      <c r="AN201" s="39"/>
      <c r="AO201" s="53"/>
      <c r="AP201" s="53"/>
    </row>
    <row r="202">
      <c r="A202" s="24" t="s">
        <v>95</v>
      </c>
      <c r="B202" s="17"/>
      <c r="C202" s="17"/>
      <c r="D202" s="18"/>
      <c r="E202" s="57"/>
      <c r="F202" s="57"/>
      <c r="G202" s="78">
        <v>200.0</v>
      </c>
      <c r="H202" s="7" t="s">
        <v>22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8">
        <v>240.0</v>
      </c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9">
        <f>G202+SUM(I202:AL202)-SUM(I203:AL203)</f>
        <v>340</v>
      </c>
      <c r="AO202" s="53"/>
      <c r="AP202" s="53"/>
    </row>
    <row r="203">
      <c r="A203" s="31"/>
      <c r="B203" s="17"/>
      <c r="C203" s="17"/>
      <c r="D203" s="17"/>
      <c r="E203" s="17"/>
      <c r="F203" s="18"/>
      <c r="G203" s="27"/>
      <c r="H203" s="7" t="s">
        <v>23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8">
        <v>20.0</v>
      </c>
      <c r="AD203" s="27"/>
      <c r="AE203" s="27"/>
      <c r="AF203" s="27"/>
      <c r="AG203" s="28">
        <v>40.0</v>
      </c>
      <c r="AH203" s="27">
        <f>40</f>
        <v>40</v>
      </c>
      <c r="AI203" s="27"/>
      <c r="AJ203" s="27"/>
      <c r="AK203" s="27"/>
      <c r="AL203" s="27"/>
      <c r="AM203" s="27"/>
      <c r="AN203" s="32"/>
    </row>
    <row r="204">
      <c r="A204" s="33"/>
      <c r="B204" s="33"/>
      <c r="C204" s="33"/>
      <c r="D204" s="33"/>
      <c r="E204" s="25"/>
      <c r="F204" s="25"/>
      <c r="G204" s="27"/>
      <c r="H204" s="7"/>
      <c r="I204" s="36"/>
      <c r="J204" s="36"/>
      <c r="K204" s="36"/>
      <c r="L204" s="36"/>
      <c r="M204" s="36"/>
      <c r="N204" s="36"/>
      <c r="O204" s="36"/>
      <c r="P204" s="36"/>
      <c r="Q204" s="36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6"/>
      <c r="AC204" s="6"/>
      <c r="AD204" s="10"/>
      <c r="AE204" s="10"/>
      <c r="AF204" s="10"/>
      <c r="AG204" s="6"/>
      <c r="AH204" s="6"/>
      <c r="AI204" s="10"/>
      <c r="AJ204" s="27"/>
      <c r="AK204" s="27"/>
      <c r="AL204" s="27"/>
      <c r="AM204" s="27"/>
      <c r="AN204" s="39"/>
      <c r="AO204" s="53"/>
      <c r="AP204" s="53"/>
    </row>
    <row r="205">
      <c r="A205" s="24" t="s">
        <v>96</v>
      </c>
      <c r="B205" s="17"/>
      <c r="C205" s="17"/>
      <c r="D205" s="18"/>
      <c r="E205" s="25">
        <v>0.053</v>
      </c>
      <c r="F205" s="25" t="s">
        <v>92</v>
      </c>
      <c r="G205" s="27"/>
      <c r="H205" s="7" t="s">
        <v>22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9">
        <f>G205+SUM(I205:AL205)-SUM(I206:AL206)</f>
        <v>0</v>
      </c>
      <c r="AO205" s="53">
        <f>ROUNDDOWN((AN205/E205)/$H$4,1)</f>
        <v>0</v>
      </c>
      <c r="AP205" s="53"/>
    </row>
    <row r="206">
      <c r="A206" s="31"/>
      <c r="B206" s="17"/>
      <c r="C206" s="17"/>
      <c r="D206" s="17"/>
      <c r="E206" s="17"/>
      <c r="F206" s="18"/>
      <c r="G206" s="27"/>
      <c r="H206" s="7" t="s">
        <v>23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32"/>
    </row>
    <row r="207">
      <c r="A207" s="33"/>
      <c r="B207" s="33"/>
      <c r="C207" s="33"/>
      <c r="D207" s="33"/>
      <c r="E207" s="25"/>
      <c r="F207" s="25"/>
      <c r="G207" s="27"/>
      <c r="H207" s="7"/>
      <c r="I207" s="36"/>
      <c r="J207" s="36"/>
      <c r="K207" s="36"/>
      <c r="L207" s="36"/>
      <c r="M207" s="36"/>
      <c r="N207" s="36"/>
      <c r="O207" s="36"/>
      <c r="P207" s="36"/>
      <c r="Q207" s="36"/>
      <c r="R207" s="10"/>
      <c r="S207" s="10"/>
      <c r="T207" s="10"/>
      <c r="U207" s="10"/>
      <c r="V207" s="10"/>
      <c r="W207" s="38"/>
      <c r="X207" s="10"/>
      <c r="Y207" s="10"/>
      <c r="Z207" s="38"/>
      <c r="AA207" s="10"/>
      <c r="AB207" s="10"/>
      <c r="AC207" s="10"/>
      <c r="AD207" s="10"/>
      <c r="AE207" s="10"/>
      <c r="AF207" s="10"/>
      <c r="AG207" s="10"/>
      <c r="AH207" s="10"/>
      <c r="AI207" s="10"/>
      <c r="AJ207" s="27"/>
      <c r="AK207" s="27"/>
      <c r="AL207" s="27"/>
      <c r="AM207" s="27"/>
      <c r="AN207" s="39"/>
      <c r="AO207" s="53"/>
      <c r="AP207" s="53"/>
    </row>
    <row r="208">
      <c r="A208" s="24" t="s">
        <v>97</v>
      </c>
      <c r="B208" s="17"/>
      <c r="C208" s="17"/>
      <c r="D208" s="18"/>
      <c r="E208" s="25">
        <v>0.053</v>
      </c>
      <c r="F208" s="25" t="s">
        <v>92</v>
      </c>
      <c r="G208" s="27"/>
      <c r="H208" s="7" t="s">
        <v>22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7"/>
      <c r="S208" s="27"/>
      <c r="T208" s="27"/>
      <c r="U208" s="27"/>
      <c r="V208" s="27"/>
      <c r="W208" s="28">
        <v>51.0</v>
      </c>
      <c r="X208" s="27"/>
      <c r="Y208" s="27"/>
      <c r="Z208" s="28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9">
        <f>G208+SUM(I208:AL208)-SUM(I209:AL209)</f>
        <v>51</v>
      </c>
      <c r="AO208" s="53">
        <f>ROUNDDOWN((AN208/E208)/$H$4,1)</f>
        <v>32</v>
      </c>
      <c r="AP208" s="53">
        <f>$M$4+AO208</f>
        <v>884</v>
      </c>
    </row>
    <row r="209">
      <c r="A209" s="31"/>
      <c r="B209" s="17"/>
      <c r="C209" s="17"/>
      <c r="D209" s="17"/>
      <c r="E209" s="17"/>
      <c r="F209" s="18"/>
      <c r="G209" s="27"/>
      <c r="H209" s="7" t="s">
        <v>23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32"/>
    </row>
    <row r="210">
      <c r="A210" s="33"/>
      <c r="B210" s="33"/>
      <c r="C210" s="33"/>
      <c r="D210" s="33"/>
      <c r="E210" s="25"/>
      <c r="F210" s="25"/>
      <c r="G210" s="78"/>
      <c r="H210" s="7"/>
      <c r="I210" s="36"/>
      <c r="J210" s="36"/>
      <c r="K210" s="36"/>
      <c r="L210" s="35"/>
      <c r="M210" s="36"/>
      <c r="N210" s="36"/>
      <c r="O210" s="36"/>
      <c r="P210" s="36"/>
      <c r="Q210" s="36"/>
      <c r="R210" s="10"/>
      <c r="S210" s="10"/>
      <c r="T210" s="10"/>
      <c r="U210" s="10"/>
      <c r="V210" s="10"/>
      <c r="W210" s="6"/>
      <c r="X210" s="6"/>
      <c r="Y210" s="6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27"/>
      <c r="AK210" s="27"/>
      <c r="AL210" s="27"/>
      <c r="AM210" s="27"/>
      <c r="AN210" s="39"/>
      <c r="AO210" s="53"/>
      <c r="AP210" s="53"/>
    </row>
    <row r="211">
      <c r="A211" s="24" t="s">
        <v>98</v>
      </c>
      <c r="B211" s="17"/>
      <c r="C211" s="17"/>
      <c r="D211" s="18"/>
      <c r="E211" s="25">
        <v>0.03</v>
      </c>
      <c r="F211" s="25" t="s">
        <v>92</v>
      </c>
      <c r="G211" s="78">
        <v>20.0</v>
      </c>
      <c r="H211" s="7" t="s">
        <v>22</v>
      </c>
      <c r="I211" s="26"/>
      <c r="J211" s="26"/>
      <c r="K211" s="26"/>
      <c r="L211" s="7">
        <v>24.0</v>
      </c>
      <c r="M211" s="26"/>
      <c r="N211" s="26"/>
      <c r="O211" s="26"/>
      <c r="P211" s="26"/>
      <c r="Q211" s="26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9">
        <f>G211+SUM(I211:AL211)-SUM(I212:AL212)</f>
        <v>34</v>
      </c>
      <c r="AO211" s="53">
        <f>ROUNDDOWN((AN211/E211)/$H$4,1)</f>
        <v>37.7</v>
      </c>
      <c r="AP211" s="53">
        <f>$M$4+AO211</f>
        <v>889.7</v>
      </c>
    </row>
    <row r="212">
      <c r="A212" s="31"/>
      <c r="B212" s="17"/>
      <c r="C212" s="17"/>
      <c r="D212" s="17"/>
      <c r="E212" s="17"/>
      <c r="F212" s="18"/>
      <c r="G212" s="27"/>
      <c r="H212" s="7" t="s">
        <v>23</v>
      </c>
      <c r="I212" s="7">
        <v>4.0</v>
      </c>
      <c r="J212" s="26"/>
      <c r="K212" s="26"/>
      <c r="L212" s="26"/>
      <c r="M212" s="26"/>
      <c r="N212" s="26"/>
      <c r="O212" s="26"/>
      <c r="P212" s="26"/>
      <c r="Q212" s="26"/>
      <c r="R212" s="27"/>
      <c r="S212" s="27"/>
      <c r="T212" s="27"/>
      <c r="U212" s="27"/>
      <c r="V212" s="27"/>
      <c r="W212" s="27"/>
      <c r="X212" s="27"/>
      <c r="Y212" s="27"/>
      <c r="Z212" s="27"/>
      <c r="AA212" s="28">
        <v>6.0</v>
      </c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32"/>
    </row>
    <row r="213">
      <c r="A213" s="33"/>
      <c r="B213" s="33"/>
      <c r="C213" s="33"/>
      <c r="D213" s="33"/>
      <c r="E213" s="25"/>
      <c r="F213" s="25"/>
      <c r="G213" s="78"/>
      <c r="H213" s="7"/>
      <c r="I213" s="37"/>
      <c r="J213" s="37"/>
      <c r="K213" s="36"/>
      <c r="L213" s="37"/>
      <c r="M213" s="36"/>
      <c r="N213" s="36"/>
      <c r="O213" s="36"/>
      <c r="P213" s="36"/>
      <c r="Q213" s="36"/>
      <c r="R213" s="10"/>
      <c r="S213" s="10"/>
      <c r="T213" s="10"/>
      <c r="U213" s="10"/>
      <c r="V213" s="38"/>
      <c r="W213" s="10"/>
      <c r="X213" s="10"/>
      <c r="Y213" s="10"/>
      <c r="Z213" s="10"/>
      <c r="AA213" s="6"/>
      <c r="AB213" s="10"/>
      <c r="AC213" s="10"/>
      <c r="AD213" s="10"/>
      <c r="AE213" s="10"/>
      <c r="AF213" s="10"/>
      <c r="AG213" s="10"/>
      <c r="AH213" s="10"/>
      <c r="AI213" s="10"/>
      <c r="AJ213" s="27"/>
      <c r="AK213" s="27"/>
      <c r="AL213" s="27"/>
      <c r="AM213" s="27"/>
      <c r="AN213" s="39"/>
      <c r="AO213" s="53"/>
      <c r="AP213" s="53"/>
    </row>
    <row r="214">
      <c r="A214" s="24" t="s">
        <v>99</v>
      </c>
      <c r="B214" s="17"/>
      <c r="C214" s="17"/>
      <c r="D214" s="18"/>
      <c r="E214" s="25">
        <v>0.03</v>
      </c>
      <c r="F214" s="25" t="s">
        <v>92</v>
      </c>
      <c r="G214" s="78">
        <v>36.0</v>
      </c>
      <c r="H214" s="7" t="s">
        <v>22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7"/>
      <c r="S214" s="27"/>
      <c r="T214" s="27"/>
      <c r="U214" s="27"/>
      <c r="V214" s="28">
        <v>8.0</v>
      </c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9">
        <f>G214+SUM(I214:AL214)-SUM(I215:AL215)</f>
        <v>40</v>
      </c>
      <c r="AO214" s="53">
        <f>ROUNDDOWN((AN214/E214)/$H$4,1)</f>
        <v>44.4</v>
      </c>
      <c r="AP214" s="53">
        <f>$M$4+AO214</f>
        <v>896.4</v>
      </c>
    </row>
    <row r="215">
      <c r="A215" s="31"/>
      <c r="B215" s="17"/>
      <c r="C215" s="17"/>
      <c r="D215" s="17"/>
      <c r="E215" s="17"/>
      <c r="F215" s="18"/>
      <c r="G215" s="27"/>
      <c r="H215" s="7" t="s">
        <v>23</v>
      </c>
      <c r="I215" s="26"/>
      <c r="J215" s="26"/>
      <c r="K215" s="26"/>
      <c r="L215" s="26"/>
      <c r="M215" s="7">
        <v>1.0</v>
      </c>
      <c r="N215" s="26"/>
      <c r="O215" s="26"/>
      <c r="P215" s="26"/>
      <c r="Q215" s="26"/>
      <c r="R215" s="27"/>
      <c r="S215" s="27"/>
      <c r="T215" s="27"/>
      <c r="U215" s="28">
        <v>1.0</v>
      </c>
      <c r="V215" s="27"/>
      <c r="W215" s="27"/>
      <c r="X215" s="27"/>
      <c r="Y215" s="27"/>
      <c r="Z215" s="27"/>
      <c r="AA215" s="27"/>
      <c r="AB215" s="27"/>
      <c r="AC215" s="28">
        <v>1.0</v>
      </c>
      <c r="AD215" s="27"/>
      <c r="AE215" s="27"/>
      <c r="AF215" s="27"/>
      <c r="AG215" s="27"/>
      <c r="AH215" s="28">
        <v>1.0</v>
      </c>
      <c r="AI215" s="27"/>
      <c r="AJ215" s="27"/>
      <c r="AK215" s="27"/>
      <c r="AL215" s="27"/>
      <c r="AM215" s="27"/>
      <c r="AN215" s="32"/>
    </row>
    <row r="216">
      <c r="A216" s="33"/>
      <c r="B216" s="33"/>
      <c r="C216" s="33"/>
      <c r="D216" s="33"/>
      <c r="E216" s="25"/>
      <c r="F216" s="25"/>
      <c r="G216" s="78"/>
      <c r="H216" s="7"/>
      <c r="I216" s="36"/>
      <c r="J216" s="36"/>
      <c r="K216" s="36"/>
      <c r="L216" s="36"/>
      <c r="M216" s="37"/>
      <c r="N216" s="36"/>
      <c r="O216" s="36"/>
      <c r="P216" s="36"/>
      <c r="Q216" s="36"/>
      <c r="R216" s="10"/>
      <c r="S216" s="10"/>
      <c r="T216" s="10"/>
      <c r="U216" s="6"/>
      <c r="V216" s="6"/>
      <c r="W216" s="10"/>
      <c r="X216" s="10"/>
      <c r="Y216" s="10"/>
      <c r="Z216" s="10"/>
      <c r="AA216" s="38"/>
      <c r="AB216" s="10"/>
      <c r="AC216" s="6"/>
      <c r="AD216" s="10"/>
      <c r="AE216" s="10"/>
      <c r="AF216" s="10"/>
      <c r="AG216" s="10"/>
      <c r="AH216" s="6"/>
      <c r="AI216" s="27"/>
      <c r="AJ216" s="27"/>
      <c r="AK216" s="27"/>
      <c r="AL216" s="27"/>
      <c r="AM216" s="27"/>
      <c r="AN216" s="39"/>
      <c r="AO216" s="53"/>
      <c r="AP216" s="53"/>
    </row>
    <row r="217">
      <c r="A217" s="24" t="s">
        <v>100</v>
      </c>
      <c r="B217" s="17"/>
      <c r="C217" s="17"/>
      <c r="D217" s="18"/>
      <c r="E217" s="25">
        <v>0.014</v>
      </c>
      <c r="F217" s="25" t="s">
        <v>101</v>
      </c>
      <c r="G217" s="78">
        <v>42.0</v>
      </c>
      <c r="H217" s="7" t="s">
        <v>22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7"/>
      <c r="S217" s="27"/>
      <c r="T217" s="27"/>
      <c r="U217" s="27"/>
      <c r="V217" s="27"/>
      <c r="W217" s="27"/>
      <c r="X217" s="27"/>
      <c r="Y217" s="27"/>
      <c r="Z217" s="27"/>
      <c r="AA217" s="28">
        <v>21.0</v>
      </c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9">
        <f>G217+SUM(I217:AL217)-SUM(I218:AL218)</f>
        <v>59</v>
      </c>
      <c r="AO217" s="53">
        <f>ROUNDDOWN((AN217/E217)/$H$4,1)</f>
        <v>140.4</v>
      </c>
      <c r="AP217" s="53">
        <f>$M$4+AO217</f>
        <v>992.4</v>
      </c>
    </row>
    <row r="218">
      <c r="A218" s="31"/>
      <c r="B218" s="17"/>
      <c r="C218" s="17"/>
      <c r="D218" s="17"/>
      <c r="E218" s="17"/>
      <c r="F218" s="18"/>
      <c r="G218" s="27"/>
      <c r="H218" s="7" t="s">
        <v>23</v>
      </c>
      <c r="I218" s="26"/>
      <c r="J218" s="26"/>
      <c r="K218" s="26"/>
      <c r="L218" s="26"/>
      <c r="M218" s="7">
        <v>1.0</v>
      </c>
      <c r="N218" s="26"/>
      <c r="O218" s="26"/>
      <c r="P218" s="26"/>
      <c r="Q218" s="26"/>
      <c r="R218" s="27"/>
      <c r="S218" s="27"/>
      <c r="T218" s="27"/>
      <c r="U218" s="27"/>
      <c r="V218" s="28">
        <v>1.0</v>
      </c>
      <c r="W218" s="27"/>
      <c r="X218" s="27"/>
      <c r="Y218" s="27"/>
      <c r="Z218" s="27"/>
      <c r="AA218" s="27"/>
      <c r="AB218" s="27"/>
      <c r="AC218" s="28">
        <v>1.0</v>
      </c>
      <c r="AD218" s="27"/>
      <c r="AE218" s="27"/>
      <c r="AF218" s="27"/>
      <c r="AG218" s="27"/>
      <c r="AH218" s="28">
        <v>1.0</v>
      </c>
      <c r="AI218" s="27"/>
      <c r="AJ218" s="27"/>
      <c r="AK218" s="27"/>
      <c r="AL218" s="27"/>
      <c r="AM218" s="27"/>
      <c r="AN218" s="32"/>
    </row>
    <row r="219">
      <c r="A219" s="58"/>
      <c r="B219" s="58"/>
      <c r="C219" s="58"/>
      <c r="D219" s="58"/>
      <c r="E219" s="58"/>
      <c r="F219" s="58"/>
      <c r="G219" s="58"/>
      <c r="H219" s="48"/>
      <c r="I219" s="10"/>
      <c r="J219" s="10"/>
      <c r="K219" s="10"/>
      <c r="L219" s="10"/>
      <c r="M219" s="6"/>
      <c r="N219" s="10"/>
      <c r="O219" s="10"/>
      <c r="P219" s="10"/>
      <c r="Q219" s="10"/>
      <c r="R219" s="10"/>
      <c r="S219" s="10"/>
      <c r="T219" s="10"/>
      <c r="U219" s="10"/>
      <c r="V219" s="6"/>
      <c r="W219" s="10"/>
      <c r="X219" s="10"/>
      <c r="Y219" s="10"/>
      <c r="Z219" s="10"/>
      <c r="AA219" s="6"/>
      <c r="AB219" s="10"/>
      <c r="AC219" s="6"/>
      <c r="AD219" s="10"/>
      <c r="AE219" s="10"/>
      <c r="AF219" s="10"/>
      <c r="AG219" s="10"/>
      <c r="AH219" s="6"/>
      <c r="AI219" s="10"/>
      <c r="AJ219" s="48"/>
      <c r="AK219" s="48"/>
      <c r="AL219" s="48"/>
      <c r="AM219" s="48"/>
      <c r="AN219" s="48"/>
      <c r="AO219" s="49"/>
      <c r="AP219" s="49"/>
    </row>
    <row r="220">
      <c r="A220" s="16" t="s">
        <v>102</v>
      </c>
      <c r="B220" s="17"/>
      <c r="C220" s="17"/>
      <c r="D220" s="17"/>
      <c r="E220" s="17"/>
      <c r="F220" s="17"/>
      <c r="G220" s="18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52"/>
      <c r="AP220" s="52"/>
    </row>
    <row r="221">
      <c r="A221" s="24" t="s">
        <v>103</v>
      </c>
      <c r="B221" s="17"/>
      <c r="C221" s="17"/>
      <c r="D221" s="18"/>
      <c r="E221" s="25">
        <v>0.2</v>
      </c>
      <c r="F221" s="25" t="s">
        <v>104</v>
      </c>
      <c r="G221" s="78">
        <v>130.0</v>
      </c>
      <c r="H221" s="7" t="s">
        <v>22</v>
      </c>
      <c r="I221" s="26"/>
      <c r="J221" s="26"/>
      <c r="K221" s="26"/>
      <c r="L221" s="26"/>
      <c r="M221" s="7">
        <v>153.0</v>
      </c>
      <c r="N221" s="26"/>
      <c r="O221" s="26"/>
      <c r="P221" s="26"/>
      <c r="Q221" s="26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9">
        <f>G221+SUM(I221:AL221)-SUM(I222:AL222)</f>
        <v>213</v>
      </c>
      <c r="AO221" s="53">
        <f>ROUNDDOWN((AN221/E221)/$H$4,1)</f>
        <v>35.5</v>
      </c>
      <c r="AP221" s="53">
        <f>$M$4+AO221</f>
        <v>887.5</v>
      </c>
    </row>
    <row r="222">
      <c r="A222" s="31"/>
      <c r="B222" s="17"/>
      <c r="C222" s="17"/>
      <c r="D222" s="17"/>
      <c r="E222" s="17"/>
      <c r="F222" s="18"/>
      <c r="G222" s="27"/>
      <c r="H222" s="7" t="s">
        <v>23</v>
      </c>
      <c r="I222" s="7">
        <v>4.0</v>
      </c>
      <c r="J222" s="26"/>
      <c r="K222" s="26"/>
      <c r="L222" s="26"/>
      <c r="M222" s="7">
        <v>1.0</v>
      </c>
      <c r="N222" s="7">
        <f>2+1</f>
        <v>3</v>
      </c>
      <c r="O222" s="7">
        <f>2+2+1</f>
        <v>5</v>
      </c>
      <c r="P222" s="7">
        <v>1.0</v>
      </c>
      <c r="Q222" s="26"/>
      <c r="R222" s="27">
        <f>2+2+2</f>
        <v>6</v>
      </c>
      <c r="S222" s="28">
        <f>2+3+1</f>
        <v>6</v>
      </c>
      <c r="T222" s="27"/>
      <c r="U222" s="28">
        <v>1.0</v>
      </c>
      <c r="V222" s="28">
        <f>1+1</f>
        <v>2</v>
      </c>
      <c r="W222" s="27"/>
      <c r="X222" s="27"/>
      <c r="Y222" s="27"/>
      <c r="Z222" s="28">
        <f>1+1</f>
        <v>2</v>
      </c>
      <c r="AA222" s="28">
        <f t="shared" ref="AA222:AB222" si="23">2+1</f>
        <v>3</v>
      </c>
      <c r="AB222" s="27">
        <f t="shared" si="23"/>
        <v>3</v>
      </c>
      <c r="AC222" s="28">
        <f>1+3</f>
        <v>4</v>
      </c>
      <c r="AD222" s="28">
        <v>1.0</v>
      </c>
      <c r="AE222" s="27"/>
      <c r="AF222" s="28">
        <f>1+1+2</f>
        <v>4</v>
      </c>
      <c r="AG222" s="27">
        <f>4+3+1</f>
        <v>8</v>
      </c>
      <c r="AH222" s="27">
        <f>2+2+1</f>
        <v>5</v>
      </c>
      <c r="AI222" s="28">
        <f>1+1</f>
        <v>2</v>
      </c>
      <c r="AJ222" s="28">
        <f>5+1+1</f>
        <v>7</v>
      </c>
      <c r="AK222" s="28">
        <v>2.0</v>
      </c>
      <c r="AL222" s="27"/>
      <c r="AM222" s="27"/>
      <c r="AN222" s="32"/>
    </row>
    <row r="223">
      <c r="A223" s="33"/>
      <c r="B223" s="33"/>
      <c r="C223" s="33"/>
      <c r="D223" s="33"/>
      <c r="E223" s="25"/>
      <c r="F223" s="25"/>
      <c r="G223" s="27"/>
      <c r="H223" s="7"/>
      <c r="I223" s="37"/>
      <c r="J223" s="37"/>
      <c r="K223" s="36"/>
      <c r="L223" s="36"/>
      <c r="M223" s="37"/>
      <c r="N223" s="37"/>
      <c r="O223" s="41"/>
      <c r="P223" s="41"/>
      <c r="Q223" s="37"/>
      <c r="R223" s="42"/>
      <c r="S223" s="42"/>
      <c r="T223" s="10"/>
      <c r="U223" s="42"/>
      <c r="V223" s="6"/>
      <c r="W223" s="10"/>
      <c r="X223" s="6"/>
      <c r="Y223" s="6"/>
      <c r="Z223" s="6"/>
      <c r="AA223" s="6"/>
      <c r="AB223" s="42"/>
      <c r="AC223" s="6"/>
      <c r="AD223" s="6"/>
      <c r="AE223" s="6"/>
      <c r="AF223" s="6"/>
      <c r="AG223" s="42"/>
      <c r="AH223" s="6"/>
      <c r="AI223" s="6"/>
      <c r="AJ223" s="27"/>
      <c r="AK223" s="27"/>
      <c r="AL223" s="27"/>
      <c r="AM223" s="27"/>
      <c r="AN223" s="39"/>
      <c r="AO223" s="53"/>
      <c r="AP223" s="53"/>
    </row>
    <row r="224">
      <c r="A224" s="24" t="s">
        <v>105</v>
      </c>
      <c r="B224" s="17"/>
      <c r="C224" s="17"/>
      <c r="D224" s="18"/>
      <c r="E224" s="25">
        <v>1.1</v>
      </c>
      <c r="F224" s="25" t="s">
        <v>106</v>
      </c>
      <c r="G224" s="27"/>
      <c r="H224" s="7" t="s">
        <v>22</v>
      </c>
      <c r="I224" s="26"/>
      <c r="J224" s="26"/>
      <c r="K224" s="26"/>
      <c r="L224" s="26"/>
      <c r="M224" s="26"/>
      <c r="N224" s="26"/>
      <c r="O224" s="7">
        <v>20.0</v>
      </c>
      <c r="P224" s="7">
        <v>20.0</v>
      </c>
      <c r="Q224" s="26"/>
      <c r="R224" s="28">
        <v>10.0</v>
      </c>
      <c r="S224" s="28">
        <v>10.0</v>
      </c>
      <c r="T224" s="27"/>
      <c r="U224" s="28">
        <f>20+10</f>
        <v>30</v>
      </c>
      <c r="V224" s="27"/>
      <c r="W224" s="27"/>
      <c r="X224" s="27"/>
      <c r="Y224" s="27"/>
      <c r="Z224" s="27"/>
      <c r="AA224" s="27"/>
      <c r="AB224" s="28">
        <v>20.0</v>
      </c>
      <c r="AC224" s="27"/>
      <c r="AD224" s="27"/>
      <c r="AE224" s="27"/>
      <c r="AF224" s="27"/>
      <c r="AG224" s="28">
        <v>30.0</v>
      </c>
      <c r="AH224" s="27"/>
      <c r="AI224" s="27"/>
      <c r="AJ224" s="28">
        <f>20+10</f>
        <v>30</v>
      </c>
      <c r="AK224" s="27"/>
      <c r="AL224" s="27"/>
      <c r="AM224" s="27"/>
      <c r="AN224" s="29">
        <f>G224+SUM(I224:AL224)-SUM(I225:AL225)</f>
        <v>145</v>
      </c>
      <c r="AO224" s="53">
        <f>ROUNDDOWN((AN224/E224)/$H$4,1)</f>
        <v>4.3</v>
      </c>
      <c r="AP224" s="53">
        <f>$M$4+AO224</f>
        <v>856.3</v>
      </c>
    </row>
    <row r="225">
      <c r="A225" s="31"/>
      <c r="B225" s="17"/>
      <c r="C225" s="17"/>
      <c r="D225" s="17"/>
      <c r="E225" s="17"/>
      <c r="F225" s="18"/>
      <c r="G225" s="27"/>
      <c r="H225" s="7" t="s">
        <v>23</v>
      </c>
      <c r="I225" s="26"/>
      <c r="J225" s="26"/>
      <c r="K225" s="26"/>
      <c r="L225" s="26"/>
      <c r="M225" s="26"/>
      <c r="N225" s="26"/>
      <c r="O225" s="26"/>
      <c r="P225" s="26"/>
      <c r="Q225" s="26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8">
        <v>2.0</v>
      </c>
      <c r="AC225" s="28">
        <f>1+1</f>
        <v>2</v>
      </c>
      <c r="AD225" s="27">
        <f>1+1+1</f>
        <v>3</v>
      </c>
      <c r="AE225" s="27"/>
      <c r="AF225" s="27">
        <f>3+3+1+1</f>
        <v>8</v>
      </c>
      <c r="AG225" s="27">
        <f t="shared" ref="AG225:AH225" si="24">1+1</f>
        <v>2</v>
      </c>
      <c r="AH225" s="27">
        <f t="shared" si="24"/>
        <v>2</v>
      </c>
      <c r="AI225" s="28">
        <v>3.0</v>
      </c>
      <c r="AJ225" s="28">
        <v>1.0</v>
      </c>
      <c r="AK225" s="28">
        <v>2.0</v>
      </c>
      <c r="AL225" s="27"/>
      <c r="AM225" s="27"/>
      <c r="AN225" s="32"/>
    </row>
    <row r="226">
      <c r="A226" s="58"/>
      <c r="B226" s="58"/>
      <c r="C226" s="58"/>
      <c r="D226" s="58"/>
      <c r="E226" s="58"/>
      <c r="F226" s="58"/>
      <c r="G226" s="58"/>
      <c r="H226" s="68"/>
      <c r="I226" s="79"/>
      <c r="J226" s="79"/>
      <c r="K226" s="79"/>
      <c r="L226" s="79"/>
      <c r="M226" s="79"/>
      <c r="N226" s="79"/>
      <c r="O226" s="80"/>
      <c r="P226" s="80"/>
      <c r="Q226" s="80"/>
      <c r="R226" s="6"/>
      <c r="S226" s="6"/>
      <c r="T226" s="10"/>
      <c r="U226" s="6"/>
      <c r="V226" s="10"/>
      <c r="W226" s="10"/>
      <c r="X226" s="10"/>
      <c r="Y226" s="10"/>
      <c r="Z226" s="10"/>
      <c r="AA226" s="10"/>
      <c r="AB226" s="6"/>
      <c r="AC226" s="6"/>
      <c r="AD226" s="6"/>
      <c r="AE226" s="6"/>
      <c r="AF226" s="6"/>
      <c r="AG226" s="6"/>
      <c r="AH226" s="6"/>
      <c r="AI226" s="6"/>
      <c r="AJ226" s="48"/>
      <c r="AK226" s="48"/>
      <c r="AL226" s="48"/>
      <c r="AM226" s="48"/>
      <c r="AN226" s="48"/>
      <c r="AO226" s="49"/>
      <c r="AP226" s="49"/>
    </row>
    <row r="227">
      <c r="A227" s="16" t="s">
        <v>107</v>
      </c>
      <c r="B227" s="17"/>
      <c r="C227" s="17"/>
      <c r="D227" s="17"/>
      <c r="E227" s="17"/>
      <c r="F227" s="17"/>
      <c r="G227" s="18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52"/>
      <c r="AP227" s="52"/>
    </row>
    <row r="228">
      <c r="A228" s="24" t="s">
        <v>108</v>
      </c>
      <c r="B228" s="17"/>
      <c r="C228" s="17"/>
      <c r="D228" s="18"/>
      <c r="E228" s="25">
        <v>0.1</v>
      </c>
      <c r="F228" s="25" t="s">
        <v>21</v>
      </c>
      <c r="G228" s="78"/>
      <c r="H228" s="7" t="s">
        <v>22</v>
      </c>
      <c r="I228" s="26"/>
      <c r="J228" s="26"/>
      <c r="K228" s="26"/>
      <c r="L228" s="26"/>
      <c r="M228" s="26"/>
      <c r="N228" s="26"/>
      <c r="O228" s="26"/>
      <c r="P228" s="26"/>
      <c r="Q228" s="26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9">
        <f>G228+SUM(I228:AL228)-SUM(I229:AL229)</f>
        <v>0</v>
      </c>
      <c r="AO228" s="53">
        <f>ROUNDDOWN((AN228/E228)/$H$4,1)</f>
        <v>0</v>
      </c>
      <c r="AP228" s="53"/>
    </row>
    <row r="229">
      <c r="A229" s="31"/>
      <c r="B229" s="17"/>
      <c r="C229" s="17"/>
      <c r="D229" s="17"/>
      <c r="E229" s="17"/>
      <c r="F229" s="18"/>
      <c r="G229" s="27"/>
      <c r="H229" s="7" t="s">
        <v>23</v>
      </c>
      <c r="I229" s="26"/>
      <c r="J229" s="26"/>
      <c r="K229" s="26"/>
      <c r="L229" s="26"/>
      <c r="M229" s="26"/>
      <c r="N229" s="26"/>
      <c r="O229" s="26"/>
      <c r="P229" s="26"/>
      <c r="Q229" s="26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32"/>
    </row>
    <row r="230">
      <c r="A230" s="58"/>
      <c r="B230" s="58"/>
      <c r="C230" s="58"/>
      <c r="D230" s="58"/>
      <c r="E230" s="58"/>
      <c r="F230" s="58"/>
      <c r="G230" s="58"/>
      <c r="H230" s="68"/>
      <c r="I230" s="79"/>
      <c r="J230" s="79"/>
      <c r="K230" s="79"/>
      <c r="L230" s="79"/>
      <c r="M230" s="79"/>
      <c r="N230" s="79"/>
      <c r="O230" s="79"/>
      <c r="P230" s="79"/>
      <c r="Q230" s="79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48"/>
      <c r="AK230" s="48"/>
      <c r="AL230" s="48"/>
      <c r="AM230" s="48"/>
      <c r="AN230" s="48"/>
      <c r="AO230" s="49"/>
      <c r="AP230" s="49"/>
    </row>
    <row r="231">
      <c r="A231" s="16" t="s">
        <v>109</v>
      </c>
      <c r="B231" s="17"/>
      <c r="C231" s="17"/>
      <c r="D231" s="17"/>
      <c r="E231" s="17"/>
      <c r="F231" s="17"/>
      <c r="G231" s="18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52"/>
      <c r="AP231" s="52"/>
    </row>
    <row r="232">
      <c r="A232" s="24" t="s">
        <v>110</v>
      </c>
      <c r="B232" s="17"/>
      <c r="C232" s="17"/>
      <c r="D232" s="18"/>
      <c r="E232" s="25">
        <v>0.3</v>
      </c>
      <c r="F232" s="25" t="s">
        <v>21</v>
      </c>
      <c r="G232" s="78">
        <v>181.0</v>
      </c>
      <c r="H232" s="7" t="s">
        <v>22</v>
      </c>
      <c r="I232" s="26"/>
      <c r="J232" s="26"/>
      <c r="K232" s="26"/>
      <c r="L232" s="26"/>
      <c r="M232" s="26"/>
      <c r="N232" s="26"/>
      <c r="O232" s="7">
        <v>180.0</v>
      </c>
      <c r="P232" s="26"/>
      <c r="Q232" s="26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9">
        <f>G232+SUM(I232:AL232)-SUM(I233:AL233)</f>
        <v>286</v>
      </c>
      <c r="AO232" s="53">
        <f>ROUNDDOWN((AN232/E232)/$H$4,1)</f>
        <v>31.7</v>
      </c>
      <c r="AP232" s="53">
        <f>$M$4+AO232</f>
        <v>883.7</v>
      </c>
    </row>
    <row r="233">
      <c r="A233" s="31"/>
      <c r="B233" s="17"/>
      <c r="C233" s="17"/>
      <c r="D233" s="17"/>
      <c r="E233" s="17"/>
      <c r="F233" s="18"/>
      <c r="G233" s="27"/>
      <c r="H233" s="7" t="s">
        <v>23</v>
      </c>
      <c r="I233" s="26"/>
      <c r="J233" s="26"/>
      <c r="K233" s="26"/>
      <c r="L233" s="26"/>
      <c r="M233" s="26"/>
      <c r="N233" s="26"/>
      <c r="O233" s="26"/>
      <c r="P233" s="26"/>
      <c r="Q233" s="26"/>
      <c r="R233" s="27"/>
      <c r="S233" s="27"/>
      <c r="T233" s="27"/>
      <c r="U233" s="27"/>
      <c r="V233" s="28">
        <v>50.0</v>
      </c>
      <c r="W233" s="27"/>
      <c r="X233" s="27"/>
      <c r="Y233" s="27"/>
      <c r="Z233" s="27"/>
      <c r="AA233" s="27"/>
      <c r="AB233" s="28"/>
      <c r="AC233" s="27"/>
      <c r="AD233" s="27"/>
      <c r="AE233" s="27"/>
      <c r="AF233" s="28">
        <v>25.0</v>
      </c>
      <c r="AG233" s="28"/>
      <c r="AH233" s="27"/>
      <c r="AI233" s="27"/>
      <c r="AJ233" s="27"/>
      <c r="AK233" s="27"/>
      <c r="AL233" s="27"/>
      <c r="AM233" s="27"/>
      <c r="AN233" s="32"/>
    </row>
    <row r="234">
      <c r="A234" s="33"/>
      <c r="B234" s="33"/>
      <c r="C234" s="33"/>
      <c r="D234" s="33"/>
      <c r="E234" s="25"/>
      <c r="F234" s="25"/>
      <c r="G234" s="78"/>
      <c r="H234" s="7"/>
      <c r="I234" s="36"/>
      <c r="J234" s="36"/>
      <c r="K234" s="36"/>
      <c r="L234" s="36"/>
      <c r="M234" s="36"/>
      <c r="N234" s="36"/>
      <c r="O234" s="37"/>
      <c r="P234" s="36"/>
      <c r="Q234" s="36"/>
      <c r="R234" s="10"/>
      <c r="S234" s="10"/>
      <c r="T234" s="10"/>
      <c r="U234" s="10"/>
      <c r="V234" s="6"/>
      <c r="W234" s="10"/>
      <c r="X234" s="10"/>
      <c r="Y234" s="10"/>
      <c r="Z234" s="10"/>
      <c r="AA234" s="10"/>
      <c r="AB234" s="10"/>
      <c r="AC234" s="10"/>
      <c r="AD234" s="10"/>
      <c r="AE234" s="6"/>
      <c r="AF234" s="6"/>
      <c r="AG234" s="10"/>
      <c r="AH234" s="10"/>
      <c r="AI234" s="10"/>
      <c r="AJ234" s="27"/>
      <c r="AK234" s="27"/>
      <c r="AL234" s="27"/>
      <c r="AM234" s="27"/>
      <c r="AN234" s="39"/>
      <c r="AO234" s="53"/>
      <c r="AP234" s="53"/>
    </row>
    <row r="235">
      <c r="A235" s="24" t="s">
        <v>111</v>
      </c>
      <c r="B235" s="17"/>
      <c r="C235" s="17"/>
      <c r="D235" s="18"/>
      <c r="E235" s="25">
        <v>3.0</v>
      </c>
      <c r="F235" s="25" t="s">
        <v>21</v>
      </c>
      <c r="G235" s="78">
        <v>1910.0</v>
      </c>
      <c r="H235" s="7" t="s">
        <v>22</v>
      </c>
      <c r="I235" s="26"/>
      <c r="J235" s="26"/>
      <c r="K235" s="26"/>
      <c r="L235" s="26"/>
      <c r="M235" s="26"/>
      <c r="N235" s="26"/>
      <c r="O235" s="26">
        <f>3060+75</f>
        <v>3135</v>
      </c>
      <c r="P235" s="26"/>
      <c r="Q235" s="26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9">
        <f>G235+SUM(I235:AL235)-SUM(I236:AL236)</f>
        <v>3695</v>
      </c>
      <c r="AO235" s="53">
        <f>ROUNDDOWN((AN235/E235)/$H$4,1)</f>
        <v>41</v>
      </c>
      <c r="AP235" s="53">
        <f>$M$4+AO235</f>
        <v>893</v>
      </c>
    </row>
    <row r="236">
      <c r="A236" s="31"/>
      <c r="B236" s="17"/>
      <c r="C236" s="17"/>
      <c r="D236" s="17"/>
      <c r="E236" s="17"/>
      <c r="F236" s="18"/>
      <c r="G236" s="27"/>
      <c r="H236" s="7" t="s">
        <v>23</v>
      </c>
      <c r="I236" s="7">
        <v>75.0</v>
      </c>
      <c r="J236" s="26"/>
      <c r="K236" s="26"/>
      <c r="L236" s="26"/>
      <c r="M236" s="7">
        <v>75.0</v>
      </c>
      <c r="N236" s="7">
        <v>75.0</v>
      </c>
      <c r="O236" s="7">
        <v>75.0</v>
      </c>
      <c r="P236" s="26"/>
      <c r="Q236" s="26"/>
      <c r="R236" s="28">
        <v>150.0</v>
      </c>
      <c r="S236" s="27"/>
      <c r="T236" s="27"/>
      <c r="U236" s="27"/>
      <c r="V236" s="28">
        <v>75.0</v>
      </c>
      <c r="W236" s="28">
        <v>75.0</v>
      </c>
      <c r="X236" s="27"/>
      <c r="Y236" s="27"/>
      <c r="Z236" s="27"/>
      <c r="AA236" s="28">
        <v>75.0</v>
      </c>
      <c r="AB236" s="28">
        <v>75.0</v>
      </c>
      <c r="AC236" s="28">
        <v>75.0</v>
      </c>
      <c r="AD236" s="28">
        <v>75.0</v>
      </c>
      <c r="AE236" s="27"/>
      <c r="AF236" s="27"/>
      <c r="AG236" s="28">
        <v>150.0</v>
      </c>
      <c r="AH236" s="28">
        <v>75.0</v>
      </c>
      <c r="AI236" s="28">
        <v>75.0</v>
      </c>
      <c r="AJ236" s="28">
        <v>75.0</v>
      </c>
      <c r="AK236" s="28">
        <v>75.0</v>
      </c>
      <c r="AL236" s="27"/>
      <c r="AM236" s="27"/>
      <c r="AN236" s="32"/>
    </row>
    <row r="237">
      <c r="A237" s="33"/>
      <c r="B237" s="33"/>
      <c r="C237" s="33"/>
      <c r="D237" s="33"/>
      <c r="E237" s="25"/>
      <c r="F237" s="25"/>
      <c r="G237" s="78"/>
      <c r="H237" s="7"/>
      <c r="I237" s="37"/>
      <c r="J237" s="37"/>
      <c r="K237" s="36"/>
      <c r="L237" s="36"/>
      <c r="M237" s="37"/>
      <c r="N237" s="37"/>
      <c r="O237" s="37"/>
      <c r="P237" s="36"/>
      <c r="Q237" s="37"/>
      <c r="R237" s="6"/>
      <c r="S237" s="10"/>
      <c r="T237" s="10"/>
      <c r="U237" s="10"/>
      <c r="V237" s="42"/>
      <c r="W237" s="6"/>
      <c r="X237" s="6"/>
      <c r="Y237" s="6"/>
      <c r="Z237" s="10"/>
      <c r="AA237" s="6"/>
      <c r="AB237" s="6"/>
      <c r="AC237" s="6"/>
      <c r="AD237" s="6"/>
      <c r="AE237" s="6"/>
      <c r="AF237" s="10"/>
      <c r="AG237" s="6"/>
      <c r="AH237" s="6"/>
      <c r="AI237" s="6"/>
      <c r="AJ237" s="27"/>
      <c r="AK237" s="27"/>
      <c r="AL237" s="27"/>
      <c r="AM237" s="27"/>
      <c r="AN237" s="39"/>
      <c r="AO237" s="53"/>
      <c r="AP237" s="53"/>
    </row>
    <row r="238">
      <c r="A238" s="24" t="s">
        <v>112</v>
      </c>
      <c r="B238" s="17"/>
      <c r="C238" s="17"/>
      <c r="D238" s="18"/>
      <c r="E238" s="25">
        <v>1.88</v>
      </c>
      <c r="F238" s="25" t="s">
        <v>21</v>
      </c>
      <c r="G238" s="78">
        <v>997.0</v>
      </c>
      <c r="H238" s="7" t="s">
        <v>22</v>
      </c>
      <c r="I238" s="26"/>
      <c r="J238" s="26"/>
      <c r="K238" s="26"/>
      <c r="L238" s="26"/>
      <c r="M238" s="26"/>
      <c r="N238" s="26"/>
      <c r="O238" s="26"/>
      <c r="P238" s="26"/>
      <c r="Q238" s="26"/>
      <c r="R238" s="27"/>
      <c r="S238" s="27"/>
      <c r="T238" s="27"/>
      <c r="U238" s="27"/>
      <c r="V238" s="28">
        <v>1326.0</v>
      </c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9">
        <f>G238+SUM(I238:AL238)-SUM(I239:AL239)</f>
        <v>1601</v>
      </c>
      <c r="AO238" s="53">
        <f>ROUNDDOWN((AN238/E238)/$H$4,1)</f>
        <v>28.3</v>
      </c>
      <c r="AP238" s="53">
        <f>$M$4+AO238</f>
        <v>880.3</v>
      </c>
    </row>
    <row r="239">
      <c r="A239" s="56"/>
      <c r="B239" s="56"/>
      <c r="C239" s="56"/>
      <c r="D239" s="56"/>
      <c r="E239" s="57"/>
      <c r="F239" s="57"/>
      <c r="G239" s="27"/>
      <c r="H239" s="7" t="s">
        <v>23</v>
      </c>
      <c r="I239" s="7">
        <v>38.0</v>
      </c>
      <c r="J239" s="26"/>
      <c r="K239" s="7">
        <v>38.0</v>
      </c>
      <c r="L239" s="26"/>
      <c r="M239" s="7">
        <v>38.0</v>
      </c>
      <c r="N239" s="7">
        <v>38.0</v>
      </c>
      <c r="O239" s="7">
        <v>38.0</v>
      </c>
      <c r="P239" s="26"/>
      <c r="Q239" s="26"/>
      <c r="R239" s="28">
        <v>76.0</v>
      </c>
      <c r="S239" s="27"/>
      <c r="T239" s="27"/>
      <c r="U239" s="27"/>
      <c r="V239" s="28">
        <v>38.0</v>
      </c>
      <c r="W239" s="28">
        <v>38.0</v>
      </c>
      <c r="X239" s="27"/>
      <c r="Y239" s="27"/>
      <c r="Z239" s="27"/>
      <c r="AA239" s="28">
        <v>38.0</v>
      </c>
      <c r="AB239" s="28">
        <v>38.0</v>
      </c>
      <c r="AC239" s="28">
        <v>38.0</v>
      </c>
      <c r="AD239" s="28">
        <v>38.0</v>
      </c>
      <c r="AE239" s="27"/>
      <c r="AF239" s="27"/>
      <c r="AG239" s="28">
        <v>76.0</v>
      </c>
      <c r="AH239" s="28">
        <v>38.0</v>
      </c>
      <c r="AI239" s="28">
        <v>38.0</v>
      </c>
      <c r="AJ239" s="28">
        <v>38.0</v>
      </c>
      <c r="AK239" s="28">
        <v>38.0</v>
      </c>
      <c r="AL239" s="27"/>
      <c r="AM239" s="27"/>
      <c r="AN239" s="32"/>
    </row>
    <row r="240">
      <c r="A240" s="72"/>
      <c r="B240" s="72"/>
      <c r="C240" s="72"/>
      <c r="D240" s="72"/>
      <c r="E240" s="72"/>
      <c r="F240" s="72"/>
      <c r="G240" s="72"/>
      <c r="H240" s="69"/>
      <c r="I240" s="37"/>
      <c r="J240" s="37"/>
      <c r="K240" s="37"/>
      <c r="L240" s="36"/>
      <c r="M240" s="37"/>
      <c r="N240" s="37"/>
      <c r="O240" s="37"/>
      <c r="P240" s="36"/>
      <c r="Q240" s="37"/>
      <c r="R240" s="6"/>
      <c r="S240" s="10"/>
      <c r="T240" s="10"/>
      <c r="U240" s="10"/>
      <c r="V240" s="6"/>
      <c r="W240" s="6"/>
      <c r="X240" s="6"/>
      <c r="Y240" s="6"/>
      <c r="Z240" s="10"/>
      <c r="AA240" s="6"/>
      <c r="AB240" s="6"/>
      <c r="AC240" s="6"/>
      <c r="AD240" s="6"/>
      <c r="AE240" s="6"/>
      <c r="AF240" s="10"/>
      <c r="AG240" s="6"/>
      <c r="AH240" s="6"/>
      <c r="AI240" s="6"/>
      <c r="AJ240" s="48"/>
      <c r="AK240" s="48"/>
      <c r="AL240" s="48"/>
      <c r="AM240" s="48"/>
      <c r="AN240" s="48"/>
      <c r="AO240" s="49"/>
      <c r="AP240" s="49"/>
    </row>
    <row r="241">
      <c r="A241" s="73" t="s">
        <v>113</v>
      </c>
      <c r="B241" s="17"/>
      <c r="C241" s="17"/>
      <c r="D241" s="17"/>
      <c r="E241" s="17"/>
      <c r="F241" s="17"/>
      <c r="G241" s="18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52"/>
      <c r="AP241" s="52"/>
    </row>
    <row r="242">
      <c r="A242" s="24" t="s">
        <v>114</v>
      </c>
      <c r="B242" s="17"/>
      <c r="C242" s="17"/>
      <c r="D242" s="18"/>
      <c r="E242" s="25">
        <v>0.03</v>
      </c>
      <c r="F242" s="25" t="s">
        <v>21</v>
      </c>
      <c r="G242" s="78">
        <v>14.0</v>
      </c>
      <c r="H242" s="7" t="s">
        <v>22</v>
      </c>
      <c r="I242" s="26"/>
      <c r="J242" s="26"/>
      <c r="K242" s="26"/>
      <c r="L242" s="7">
        <v>15.0</v>
      </c>
      <c r="M242" s="26"/>
      <c r="N242" s="26"/>
      <c r="O242" s="26"/>
      <c r="P242" s="26"/>
      <c r="Q242" s="26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9">
        <f>G242+SUM(I242:AL242)-SUM(I243:AL243)</f>
        <v>29</v>
      </c>
      <c r="AO242" s="53">
        <f>ROUNDDOWN((AN242/E242)/$H$4,1)</f>
        <v>32.2</v>
      </c>
      <c r="AP242" s="53">
        <f>$M$4+AO242</f>
        <v>884.2</v>
      </c>
    </row>
    <row r="243">
      <c r="A243" s="31"/>
      <c r="B243" s="17"/>
      <c r="C243" s="17"/>
      <c r="D243" s="17"/>
      <c r="E243" s="17"/>
      <c r="F243" s="18"/>
      <c r="G243" s="27"/>
      <c r="H243" s="7" t="s">
        <v>23</v>
      </c>
      <c r="I243" s="26"/>
      <c r="J243" s="26"/>
      <c r="K243" s="26"/>
      <c r="L243" s="26"/>
      <c r="M243" s="26"/>
      <c r="N243" s="26"/>
      <c r="O243" s="26"/>
      <c r="P243" s="26"/>
      <c r="Q243" s="26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32"/>
    </row>
    <row r="244">
      <c r="A244" s="33"/>
      <c r="B244" s="33"/>
      <c r="C244" s="33"/>
      <c r="D244" s="33"/>
      <c r="E244" s="25"/>
      <c r="F244" s="25"/>
      <c r="G244" s="78"/>
      <c r="H244" s="7"/>
      <c r="I244" s="36"/>
      <c r="J244" s="36"/>
      <c r="K244" s="36"/>
      <c r="L244" s="41"/>
      <c r="M244" s="36"/>
      <c r="N244" s="36"/>
      <c r="O244" s="36"/>
      <c r="P244" s="36"/>
      <c r="Q244" s="36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27"/>
      <c r="AK244" s="27"/>
      <c r="AL244" s="27"/>
      <c r="AM244" s="27"/>
      <c r="AN244" s="39"/>
      <c r="AO244" s="53"/>
      <c r="AP244" s="53"/>
    </row>
    <row r="245">
      <c r="A245" s="24" t="s">
        <v>115</v>
      </c>
      <c r="B245" s="17"/>
      <c r="C245" s="17"/>
      <c r="D245" s="18"/>
      <c r="E245" s="25">
        <v>0.04</v>
      </c>
      <c r="F245" s="25" t="s">
        <v>21</v>
      </c>
      <c r="G245" s="78">
        <v>12.0</v>
      </c>
      <c r="H245" s="7" t="s">
        <v>22</v>
      </c>
      <c r="I245" s="26"/>
      <c r="J245" s="26"/>
      <c r="K245" s="26"/>
      <c r="L245" s="7">
        <v>33.0</v>
      </c>
      <c r="M245" s="26"/>
      <c r="N245" s="26"/>
      <c r="O245" s="26"/>
      <c r="P245" s="26"/>
      <c r="Q245" s="26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9">
        <f>G245+SUM(I245:AL245)-SUM(I246:AL246)</f>
        <v>35</v>
      </c>
      <c r="AO245" s="53">
        <f>ROUNDDOWN((AN245/E245)/$H$4,1)</f>
        <v>29.1</v>
      </c>
      <c r="AP245" s="53">
        <f>$M$4+AO245</f>
        <v>881.1</v>
      </c>
    </row>
    <row r="246">
      <c r="A246" s="31"/>
      <c r="B246" s="17"/>
      <c r="C246" s="17"/>
      <c r="D246" s="17"/>
      <c r="E246" s="17"/>
      <c r="F246" s="18"/>
      <c r="G246" s="27"/>
      <c r="H246" s="7" t="s">
        <v>23</v>
      </c>
      <c r="I246" s="26"/>
      <c r="J246" s="26"/>
      <c r="K246" s="26"/>
      <c r="L246" s="26"/>
      <c r="M246" s="26"/>
      <c r="N246" s="26"/>
      <c r="O246" s="26"/>
      <c r="P246" s="26"/>
      <c r="Q246" s="26"/>
      <c r="R246" s="27"/>
      <c r="S246" s="27"/>
      <c r="T246" s="27"/>
      <c r="U246" s="27"/>
      <c r="V246" s="27"/>
      <c r="W246" s="27"/>
      <c r="X246" s="27"/>
      <c r="Y246" s="27"/>
      <c r="Z246" s="27"/>
      <c r="AA246" s="28">
        <v>10.0</v>
      </c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32"/>
    </row>
    <row r="247">
      <c r="A247" s="33"/>
      <c r="B247" s="33"/>
      <c r="C247" s="33"/>
      <c r="D247" s="33"/>
      <c r="E247" s="25"/>
      <c r="F247" s="25"/>
      <c r="G247" s="78"/>
      <c r="H247" s="7"/>
      <c r="I247" s="36"/>
      <c r="J247" s="36"/>
      <c r="K247" s="36"/>
      <c r="L247" s="37"/>
      <c r="M247" s="36"/>
      <c r="N247" s="36"/>
      <c r="O247" s="36"/>
      <c r="P247" s="36"/>
      <c r="Q247" s="36"/>
      <c r="R247" s="10"/>
      <c r="S247" s="10"/>
      <c r="T247" s="10"/>
      <c r="U247" s="10"/>
      <c r="V247" s="10"/>
      <c r="W247" s="10"/>
      <c r="X247" s="10"/>
      <c r="Y247" s="10"/>
      <c r="Z247" s="10"/>
      <c r="AA247" s="6"/>
      <c r="AB247" s="10"/>
      <c r="AC247" s="10"/>
      <c r="AD247" s="10"/>
      <c r="AE247" s="10"/>
      <c r="AF247" s="10"/>
      <c r="AG247" s="10"/>
      <c r="AH247" s="10"/>
      <c r="AI247" s="10"/>
      <c r="AJ247" s="27"/>
      <c r="AK247" s="27"/>
      <c r="AL247" s="27"/>
      <c r="AM247" s="27"/>
      <c r="AN247" s="39"/>
      <c r="AO247" s="53"/>
      <c r="AP247" s="81"/>
    </row>
    <row r="248">
      <c r="A248" s="24" t="s">
        <v>116</v>
      </c>
      <c r="B248" s="17"/>
      <c r="C248" s="17"/>
      <c r="D248" s="18"/>
      <c r="E248" s="25">
        <v>0.33</v>
      </c>
      <c r="F248" s="25" t="s">
        <v>21</v>
      </c>
      <c r="G248" s="78">
        <v>140.0</v>
      </c>
      <c r="H248" s="7" t="s">
        <v>22</v>
      </c>
      <c r="I248" s="26"/>
      <c r="J248" s="26"/>
      <c r="K248" s="26"/>
      <c r="L248" s="26"/>
      <c r="M248" s="26"/>
      <c r="N248" s="26"/>
      <c r="O248" s="26"/>
      <c r="P248" s="26"/>
      <c r="Q248" s="26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9">
        <f>G248+SUM(I248:AL248)-SUM(I249:AL249)</f>
        <v>41</v>
      </c>
      <c r="AO248" s="53">
        <f>ROUNDDOWN((AN248/E248)/$H$4,1)</f>
        <v>4.1</v>
      </c>
      <c r="AP248" s="81">
        <f>M3+AO248</f>
        <v>853.1</v>
      </c>
    </row>
    <row r="249">
      <c r="A249" s="31"/>
      <c r="B249" s="17"/>
      <c r="C249" s="17"/>
      <c r="D249" s="17"/>
      <c r="E249" s="17"/>
      <c r="F249" s="18"/>
      <c r="G249" s="27"/>
      <c r="H249" s="7" t="s">
        <v>23</v>
      </c>
      <c r="I249" s="26"/>
      <c r="J249" s="26"/>
      <c r="K249" s="7">
        <v>5.0</v>
      </c>
      <c r="L249" s="26"/>
      <c r="M249" s="7">
        <f>5+5</f>
        <v>10</v>
      </c>
      <c r="N249" s="7">
        <f>5+4</f>
        <v>9</v>
      </c>
      <c r="O249" s="7">
        <f>5+1</f>
        <v>6</v>
      </c>
      <c r="P249" s="7">
        <v>4.0</v>
      </c>
      <c r="Q249" s="26"/>
      <c r="R249" s="27"/>
      <c r="S249" s="28">
        <v>5.0</v>
      </c>
      <c r="T249" s="27"/>
      <c r="U249" s="28">
        <v>5.0</v>
      </c>
      <c r="V249" s="28">
        <v>5.0</v>
      </c>
      <c r="W249" s="28">
        <v>5.0</v>
      </c>
      <c r="X249" s="27"/>
      <c r="Y249" s="27"/>
      <c r="Z249" s="27"/>
      <c r="AA249" s="28">
        <v>5.0</v>
      </c>
      <c r="AB249" s="28">
        <v>5.0</v>
      </c>
      <c r="AC249" s="28">
        <f>4+5+5</f>
        <v>14</v>
      </c>
      <c r="AD249" s="28">
        <v>1.0</v>
      </c>
      <c r="AE249" s="27"/>
      <c r="AF249" s="27"/>
      <c r="AG249" s="28">
        <v>5.0</v>
      </c>
      <c r="AH249" s="28">
        <v>5.0</v>
      </c>
      <c r="AI249" s="28">
        <v>5.0</v>
      </c>
      <c r="AJ249" s="28">
        <v>5.0</v>
      </c>
      <c r="AK249" s="27"/>
      <c r="AL249" s="27"/>
      <c r="AM249" s="27"/>
      <c r="AN249" s="32"/>
    </row>
    <row r="250">
      <c r="A250" s="33"/>
      <c r="B250" s="33"/>
      <c r="C250" s="33"/>
      <c r="D250" s="33"/>
      <c r="E250" s="25"/>
      <c r="F250" s="25"/>
      <c r="G250" s="78"/>
      <c r="H250" s="7"/>
      <c r="I250" s="36"/>
      <c r="J250" s="37"/>
      <c r="K250" s="37"/>
      <c r="L250" s="36"/>
      <c r="M250" s="37"/>
      <c r="N250" s="37"/>
      <c r="O250" s="37"/>
      <c r="P250" s="37"/>
      <c r="Q250" s="37"/>
      <c r="R250" s="10"/>
      <c r="S250" s="6"/>
      <c r="T250" s="10"/>
      <c r="U250" s="6"/>
      <c r="V250" s="6"/>
      <c r="W250" s="6"/>
      <c r="X250" s="6"/>
      <c r="Y250" s="6"/>
      <c r="Z250" s="10"/>
      <c r="AA250" s="6"/>
      <c r="AB250" s="6"/>
      <c r="AC250" s="6"/>
      <c r="AD250" s="6"/>
      <c r="AE250" s="6"/>
      <c r="AF250" s="10"/>
      <c r="AG250" s="6"/>
      <c r="AH250" s="6"/>
      <c r="AI250" s="6"/>
      <c r="AJ250" s="27"/>
      <c r="AK250" s="27"/>
      <c r="AL250" s="27"/>
      <c r="AM250" s="27"/>
      <c r="AN250" s="39"/>
      <c r="AO250" s="53"/>
      <c r="AP250" s="81"/>
    </row>
    <row r="251">
      <c r="A251" s="24" t="s">
        <v>117</v>
      </c>
      <c r="B251" s="17"/>
      <c r="C251" s="17"/>
      <c r="D251" s="18"/>
      <c r="E251" s="25">
        <v>0.17</v>
      </c>
      <c r="F251" s="25" t="s">
        <v>21</v>
      </c>
      <c r="G251" s="78">
        <v>75.0</v>
      </c>
      <c r="H251" s="7" t="s">
        <v>22</v>
      </c>
      <c r="I251" s="26"/>
      <c r="J251" s="26"/>
      <c r="K251" s="26"/>
      <c r="L251" s="26"/>
      <c r="M251" s="26"/>
      <c r="N251" s="26"/>
      <c r="O251" s="26"/>
      <c r="P251" s="26"/>
      <c r="Q251" s="26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9">
        <f>G251+SUM(I251:AL251)-SUM(I252:AL252)</f>
        <v>26</v>
      </c>
      <c r="AO251" s="53">
        <f>ROUNDDOWN((AN251/E251)/$H$4,1)</f>
        <v>5</v>
      </c>
      <c r="AP251" s="81">
        <f>$M$4+AO251</f>
        <v>857</v>
      </c>
    </row>
    <row r="252">
      <c r="A252" s="31"/>
      <c r="B252" s="17"/>
      <c r="C252" s="17"/>
      <c r="D252" s="17"/>
      <c r="E252" s="17"/>
      <c r="F252" s="18"/>
      <c r="G252" s="27"/>
      <c r="H252" s="7" t="s">
        <v>23</v>
      </c>
      <c r="I252" s="26"/>
      <c r="J252" s="26"/>
      <c r="K252" s="26"/>
      <c r="L252" s="26"/>
      <c r="M252" s="26"/>
      <c r="N252" s="26"/>
      <c r="O252" s="26"/>
      <c r="P252" s="26"/>
      <c r="Q252" s="26"/>
      <c r="R252" s="27"/>
      <c r="S252" s="27"/>
      <c r="T252" s="27"/>
      <c r="U252" s="27"/>
      <c r="V252" s="27"/>
      <c r="W252" s="27"/>
      <c r="X252" s="27"/>
      <c r="Y252" s="27"/>
      <c r="Z252" s="27"/>
      <c r="AA252" s="28">
        <v>5.0</v>
      </c>
      <c r="AB252" s="28">
        <v>5.0</v>
      </c>
      <c r="AC252" s="28">
        <f>10+10</f>
        <v>20</v>
      </c>
      <c r="AD252" s="27"/>
      <c r="AE252" s="27"/>
      <c r="AF252" s="27"/>
      <c r="AG252" s="27"/>
      <c r="AH252" s="28">
        <f>2+4</f>
        <v>6</v>
      </c>
      <c r="AI252" s="28">
        <v>3.0</v>
      </c>
      <c r="AJ252" s="27"/>
      <c r="AK252" s="28">
        <v>10.0</v>
      </c>
      <c r="AL252" s="27"/>
      <c r="AM252" s="27"/>
      <c r="AN252" s="32"/>
    </row>
    <row r="253">
      <c r="A253" s="33"/>
      <c r="B253" s="33"/>
      <c r="C253" s="33"/>
      <c r="D253" s="33"/>
      <c r="E253" s="57"/>
      <c r="F253" s="25"/>
      <c r="G253" s="27"/>
      <c r="H253" s="7"/>
      <c r="I253" s="35"/>
      <c r="J253" s="36"/>
      <c r="K253" s="36"/>
      <c r="L253" s="36"/>
      <c r="M253" s="36"/>
      <c r="N253" s="35"/>
      <c r="O253" s="36"/>
      <c r="P253" s="36"/>
      <c r="Q253" s="36"/>
      <c r="R253" s="10"/>
      <c r="S253" s="10"/>
      <c r="T253" s="10"/>
      <c r="U253" s="38"/>
      <c r="V253" s="10"/>
      <c r="W253" s="10"/>
      <c r="X253" s="10"/>
      <c r="Y253" s="10"/>
      <c r="Z253" s="10"/>
      <c r="AA253" s="6"/>
      <c r="AB253" s="6"/>
      <c r="AC253" s="6"/>
      <c r="AD253" s="10"/>
      <c r="AE253" s="10"/>
      <c r="AF253" s="10"/>
      <c r="AG253" s="10"/>
      <c r="AH253" s="6"/>
      <c r="AI253" s="6"/>
      <c r="AJ253" s="27"/>
      <c r="AK253" s="27"/>
      <c r="AL253" s="27"/>
      <c r="AM253" s="27"/>
      <c r="AN253" s="39"/>
      <c r="AO253" s="53"/>
      <c r="AP253" s="53"/>
    </row>
    <row r="254">
      <c r="A254" s="24" t="s">
        <v>118</v>
      </c>
      <c r="B254" s="17"/>
      <c r="C254" s="17"/>
      <c r="D254" s="18"/>
      <c r="E254" s="57"/>
      <c r="F254" s="25" t="s">
        <v>21</v>
      </c>
      <c r="G254" s="27"/>
      <c r="H254" s="7" t="s">
        <v>22</v>
      </c>
      <c r="I254" s="7">
        <v>720.0</v>
      </c>
      <c r="J254" s="26"/>
      <c r="K254" s="26"/>
      <c r="L254" s="26"/>
      <c r="M254" s="26"/>
      <c r="N254" s="7"/>
      <c r="O254" s="26"/>
      <c r="P254" s="26"/>
      <c r="Q254" s="26"/>
      <c r="R254" s="27"/>
      <c r="S254" s="27"/>
      <c r="T254" s="27"/>
      <c r="U254" s="28">
        <v>960.0</v>
      </c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9">
        <f>G254+SUM(I254:AL254)-SUM(I255:AL255)</f>
        <v>0</v>
      </c>
      <c r="AO254" s="53"/>
      <c r="AP254" s="53"/>
    </row>
    <row r="255">
      <c r="A255" s="31"/>
      <c r="B255" s="17"/>
      <c r="C255" s="17"/>
      <c r="D255" s="17"/>
      <c r="E255" s="17"/>
      <c r="F255" s="18"/>
      <c r="G255" s="27"/>
      <c r="H255" s="7" t="s">
        <v>23</v>
      </c>
      <c r="I255" s="7">
        <v>720.0</v>
      </c>
      <c r="J255" s="26"/>
      <c r="K255" s="26"/>
      <c r="L255" s="26"/>
      <c r="M255" s="26"/>
      <c r="N255" s="7"/>
      <c r="O255" s="26"/>
      <c r="P255" s="26"/>
      <c r="Q255" s="26"/>
      <c r="R255" s="27"/>
      <c r="S255" s="27"/>
      <c r="T255" s="27"/>
      <c r="U255" s="28">
        <v>960.0</v>
      </c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32"/>
    </row>
    <row r="256">
      <c r="A256" s="33"/>
      <c r="B256" s="33"/>
      <c r="C256" s="33"/>
      <c r="D256" s="33"/>
      <c r="E256" s="57"/>
      <c r="F256" s="25"/>
      <c r="G256" s="27"/>
      <c r="H256" s="7"/>
      <c r="I256" s="37"/>
      <c r="J256" s="37"/>
      <c r="K256" s="35"/>
      <c r="L256" s="36"/>
      <c r="M256" s="36"/>
      <c r="N256" s="35"/>
      <c r="O256" s="35"/>
      <c r="P256" s="36"/>
      <c r="Q256" s="36"/>
      <c r="R256" s="10"/>
      <c r="S256" s="38"/>
      <c r="T256" s="10"/>
      <c r="U256" s="6"/>
      <c r="V256" s="38"/>
      <c r="W256" s="10"/>
      <c r="X256" s="10"/>
      <c r="Y256" s="10"/>
      <c r="Z256" s="38"/>
      <c r="AA256" s="38"/>
      <c r="AB256" s="10"/>
      <c r="AC256" s="38"/>
      <c r="AD256" s="10"/>
      <c r="AE256" s="10"/>
      <c r="AF256" s="38"/>
      <c r="AG256" s="10"/>
      <c r="AH256" s="38"/>
      <c r="AI256" s="10"/>
      <c r="AJ256" s="27"/>
      <c r="AK256" s="27"/>
      <c r="AL256" s="27"/>
      <c r="AM256" s="27"/>
      <c r="AN256" s="39"/>
      <c r="AO256" s="53"/>
      <c r="AP256" s="53"/>
    </row>
    <row r="257">
      <c r="A257" s="24" t="s">
        <v>119</v>
      </c>
      <c r="B257" s="17"/>
      <c r="C257" s="17"/>
      <c r="D257" s="18"/>
      <c r="E257" s="57"/>
      <c r="F257" s="25" t="s">
        <v>21</v>
      </c>
      <c r="G257" s="27"/>
      <c r="H257" s="7" t="s">
        <v>22</v>
      </c>
      <c r="I257" s="26"/>
      <c r="J257" s="26"/>
      <c r="K257" s="7">
        <v>15.0</v>
      </c>
      <c r="L257" s="26"/>
      <c r="M257" s="26"/>
      <c r="N257" s="7">
        <v>15.0</v>
      </c>
      <c r="O257" s="7">
        <v>15.0</v>
      </c>
      <c r="P257" s="26"/>
      <c r="Q257" s="26"/>
      <c r="R257" s="27"/>
      <c r="S257" s="28">
        <v>15.0</v>
      </c>
      <c r="T257" s="27"/>
      <c r="U257" s="27"/>
      <c r="V257" s="28">
        <v>15.0</v>
      </c>
      <c r="W257" s="27"/>
      <c r="X257" s="27"/>
      <c r="Y257" s="27"/>
      <c r="Z257" s="28">
        <v>15.0</v>
      </c>
      <c r="AA257" s="28">
        <v>30.0</v>
      </c>
      <c r="AB257" s="27"/>
      <c r="AC257" s="28">
        <v>15.0</v>
      </c>
      <c r="AD257" s="27"/>
      <c r="AE257" s="27"/>
      <c r="AF257" s="28">
        <v>15.0</v>
      </c>
      <c r="AG257" s="27"/>
      <c r="AH257" s="28">
        <v>15.0</v>
      </c>
      <c r="AI257" s="28">
        <v>15.0</v>
      </c>
      <c r="AJ257" s="27"/>
      <c r="AK257" s="28">
        <v>15.0</v>
      </c>
      <c r="AL257" s="27"/>
      <c r="AM257" s="27"/>
      <c r="AN257" s="29">
        <f>G257+SUM(I257:AL257)-SUM(I258:AL258)</f>
        <v>0</v>
      </c>
      <c r="AO257" s="53"/>
      <c r="AP257" s="53"/>
    </row>
    <row r="258">
      <c r="A258" s="31"/>
      <c r="B258" s="17"/>
      <c r="C258" s="17"/>
      <c r="D258" s="17"/>
      <c r="E258" s="17"/>
      <c r="F258" s="18"/>
      <c r="G258" s="27"/>
      <c r="H258" s="7" t="s">
        <v>23</v>
      </c>
      <c r="I258" s="26"/>
      <c r="J258" s="26"/>
      <c r="K258" s="7">
        <v>15.0</v>
      </c>
      <c r="L258" s="26"/>
      <c r="M258" s="26"/>
      <c r="N258" s="7">
        <v>15.0</v>
      </c>
      <c r="O258" s="7">
        <v>15.0</v>
      </c>
      <c r="P258" s="26"/>
      <c r="Q258" s="26"/>
      <c r="R258" s="27"/>
      <c r="S258" s="28">
        <v>15.0</v>
      </c>
      <c r="T258" s="27"/>
      <c r="U258" s="27"/>
      <c r="V258" s="28">
        <v>15.0</v>
      </c>
      <c r="W258" s="27"/>
      <c r="X258" s="27"/>
      <c r="Y258" s="27"/>
      <c r="Z258" s="28">
        <v>15.0</v>
      </c>
      <c r="AA258" s="28">
        <v>30.0</v>
      </c>
      <c r="AB258" s="27"/>
      <c r="AC258" s="28">
        <v>15.0</v>
      </c>
      <c r="AD258" s="27"/>
      <c r="AE258" s="27"/>
      <c r="AF258" s="28">
        <v>15.0</v>
      </c>
      <c r="AG258" s="27"/>
      <c r="AH258" s="28">
        <v>15.0</v>
      </c>
      <c r="AI258" s="28">
        <v>15.0</v>
      </c>
      <c r="AJ258" s="27"/>
      <c r="AK258" s="28">
        <v>15.0</v>
      </c>
      <c r="AL258" s="27"/>
      <c r="AM258" s="27"/>
      <c r="AN258" s="32"/>
    </row>
    <row r="259">
      <c r="A259" s="33"/>
      <c r="B259" s="33"/>
      <c r="C259" s="33"/>
      <c r="D259" s="33"/>
      <c r="E259" s="57"/>
      <c r="F259" s="25"/>
      <c r="G259" s="27"/>
      <c r="H259" s="7"/>
      <c r="I259" s="36"/>
      <c r="J259" s="37"/>
      <c r="K259" s="41"/>
      <c r="L259" s="36"/>
      <c r="M259" s="36"/>
      <c r="N259" s="41"/>
      <c r="O259" s="41"/>
      <c r="P259" s="35"/>
      <c r="Q259" s="36"/>
      <c r="R259" s="38"/>
      <c r="S259" s="42"/>
      <c r="T259" s="10"/>
      <c r="U259" s="38"/>
      <c r="V259" s="42"/>
      <c r="W259" s="38"/>
      <c r="X259" s="6"/>
      <c r="Y259" s="6"/>
      <c r="Z259" s="42"/>
      <c r="AA259" s="6"/>
      <c r="AB259" s="10"/>
      <c r="AC259" s="42"/>
      <c r="AD259" s="38"/>
      <c r="AE259" s="6"/>
      <c r="AF259" s="42"/>
      <c r="AG259" s="38"/>
      <c r="AH259" s="42"/>
      <c r="AI259" s="6"/>
      <c r="AJ259" s="27"/>
      <c r="AK259" s="27"/>
      <c r="AL259" s="27"/>
      <c r="AM259" s="27"/>
      <c r="AN259" s="39"/>
      <c r="AO259" s="53"/>
      <c r="AP259" s="53"/>
    </row>
    <row r="260">
      <c r="A260" s="24" t="s">
        <v>120</v>
      </c>
      <c r="B260" s="17"/>
      <c r="C260" s="17"/>
      <c r="D260" s="18"/>
      <c r="E260" s="57"/>
      <c r="F260" s="25" t="s">
        <v>21</v>
      </c>
      <c r="G260" s="27"/>
      <c r="H260" s="7" t="s">
        <v>22</v>
      </c>
      <c r="I260" s="26"/>
      <c r="J260" s="26"/>
      <c r="K260" s="7">
        <v>30.0</v>
      </c>
      <c r="L260" s="26"/>
      <c r="M260" s="26"/>
      <c r="N260" s="7">
        <f t="shared" ref="N260:N261" si="25">30</f>
        <v>30</v>
      </c>
      <c r="O260" s="7">
        <v>30.0</v>
      </c>
      <c r="P260" s="7">
        <v>30.0</v>
      </c>
      <c r="Q260" s="26"/>
      <c r="R260" s="28">
        <v>30.0</v>
      </c>
      <c r="S260" s="28">
        <v>30.0</v>
      </c>
      <c r="T260" s="27"/>
      <c r="U260" s="28">
        <f t="shared" ref="U260:U261" si="26">30+30</f>
        <v>60</v>
      </c>
      <c r="V260" s="28">
        <v>15.0</v>
      </c>
      <c r="W260" s="28">
        <v>15.0</v>
      </c>
      <c r="X260" s="27"/>
      <c r="Y260" s="27"/>
      <c r="Z260" s="28">
        <v>30.0</v>
      </c>
      <c r="AA260" s="27"/>
      <c r="AB260" s="27"/>
      <c r="AC260" s="28"/>
      <c r="AD260" s="28">
        <v>30.0</v>
      </c>
      <c r="AE260" s="27"/>
      <c r="AF260" s="28">
        <v>30.0</v>
      </c>
      <c r="AG260" s="28">
        <v>30.0</v>
      </c>
      <c r="AH260" s="28">
        <f t="shared" ref="AH260:AH261" si="27">30+30</f>
        <v>60</v>
      </c>
      <c r="AI260" s="28">
        <v>30.0</v>
      </c>
      <c r="AJ260" s="28">
        <v>30.0</v>
      </c>
      <c r="AK260" s="28">
        <v>30.0</v>
      </c>
      <c r="AL260" s="27"/>
      <c r="AM260" s="27"/>
      <c r="AN260" s="29">
        <f>G260+SUM(I260:AL260)-SUM(I261:AL261)</f>
        <v>0</v>
      </c>
      <c r="AO260" s="53"/>
      <c r="AP260" s="53"/>
    </row>
    <row r="261">
      <c r="A261" s="31"/>
      <c r="B261" s="17"/>
      <c r="C261" s="17"/>
      <c r="D261" s="17"/>
      <c r="E261" s="17"/>
      <c r="F261" s="18"/>
      <c r="G261" s="27"/>
      <c r="H261" s="7" t="s">
        <v>23</v>
      </c>
      <c r="I261" s="26"/>
      <c r="J261" s="26"/>
      <c r="K261" s="7">
        <v>30.0</v>
      </c>
      <c r="L261" s="26"/>
      <c r="M261" s="26"/>
      <c r="N261" s="7">
        <f t="shared" si="25"/>
        <v>30</v>
      </c>
      <c r="O261" s="7">
        <v>30.0</v>
      </c>
      <c r="P261" s="7">
        <v>30.0</v>
      </c>
      <c r="Q261" s="26"/>
      <c r="R261" s="28">
        <v>30.0</v>
      </c>
      <c r="S261" s="28">
        <v>30.0</v>
      </c>
      <c r="T261" s="27"/>
      <c r="U261" s="28">
        <f t="shared" si="26"/>
        <v>60</v>
      </c>
      <c r="V261" s="28">
        <v>15.0</v>
      </c>
      <c r="W261" s="28">
        <v>15.0</v>
      </c>
      <c r="X261" s="27"/>
      <c r="Y261" s="27"/>
      <c r="Z261" s="28">
        <v>30.0</v>
      </c>
      <c r="AA261" s="27"/>
      <c r="AB261" s="27"/>
      <c r="AC261" s="28"/>
      <c r="AD261" s="28">
        <v>30.0</v>
      </c>
      <c r="AE261" s="27"/>
      <c r="AF261" s="28">
        <v>30.0</v>
      </c>
      <c r="AG261" s="28">
        <v>30.0</v>
      </c>
      <c r="AH261" s="28">
        <f t="shared" si="27"/>
        <v>60</v>
      </c>
      <c r="AI261" s="28">
        <v>30.0</v>
      </c>
      <c r="AJ261" s="28">
        <v>30.0</v>
      </c>
      <c r="AK261" s="28">
        <v>30.0</v>
      </c>
      <c r="AL261" s="27"/>
      <c r="AM261" s="27"/>
      <c r="AN261" s="32"/>
    </row>
    <row r="262">
      <c r="A262" s="33"/>
      <c r="B262" s="33"/>
      <c r="C262" s="33"/>
      <c r="D262" s="33"/>
      <c r="E262" s="57"/>
      <c r="F262" s="25"/>
      <c r="G262" s="28"/>
      <c r="H262" s="7"/>
      <c r="I262" s="36"/>
      <c r="J262" s="37"/>
      <c r="K262" s="41"/>
      <c r="L262" s="36"/>
      <c r="M262" s="36"/>
      <c r="N262" s="41"/>
      <c r="O262" s="41"/>
      <c r="P262" s="41"/>
      <c r="Q262" s="37"/>
      <c r="R262" s="42"/>
      <c r="S262" s="42"/>
      <c r="T262" s="10"/>
      <c r="U262" s="42"/>
      <c r="V262" s="42"/>
      <c r="W262" s="42"/>
      <c r="X262" s="6"/>
      <c r="Y262" s="6"/>
      <c r="Z262" s="42"/>
      <c r="AA262" s="10"/>
      <c r="AB262" s="10"/>
      <c r="AC262" s="38"/>
      <c r="AD262" s="42"/>
      <c r="AE262" s="6"/>
      <c r="AF262" s="6"/>
      <c r="AG262" s="6"/>
      <c r="AH262" s="6"/>
      <c r="AI262" s="6"/>
      <c r="AJ262" s="27"/>
      <c r="AK262" s="27"/>
      <c r="AL262" s="27"/>
      <c r="AM262" s="27"/>
      <c r="AN262" s="39"/>
      <c r="AO262" s="53"/>
      <c r="AP262" s="53"/>
    </row>
    <row r="263">
      <c r="A263" s="82" t="s">
        <v>121</v>
      </c>
      <c r="B263" s="83"/>
      <c r="C263" s="83"/>
      <c r="D263" s="84"/>
      <c r="E263" s="85"/>
      <c r="F263" s="86" t="s">
        <v>21</v>
      </c>
      <c r="G263" s="87"/>
      <c r="H263" s="88" t="s">
        <v>22</v>
      </c>
      <c r="I263" s="85"/>
      <c r="J263" s="85"/>
      <c r="K263" s="88"/>
      <c r="L263" s="85"/>
      <c r="M263" s="85"/>
      <c r="N263" s="88"/>
      <c r="O263" s="88"/>
      <c r="P263" s="88"/>
      <c r="Q263" s="85"/>
      <c r="R263" s="89"/>
      <c r="S263" s="89"/>
      <c r="T263" s="85"/>
      <c r="U263" s="89"/>
      <c r="V263" s="89"/>
      <c r="W263" s="89"/>
      <c r="X263" s="85"/>
      <c r="Y263" s="85"/>
      <c r="Z263" s="89"/>
      <c r="AA263" s="85"/>
      <c r="AB263" s="85"/>
      <c r="AC263" s="87"/>
      <c r="AD263" s="89"/>
      <c r="AE263" s="85"/>
      <c r="AF263" s="90"/>
      <c r="AG263" s="90"/>
      <c r="AH263" s="90"/>
      <c r="AI263" s="90"/>
      <c r="AJ263" s="90"/>
      <c r="AK263" s="89"/>
      <c r="AL263" s="85"/>
      <c r="AM263" s="85"/>
      <c r="AN263" s="91">
        <f>G263+SUM(I263:AL263)-SUM(I264:AL264)</f>
        <v>0</v>
      </c>
      <c r="AO263" s="53"/>
      <c r="AP263" s="53"/>
    </row>
    <row r="264">
      <c r="A264" s="92"/>
      <c r="B264" s="17"/>
      <c r="C264" s="17"/>
      <c r="D264" s="17"/>
      <c r="E264" s="17"/>
      <c r="F264" s="18"/>
      <c r="G264" s="87"/>
      <c r="H264" s="88" t="s">
        <v>23</v>
      </c>
      <c r="I264" s="85"/>
      <c r="J264" s="85"/>
      <c r="K264" s="88"/>
      <c r="L264" s="85"/>
      <c r="M264" s="85"/>
      <c r="N264" s="88"/>
      <c r="O264" s="88"/>
      <c r="P264" s="88"/>
      <c r="Q264" s="85"/>
      <c r="R264" s="89"/>
      <c r="S264" s="89"/>
      <c r="T264" s="85"/>
      <c r="U264" s="89"/>
      <c r="V264" s="89"/>
      <c r="W264" s="89"/>
      <c r="X264" s="85"/>
      <c r="Y264" s="85"/>
      <c r="Z264" s="89"/>
      <c r="AA264" s="85"/>
      <c r="AB264" s="85"/>
      <c r="AC264" s="87"/>
      <c r="AD264" s="89"/>
      <c r="AE264" s="85"/>
      <c r="AF264" s="90"/>
      <c r="AG264" s="90"/>
      <c r="AH264" s="90"/>
      <c r="AI264" s="90"/>
      <c r="AJ264" s="90"/>
      <c r="AK264" s="89"/>
      <c r="AL264" s="85"/>
      <c r="AM264" s="85"/>
      <c r="AN264" s="32"/>
      <c r="AO264" s="53"/>
      <c r="AP264" s="53"/>
    </row>
    <row r="265">
      <c r="A265" s="87"/>
      <c r="B265" s="87"/>
      <c r="C265" s="87"/>
      <c r="D265" s="87"/>
      <c r="E265" s="85"/>
      <c r="F265" s="87"/>
      <c r="G265" s="87"/>
      <c r="H265" s="87"/>
      <c r="I265" s="85"/>
      <c r="J265" s="85"/>
      <c r="K265" s="87"/>
      <c r="L265" s="85"/>
      <c r="M265" s="85"/>
      <c r="N265" s="87"/>
      <c r="O265" s="87"/>
      <c r="P265" s="87"/>
      <c r="Q265" s="85"/>
      <c r="R265" s="87"/>
      <c r="S265" s="87"/>
      <c r="T265" s="85"/>
      <c r="U265" s="87"/>
      <c r="V265" s="87"/>
      <c r="W265" s="87"/>
      <c r="X265" s="85"/>
      <c r="Y265" s="85"/>
      <c r="Z265" s="87"/>
      <c r="AA265" s="85"/>
      <c r="AB265" s="85"/>
      <c r="AC265" s="87"/>
      <c r="AD265" s="87"/>
      <c r="AE265" s="85"/>
      <c r="AF265" s="85"/>
      <c r="AG265" s="85"/>
      <c r="AH265" s="85"/>
      <c r="AI265" s="85"/>
      <c r="AJ265" s="85"/>
      <c r="AK265" s="87"/>
      <c r="AL265" s="85"/>
      <c r="AM265" s="85"/>
      <c r="AN265" s="87"/>
      <c r="AO265" s="53"/>
      <c r="AP265" s="53"/>
    </row>
    <row r="266">
      <c r="A266" s="82" t="s">
        <v>122</v>
      </c>
      <c r="B266" s="83"/>
      <c r="C266" s="83"/>
      <c r="D266" s="84"/>
      <c r="E266" s="85"/>
      <c r="F266" s="86" t="s">
        <v>21</v>
      </c>
      <c r="G266" s="87"/>
      <c r="H266" s="88" t="s">
        <v>22</v>
      </c>
      <c r="I266" s="85"/>
      <c r="J266" s="85"/>
      <c r="K266" s="88"/>
      <c r="L266" s="85"/>
      <c r="M266" s="85"/>
      <c r="N266" s="88"/>
      <c r="O266" s="88"/>
      <c r="P266" s="88"/>
      <c r="Q266" s="85"/>
      <c r="R266" s="89"/>
      <c r="S266" s="89"/>
      <c r="T266" s="85"/>
      <c r="U266" s="89"/>
      <c r="V266" s="89"/>
      <c r="W266" s="89"/>
      <c r="X266" s="85"/>
      <c r="Y266" s="85"/>
      <c r="Z266" s="89"/>
      <c r="AA266" s="85"/>
      <c r="AB266" s="85"/>
      <c r="AC266" s="87"/>
      <c r="AD266" s="89"/>
      <c r="AE266" s="85"/>
      <c r="AF266" s="90"/>
      <c r="AG266" s="90"/>
      <c r="AH266" s="90"/>
      <c r="AI266" s="90"/>
      <c r="AJ266" s="90"/>
      <c r="AK266" s="89"/>
      <c r="AL266" s="85"/>
      <c r="AM266" s="85"/>
      <c r="AN266" s="91">
        <f>G266+SUM(I266:AL266)-SUM(I267:AL267)</f>
        <v>0</v>
      </c>
      <c r="AO266" s="53"/>
      <c r="AP266" s="53"/>
    </row>
    <row r="267">
      <c r="A267" s="92"/>
      <c r="B267" s="17"/>
      <c r="C267" s="17"/>
      <c r="D267" s="17"/>
      <c r="E267" s="17"/>
      <c r="F267" s="18"/>
      <c r="G267" s="87"/>
      <c r="H267" s="88" t="s">
        <v>23</v>
      </c>
      <c r="I267" s="85"/>
      <c r="J267" s="85"/>
      <c r="K267" s="88"/>
      <c r="L267" s="85"/>
      <c r="M267" s="85"/>
      <c r="N267" s="88"/>
      <c r="O267" s="88"/>
      <c r="P267" s="88"/>
      <c r="Q267" s="85"/>
      <c r="R267" s="89"/>
      <c r="S267" s="89"/>
      <c r="T267" s="85"/>
      <c r="U267" s="89"/>
      <c r="V267" s="89"/>
      <c r="W267" s="89"/>
      <c r="X267" s="85"/>
      <c r="Y267" s="85"/>
      <c r="Z267" s="89"/>
      <c r="AA267" s="85"/>
      <c r="AB267" s="85"/>
      <c r="AC267" s="87"/>
      <c r="AD267" s="89"/>
      <c r="AE267" s="85"/>
      <c r="AF267" s="90"/>
      <c r="AG267" s="90"/>
      <c r="AH267" s="90"/>
      <c r="AI267" s="90"/>
      <c r="AJ267" s="90"/>
      <c r="AK267" s="89"/>
      <c r="AL267" s="85"/>
      <c r="AM267" s="85"/>
      <c r="AN267" s="32"/>
      <c r="AO267" s="53"/>
      <c r="AP267" s="53"/>
    </row>
    <row r="268">
      <c r="A268" s="87"/>
      <c r="B268" s="87"/>
      <c r="C268" s="87"/>
      <c r="D268" s="87"/>
      <c r="E268" s="85"/>
      <c r="F268" s="87"/>
      <c r="G268" s="87"/>
      <c r="H268" s="87"/>
      <c r="I268" s="85"/>
      <c r="J268" s="85"/>
      <c r="K268" s="87"/>
      <c r="L268" s="85"/>
      <c r="M268" s="85"/>
      <c r="N268" s="87"/>
      <c r="O268" s="87"/>
      <c r="P268" s="87"/>
      <c r="Q268" s="85"/>
      <c r="R268" s="87"/>
      <c r="S268" s="87"/>
      <c r="T268" s="85"/>
      <c r="U268" s="87"/>
      <c r="V268" s="87"/>
      <c r="W268" s="87"/>
      <c r="X268" s="85"/>
      <c r="Y268" s="85"/>
      <c r="Z268" s="87"/>
      <c r="AA268" s="85"/>
      <c r="AB268" s="85"/>
      <c r="AC268" s="87"/>
      <c r="AD268" s="87"/>
      <c r="AE268" s="85"/>
      <c r="AF268" s="85"/>
      <c r="AG268" s="85"/>
      <c r="AH268" s="85"/>
      <c r="AI268" s="85"/>
      <c r="AJ268" s="85"/>
      <c r="AK268" s="87"/>
      <c r="AL268" s="85"/>
      <c r="AM268" s="85"/>
      <c r="AN268" s="87"/>
      <c r="AO268" s="53"/>
      <c r="AP268" s="53"/>
    </row>
    <row r="269">
      <c r="A269" s="93" t="s">
        <v>123</v>
      </c>
      <c r="B269" s="94"/>
      <c r="C269" s="94"/>
      <c r="D269" s="95"/>
      <c r="E269" s="85"/>
      <c r="F269" s="86" t="s">
        <v>21</v>
      </c>
      <c r="G269" s="87"/>
      <c r="H269" s="88" t="s">
        <v>22</v>
      </c>
      <c r="I269" s="85"/>
      <c r="J269" s="85"/>
      <c r="K269" s="87"/>
      <c r="L269" s="85"/>
      <c r="M269" s="85"/>
      <c r="N269" s="87"/>
      <c r="O269" s="87"/>
      <c r="P269" s="87"/>
      <c r="Q269" s="85"/>
      <c r="R269" s="87"/>
      <c r="S269" s="87"/>
      <c r="T269" s="85"/>
      <c r="U269" s="87"/>
      <c r="V269" s="87"/>
      <c r="W269" s="87"/>
      <c r="X269" s="85"/>
      <c r="Y269" s="85"/>
      <c r="Z269" s="87"/>
      <c r="AA269" s="85"/>
      <c r="AB269" s="85"/>
      <c r="AC269" s="87"/>
      <c r="AD269" s="87"/>
      <c r="AE269" s="85"/>
      <c r="AF269" s="85"/>
      <c r="AG269" s="85"/>
      <c r="AH269" s="85"/>
      <c r="AI269" s="85"/>
      <c r="AJ269" s="85"/>
      <c r="AK269" s="87"/>
      <c r="AL269" s="85"/>
      <c r="AM269" s="85"/>
      <c r="AN269" s="91">
        <f>G269+SUM(I269:AL269)-SUM(I270:AL270)</f>
        <v>0</v>
      </c>
      <c r="AO269" s="53"/>
      <c r="AP269" s="53"/>
    </row>
    <row r="270">
      <c r="A270" s="96"/>
      <c r="B270" s="17"/>
      <c r="C270" s="17"/>
      <c r="D270" s="17"/>
      <c r="E270" s="17"/>
      <c r="F270" s="18"/>
      <c r="G270" s="87"/>
      <c r="H270" s="88" t="s">
        <v>23</v>
      </c>
      <c r="I270" s="85"/>
      <c r="J270" s="85"/>
      <c r="K270" s="87"/>
      <c r="L270" s="85"/>
      <c r="M270" s="85"/>
      <c r="N270" s="87"/>
      <c r="O270" s="87"/>
      <c r="P270" s="87"/>
      <c r="Q270" s="85"/>
      <c r="R270" s="87"/>
      <c r="S270" s="87"/>
      <c r="T270" s="85"/>
      <c r="U270" s="87"/>
      <c r="V270" s="87"/>
      <c r="W270" s="87"/>
      <c r="X270" s="85"/>
      <c r="Y270" s="85"/>
      <c r="Z270" s="87"/>
      <c r="AA270" s="85"/>
      <c r="AB270" s="85"/>
      <c r="AC270" s="87"/>
      <c r="AD270" s="87"/>
      <c r="AE270" s="85"/>
      <c r="AF270" s="85"/>
      <c r="AG270" s="85"/>
      <c r="AH270" s="85"/>
      <c r="AI270" s="85"/>
      <c r="AJ270" s="85"/>
      <c r="AK270" s="87"/>
      <c r="AL270" s="85"/>
      <c r="AM270" s="85"/>
      <c r="AN270" s="32"/>
      <c r="AO270" s="53"/>
      <c r="AP270" s="53"/>
    </row>
    <row r="271">
      <c r="A271" s="87"/>
      <c r="B271" s="87"/>
      <c r="C271" s="87"/>
      <c r="D271" s="87"/>
      <c r="E271" s="85"/>
      <c r="F271" s="87"/>
      <c r="G271" s="87"/>
      <c r="H271" s="87"/>
      <c r="I271" s="85"/>
      <c r="J271" s="85"/>
      <c r="K271" s="87"/>
      <c r="L271" s="85"/>
      <c r="M271" s="85"/>
      <c r="N271" s="87"/>
      <c r="O271" s="87"/>
      <c r="P271" s="87"/>
      <c r="Q271" s="85"/>
      <c r="R271" s="87"/>
      <c r="S271" s="87"/>
      <c r="T271" s="85"/>
      <c r="U271" s="87"/>
      <c r="V271" s="87"/>
      <c r="W271" s="87"/>
      <c r="X271" s="85"/>
      <c r="Y271" s="85"/>
      <c r="Z271" s="87"/>
      <c r="AA271" s="85"/>
      <c r="AB271" s="85"/>
      <c r="AC271" s="87"/>
      <c r="AD271" s="87"/>
      <c r="AE271" s="85"/>
      <c r="AF271" s="85"/>
      <c r="AG271" s="85"/>
      <c r="AH271" s="85"/>
      <c r="AI271" s="85"/>
      <c r="AJ271" s="85"/>
      <c r="AK271" s="87"/>
      <c r="AL271" s="85"/>
      <c r="AM271" s="85"/>
      <c r="AN271" s="87"/>
      <c r="AO271" s="53"/>
      <c r="AP271" s="53"/>
    </row>
    <row r="272">
      <c r="A272" s="24" t="s">
        <v>124</v>
      </c>
      <c r="B272" s="17"/>
      <c r="C272" s="17"/>
      <c r="D272" s="18"/>
      <c r="E272" s="57"/>
      <c r="F272" s="25" t="s">
        <v>125</v>
      </c>
      <c r="G272" s="28">
        <v>2.0</v>
      </c>
      <c r="H272" s="7" t="s">
        <v>22</v>
      </c>
      <c r="I272" s="26"/>
      <c r="J272" s="26"/>
      <c r="K272" s="7"/>
      <c r="L272" s="26"/>
      <c r="M272" s="26"/>
      <c r="N272" s="7"/>
      <c r="O272" s="7"/>
      <c r="P272" s="7"/>
      <c r="Q272" s="26"/>
      <c r="R272" s="28"/>
      <c r="S272" s="28"/>
      <c r="T272" s="27"/>
      <c r="U272" s="28"/>
      <c r="V272" s="28"/>
      <c r="W272" s="28"/>
      <c r="X272" s="27"/>
      <c r="Y272" s="27"/>
      <c r="Z272" s="28"/>
      <c r="AA272" s="27"/>
      <c r="AB272" s="27"/>
      <c r="AC272" s="28"/>
      <c r="AD272" s="28"/>
      <c r="AE272" s="27"/>
      <c r="AF272" s="27"/>
      <c r="AG272" s="27"/>
      <c r="AH272" s="27"/>
      <c r="AI272" s="27"/>
      <c r="AJ272" s="27"/>
      <c r="AK272" s="28">
        <v>11.0</v>
      </c>
      <c r="AL272" s="27"/>
      <c r="AM272" s="27"/>
      <c r="AN272" s="29">
        <f>G272+SUM(I272:AL272)-SUM(I273:AL273)</f>
        <v>10</v>
      </c>
      <c r="AO272" s="53"/>
      <c r="AP272" s="53"/>
    </row>
    <row r="273">
      <c r="A273" s="31"/>
      <c r="B273" s="17"/>
      <c r="C273" s="17"/>
      <c r="D273" s="17"/>
      <c r="E273" s="17"/>
      <c r="F273" s="18"/>
      <c r="G273" s="27"/>
      <c r="H273" s="7" t="s">
        <v>23</v>
      </c>
      <c r="I273" s="26"/>
      <c r="J273" s="26"/>
      <c r="K273" s="7"/>
      <c r="L273" s="26"/>
      <c r="M273" s="26"/>
      <c r="N273" s="7"/>
      <c r="O273" s="7"/>
      <c r="P273" s="7"/>
      <c r="Q273" s="26"/>
      <c r="R273" s="28"/>
      <c r="S273" s="28"/>
      <c r="T273" s="27"/>
      <c r="U273" s="28"/>
      <c r="V273" s="28"/>
      <c r="W273" s="28"/>
      <c r="X273" s="27"/>
      <c r="Y273" s="27"/>
      <c r="Z273" s="28"/>
      <c r="AA273" s="27"/>
      <c r="AB273" s="27"/>
      <c r="AC273" s="28"/>
      <c r="AD273" s="28"/>
      <c r="AE273" s="27"/>
      <c r="AF273" s="28">
        <v>1.0</v>
      </c>
      <c r="AG273" s="27"/>
      <c r="AH273" s="27"/>
      <c r="AI273" s="27"/>
      <c r="AJ273" s="28">
        <v>1.0</v>
      </c>
      <c r="AK273" s="28">
        <v>1.0</v>
      </c>
      <c r="AL273" s="27"/>
      <c r="AM273" s="27"/>
      <c r="AN273" s="32"/>
    </row>
    <row r="274">
      <c r="A274" s="33"/>
      <c r="B274" s="33"/>
      <c r="C274" s="33"/>
      <c r="D274" s="33"/>
      <c r="E274" s="57"/>
      <c r="F274" s="25"/>
      <c r="G274" s="28"/>
      <c r="H274" s="7"/>
      <c r="I274" s="36"/>
      <c r="J274" s="36"/>
      <c r="K274" s="35"/>
      <c r="L274" s="36"/>
      <c r="M274" s="36"/>
      <c r="N274" s="35"/>
      <c r="O274" s="35"/>
      <c r="P274" s="35"/>
      <c r="Q274" s="36"/>
      <c r="R274" s="38"/>
      <c r="S274" s="38"/>
      <c r="T274" s="10"/>
      <c r="U274" s="38"/>
      <c r="V274" s="38"/>
      <c r="W274" s="38"/>
      <c r="X274" s="10"/>
      <c r="Y274" s="10"/>
      <c r="Z274" s="38"/>
      <c r="AA274" s="10"/>
      <c r="AB274" s="10"/>
      <c r="AC274" s="38"/>
      <c r="AD274" s="38"/>
      <c r="AE274" s="6"/>
      <c r="AF274" s="42"/>
      <c r="AG274" s="10"/>
      <c r="AH274" s="10"/>
      <c r="AI274" s="10"/>
      <c r="AJ274" s="27"/>
      <c r="AK274" s="27"/>
      <c r="AL274" s="27"/>
      <c r="AM274" s="27"/>
      <c r="AN274" s="39"/>
      <c r="AO274" s="53"/>
      <c r="AP274" s="53"/>
    </row>
    <row r="275">
      <c r="A275" s="24" t="s">
        <v>126</v>
      </c>
      <c r="B275" s="17"/>
      <c r="C275" s="17"/>
      <c r="D275" s="18"/>
      <c r="E275" s="57"/>
      <c r="F275" s="25" t="s">
        <v>125</v>
      </c>
      <c r="G275" s="28">
        <v>5.0</v>
      </c>
      <c r="H275" s="7" t="s">
        <v>22</v>
      </c>
      <c r="I275" s="26"/>
      <c r="J275" s="26"/>
      <c r="K275" s="7"/>
      <c r="L275" s="26"/>
      <c r="M275" s="26"/>
      <c r="N275" s="7"/>
      <c r="O275" s="7"/>
      <c r="P275" s="7"/>
      <c r="Q275" s="26"/>
      <c r="R275" s="28"/>
      <c r="S275" s="28"/>
      <c r="T275" s="27"/>
      <c r="U275" s="28"/>
      <c r="V275" s="28"/>
      <c r="W275" s="28"/>
      <c r="X275" s="27"/>
      <c r="Y275" s="27"/>
      <c r="Z275" s="28"/>
      <c r="AA275" s="27"/>
      <c r="AB275" s="27"/>
      <c r="AC275" s="28"/>
      <c r="AD275" s="28"/>
      <c r="AE275" s="27"/>
      <c r="AF275" s="28"/>
      <c r="AG275" s="27"/>
      <c r="AH275" s="27"/>
      <c r="AI275" s="27"/>
      <c r="AJ275" s="27"/>
      <c r="AK275" s="27"/>
      <c r="AL275" s="27"/>
      <c r="AM275" s="27"/>
      <c r="AN275" s="29">
        <f>G275+SUM(I275:AL275)-SUM(I276:AL276)</f>
        <v>-1</v>
      </c>
      <c r="AO275" s="53"/>
      <c r="AP275" s="53"/>
    </row>
    <row r="276">
      <c r="A276" s="31"/>
      <c r="B276" s="17"/>
      <c r="C276" s="17"/>
      <c r="D276" s="17"/>
      <c r="E276" s="17"/>
      <c r="F276" s="18"/>
      <c r="G276" s="27"/>
      <c r="H276" s="7" t="s">
        <v>23</v>
      </c>
      <c r="I276" s="26"/>
      <c r="J276" s="26"/>
      <c r="K276" s="7"/>
      <c r="L276" s="26"/>
      <c r="M276" s="26"/>
      <c r="N276" s="7"/>
      <c r="O276" s="7"/>
      <c r="P276" s="7"/>
      <c r="Q276" s="26"/>
      <c r="R276" s="28"/>
      <c r="S276" s="28"/>
      <c r="T276" s="27"/>
      <c r="U276" s="28"/>
      <c r="V276" s="28"/>
      <c r="W276" s="28"/>
      <c r="X276" s="27"/>
      <c r="Y276" s="27"/>
      <c r="Z276" s="28"/>
      <c r="AA276" s="27"/>
      <c r="AB276" s="27"/>
      <c r="AC276" s="28"/>
      <c r="AD276" s="28"/>
      <c r="AE276" s="27"/>
      <c r="AF276" s="28">
        <v>1.0</v>
      </c>
      <c r="AG276" s="28">
        <v>1.0</v>
      </c>
      <c r="AH276" s="28">
        <v>1.0</v>
      </c>
      <c r="AI276" s="28">
        <v>1.0</v>
      </c>
      <c r="AJ276" s="28">
        <v>1.0</v>
      </c>
      <c r="AK276" s="28">
        <v>1.0</v>
      </c>
      <c r="AL276" s="27"/>
      <c r="AM276" s="27"/>
      <c r="AN276" s="32"/>
    </row>
    <row r="277">
      <c r="A277" s="97"/>
      <c r="B277" s="97"/>
      <c r="C277" s="97"/>
      <c r="D277" s="97"/>
      <c r="E277" s="97"/>
      <c r="F277" s="97"/>
      <c r="G277" s="97"/>
      <c r="H277" s="97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9"/>
      <c r="AF277" s="99"/>
      <c r="AG277" s="99"/>
      <c r="AH277" s="99"/>
      <c r="AI277" s="99"/>
      <c r="AJ277" s="97"/>
      <c r="AK277" s="97"/>
      <c r="AL277" s="97"/>
      <c r="AM277" s="97"/>
      <c r="AN277" s="97"/>
    </row>
  </sheetData>
  <mergeCells count="431">
    <mergeCell ref="AO97:AO98"/>
    <mergeCell ref="AP97:AP98"/>
    <mergeCell ref="AN90:AN91"/>
    <mergeCell ref="AO90:AO91"/>
    <mergeCell ref="AP90:AP91"/>
    <mergeCell ref="AN94:AN95"/>
    <mergeCell ref="AO94:AO95"/>
    <mergeCell ref="AP94:AP95"/>
    <mergeCell ref="AN97:AN98"/>
    <mergeCell ref="AO126:AO127"/>
    <mergeCell ref="AP126:AP127"/>
    <mergeCell ref="AN120:AN121"/>
    <mergeCell ref="AO120:AO121"/>
    <mergeCell ref="AP120:AP121"/>
    <mergeCell ref="AN123:AN124"/>
    <mergeCell ref="AO123:AO124"/>
    <mergeCell ref="AP123:AP124"/>
    <mergeCell ref="AN126:AN127"/>
    <mergeCell ref="AO135:AO136"/>
    <mergeCell ref="AP135:AP136"/>
    <mergeCell ref="AN129:AN130"/>
    <mergeCell ref="AO129:AO130"/>
    <mergeCell ref="AP129:AP130"/>
    <mergeCell ref="AN132:AN133"/>
    <mergeCell ref="AO132:AO133"/>
    <mergeCell ref="AP132:AP133"/>
    <mergeCell ref="AN135:AN136"/>
    <mergeCell ref="AO144:AO145"/>
    <mergeCell ref="AP144:AP145"/>
    <mergeCell ref="AN138:AN139"/>
    <mergeCell ref="AO138:AO139"/>
    <mergeCell ref="AP138:AP139"/>
    <mergeCell ref="AN141:AN142"/>
    <mergeCell ref="AO141:AO142"/>
    <mergeCell ref="AP141:AP142"/>
    <mergeCell ref="AN144:AN145"/>
    <mergeCell ref="AO153:AO154"/>
    <mergeCell ref="AP153:AP154"/>
    <mergeCell ref="AN147:AN148"/>
    <mergeCell ref="AO147:AO148"/>
    <mergeCell ref="AP147:AP148"/>
    <mergeCell ref="AN150:AN151"/>
    <mergeCell ref="AO150:AO151"/>
    <mergeCell ref="AP150:AP151"/>
    <mergeCell ref="AN153:AN154"/>
    <mergeCell ref="AO162:AO163"/>
    <mergeCell ref="AP162:AP163"/>
    <mergeCell ref="AN156:AN157"/>
    <mergeCell ref="AO156:AO157"/>
    <mergeCell ref="AP156:AP157"/>
    <mergeCell ref="AN159:AN160"/>
    <mergeCell ref="AO159:AO160"/>
    <mergeCell ref="AP159:AP160"/>
    <mergeCell ref="AN162:AN163"/>
    <mergeCell ref="AO171:AO172"/>
    <mergeCell ref="AP171:AP172"/>
    <mergeCell ref="AN165:AN166"/>
    <mergeCell ref="AO165:AO166"/>
    <mergeCell ref="AP165:AP166"/>
    <mergeCell ref="AN168:AN169"/>
    <mergeCell ref="AO168:AO169"/>
    <mergeCell ref="AP168:AP169"/>
    <mergeCell ref="AN171:AN172"/>
    <mergeCell ref="A190:D190"/>
    <mergeCell ref="A191:F191"/>
    <mergeCell ref="A193:D193"/>
    <mergeCell ref="A194:F194"/>
    <mergeCell ref="A196:D196"/>
    <mergeCell ref="A197:F197"/>
    <mergeCell ref="A199:D199"/>
    <mergeCell ref="A200:F200"/>
    <mergeCell ref="A202:D202"/>
    <mergeCell ref="A203:F203"/>
    <mergeCell ref="A205:D205"/>
    <mergeCell ref="A206:F206"/>
    <mergeCell ref="A208:D208"/>
    <mergeCell ref="A209:F209"/>
    <mergeCell ref="A211:D211"/>
    <mergeCell ref="A212:F212"/>
    <mergeCell ref="A214:D214"/>
    <mergeCell ref="A215:F215"/>
    <mergeCell ref="A217:D217"/>
    <mergeCell ref="A218:F218"/>
    <mergeCell ref="A220:G220"/>
    <mergeCell ref="A221:D221"/>
    <mergeCell ref="A222:F222"/>
    <mergeCell ref="A224:D224"/>
    <mergeCell ref="A225:F225"/>
    <mergeCell ref="A227:G227"/>
    <mergeCell ref="A228:D228"/>
    <mergeCell ref="A229:F229"/>
    <mergeCell ref="A231:G231"/>
    <mergeCell ref="A232:D232"/>
    <mergeCell ref="A233:F233"/>
    <mergeCell ref="A235:D235"/>
    <mergeCell ref="A236:F236"/>
    <mergeCell ref="A238:D238"/>
    <mergeCell ref="A241:G241"/>
    <mergeCell ref="A242:D242"/>
    <mergeCell ref="A243:F243"/>
    <mergeCell ref="A245:D245"/>
    <mergeCell ref="A246:F246"/>
    <mergeCell ref="A248:D248"/>
    <mergeCell ref="A249:F249"/>
    <mergeCell ref="A251:D251"/>
    <mergeCell ref="A264:F264"/>
    <mergeCell ref="A267:F267"/>
    <mergeCell ref="A270:F270"/>
    <mergeCell ref="A272:D272"/>
    <mergeCell ref="A273:F273"/>
    <mergeCell ref="A275:D275"/>
    <mergeCell ref="A276:F276"/>
    <mergeCell ref="A252:F252"/>
    <mergeCell ref="A254:D254"/>
    <mergeCell ref="A255:F255"/>
    <mergeCell ref="A257:D257"/>
    <mergeCell ref="A258:F258"/>
    <mergeCell ref="A260:D260"/>
    <mergeCell ref="A261:F261"/>
    <mergeCell ref="A117:D117"/>
    <mergeCell ref="A118:F118"/>
    <mergeCell ref="A120:D120"/>
    <mergeCell ref="A121:F121"/>
    <mergeCell ref="A123:D123"/>
    <mergeCell ref="A124:F124"/>
    <mergeCell ref="A126:D126"/>
    <mergeCell ref="A127:F127"/>
    <mergeCell ref="A129:D129"/>
    <mergeCell ref="A130:F130"/>
    <mergeCell ref="A132:D132"/>
    <mergeCell ref="A133:F133"/>
    <mergeCell ref="A135:D135"/>
    <mergeCell ref="A136:F136"/>
    <mergeCell ref="A138:D138"/>
    <mergeCell ref="A139:F139"/>
    <mergeCell ref="A141:D141"/>
    <mergeCell ref="A142:F142"/>
    <mergeCell ref="A144:D144"/>
    <mergeCell ref="A145:F145"/>
    <mergeCell ref="A147:D147"/>
    <mergeCell ref="A148:F148"/>
    <mergeCell ref="A150:D150"/>
    <mergeCell ref="A151:F151"/>
    <mergeCell ref="A153:D153"/>
    <mergeCell ref="A154:F154"/>
    <mergeCell ref="A156:D156"/>
    <mergeCell ref="A157:F157"/>
    <mergeCell ref="A159:D159"/>
    <mergeCell ref="A160:F160"/>
    <mergeCell ref="A162:D162"/>
    <mergeCell ref="A163:F163"/>
    <mergeCell ref="A165:D165"/>
    <mergeCell ref="A166:F166"/>
    <mergeCell ref="A168:D168"/>
    <mergeCell ref="A169:F169"/>
    <mergeCell ref="A171:D171"/>
    <mergeCell ref="A172:F172"/>
    <mergeCell ref="A174:D174"/>
    <mergeCell ref="A175:F175"/>
    <mergeCell ref="A177:D177"/>
    <mergeCell ref="A178:F178"/>
    <mergeCell ref="A180:D180"/>
    <mergeCell ref="A181:F181"/>
    <mergeCell ref="A183:D183"/>
    <mergeCell ref="A184:F184"/>
    <mergeCell ref="A186:F186"/>
    <mergeCell ref="A187:D187"/>
    <mergeCell ref="A188:F188"/>
    <mergeCell ref="P3:R3"/>
    <mergeCell ref="A5:E5"/>
    <mergeCell ref="A7:E7"/>
    <mergeCell ref="A9:F9"/>
    <mergeCell ref="AN10:AN11"/>
    <mergeCell ref="AO10:AO11"/>
    <mergeCell ref="AP10:AP11"/>
    <mergeCell ref="AO19:AO20"/>
    <mergeCell ref="AP19:AP20"/>
    <mergeCell ref="A10:D10"/>
    <mergeCell ref="A11:F11"/>
    <mergeCell ref="A13:D13"/>
    <mergeCell ref="A14:F14"/>
    <mergeCell ref="A16:D16"/>
    <mergeCell ref="A17:F17"/>
    <mergeCell ref="A19:D19"/>
    <mergeCell ref="AN13:AN14"/>
    <mergeCell ref="AO13:AO14"/>
    <mergeCell ref="AP13:AP14"/>
    <mergeCell ref="AN16:AN17"/>
    <mergeCell ref="AO16:AO17"/>
    <mergeCell ref="AP16:AP17"/>
    <mergeCell ref="AN19:AN20"/>
    <mergeCell ref="A20:F20"/>
    <mergeCell ref="A22:D22"/>
    <mergeCell ref="A23:F23"/>
    <mergeCell ref="A25:D25"/>
    <mergeCell ref="A26:F26"/>
    <mergeCell ref="A28:D28"/>
    <mergeCell ref="A29:F29"/>
    <mergeCell ref="AN32:AN33"/>
    <mergeCell ref="AO32:AO33"/>
    <mergeCell ref="AP32:AP33"/>
    <mergeCell ref="A31:F31"/>
    <mergeCell ref="A32:D32"/>
    <mergeCell ref="A33:F33"/>
    <mergeCell ref="A35:D35"/>
    <mergeCell ref="A36:F36"/>
    <mergeCell ref="A38:D38"/>
    <mergeCell ref="A39:F39"/>
    <mergeCell ref="AO59:AO60"/>
    <mergeCell ref="AP59:AP60"/>
    <mergeCell ref="AN53:AN54"/>
    <mergeCell ref="AO53:AO54"/>
    <mergeCell ref="AP53:AP54"/>
    <mergeCell ref="AN56:AN57"/>
    <mergeCell ref="AO56:AO57"/>
    <mergeCell ref="AP56:AP57"/>
    <mergeCell ref="AN59:AN60"/>
    <mergeCell ref="AO68:AO69"/>
    <mergeCell ref="AP68:AP69"/>
    <mergeCell ref="AN62:AN63"/>
    <mergeCell ref="AO62:AO63"/>
    <mergeCell ref="AP62:AP63"/>
    <mergeCell ref="AN65:AN66"/>
    <mergeCell ref="AO65:AO66"/>
    <mergeCell ref="AP65:AP66"/>
    <mergeCell ref="AN68:AN69"/>
    <mergeCell ref="AO77:AO78"/>
    <mergeCell ref="AP77:AP78"/>
    <mergeCell ref="AN71:AN72"/>
    <mergeCell ref="AO71:AO72"/>
    <mergeCell ref="AP71:AP72"/>
    <mergeCell ref="AN74:AN75"/>
    <mergeCell ref="AO74:AO75"/>
    <mergeCell ref="AP74:AP75"/>
    <mergeCell ref="AN77:AN78"/>
    <mergeCell ref="AO87:AO88"/>
    <mergeCell ref="AP87:AP88"/>
    <mergeCell ref="AN80:AN81"/>
    <mergeCell ref="AO80:AO81"/>
    <mergeCell ref="AP80:AP81"/>
    <mergeCell ref="AN84:AN85"/>
    <mergeCell ref="AO84:AO85"/>
    <mergeCell ref="AP84:AP85"/>
    <mergeCell ref="AN87:AN88"/>
    <mergeCell ref="AO107:AO108"/>
    <mergeCell ref="AP107:AP108"/>
    <mergeCell ref="AN101:AN102"/>
    <mergeCell ref="AO101:AO102"/>
    <mergeCell ref="AP101:AP102"/>
    <mergeCell ref="AN104:AN105"/>
    <mergeCell ref="AO104:AO105"/>
    <mergeCell ref="AP104:AP105"/>
    <mergeCell ref="AN107:AN108"/>
    <mergeCell ref="A41:D41"/>
    <mergeCell ref="A42:F42"/>
    <mergeCell ref="A44:D44"/>
    <mergeCell ref="A45:F45"/>
    <mergeCell ref="A47:D47"/>
    <mergeCell ref="A48:F48"/>
    <mergeCell ref="A50:D50"/>
    <mergeCell ref="A51:F51"/>
    <mergeCell ref="A53:D53"/>
    <mergeCell ref="A54:F54"/>
    <mergeCell ref="A56:D56"/>
    <mergeCell ref="A57:F57"/>
    <mergeCell ref="A59:D59"/>
    <mergeCell ref="A60:F60"/>
    <mergeCell ref="A62:D62"/>
    <mergeCell ref="A63:F63"/>
    <mergeCell ref="A65:D65"/>
    <mergeCell ref="A66:F66"/>
    <mergeCell ref="A68:D68"/>
    <mergeCell ref="A69:F69"/>
    <mergeCell ref="A71:D71"/>
    <mergeCell ref="A72:F72"/>
    <mergeCell ref="A74:D74"/>
    <mergeCell ref="A75:F75"/>
    <mergeCell ref="A77:D77"/>
    <mergeCell ref="A78:F78"/>
    <mergeCell ref="A80:D80"/>
    <mergeCell ref="A83:F83"/>
    <mergeCell ref="A84:D84"/>
    <mergeCell ref="A85:F85"/>
    <mergeCell ref="A87:D87"/>
    <mergeCell ref="A88:F88"/>
    <mergeCell ref="A90:D90"/>
    <mergeCell ref="A93:F93"/>
    <mergeCell ref="A94:D94"/>
    <mergeCell ref="A95:F95"/>
    <mergeCell ref="A97:D97"/>
    <mergeCell ref="A100:F100"/>
    <mergeCell ref="A101:D101"/>
    <mergeCell ref="A102:F102"/>
    <mergeCell ref="A104:D104"/>
    <mergeCell ref="A105:F105"/>
    <mergeCell ref="A107:D107"/>
    <mergeCell ref="A108:F108"/>
    <mergeCell ref="A110:D110"/>
    <mergeCell ref="A111:F111"/>
    <mergeCell ref="A113:F113"/>
    <mergeCell ref="A114:D114"/>
    <mergeCell ref="A115:F115"/>
    <mergeCell ref="AO228:AO229"/>
    <mergeCell ref="AP228:AP229"/>
    <mergeCell ref="AN221:AN222"/>
    <mergeCell ref="AO221:AO222"/>
    <mergeCell ref="AP221:AP222"/>
    <mergeCell ref="AN224:AN225"/>
    <mergeCell ref="AO224:AO225"/>
    <mergeCell ref="AP224:AP225"/>
    <mergeCell ref="AN228:AN229"/>
    <mergeCell ref="AO248:AO249"/>
    <mergeCell ref="AP248:AP249"/>
    <mergeCell ref="AN242:AN243"/>
    <mergeCell ref="AO242:AO243"/>
    <mergeCell ref="AP242:AP243"/>
    <mergeCell ref="AN245:AN246"/>
    <mergeCell ref="AO245:AO246"/>
    <mergeCell ref="AP245:AP246"/>
    <mergeCell ref="AN248:AN249"/>
    <mergeCell ref="AO257:AO258"/>
    <mergeCell ref="AP257:AP258"/>
    <mergeCell ref="AN251:AN252"/>
    <mergeCell ref="AO251:AO252"/>
    <mergeCell ref="AP251:AP252"/>
    <mergeCell ref="AN254:AN255"/>
    <mergeCell ref="AO254:AO255"/>
    <mergeCell ref="AP254:AP255"/>
    <mergeCell ref="AN257:AN258"/>
    <mergeCell ref="AO272:AO273"/>
    <mergeCell ref="AP272:AP273"/>
    <mergeCell ref="AN260:AN261"/>
    <mergeCell ref="AO260:AO261"/>
    <mergeCell ref="AP260:AP261"/>
    <mergeCell ref="AN263:AN264"/>
    <mergeCell ref="AN266:AN267"/>
    <mergeCell ref="AN269:AN270"/>
    <mergeCell ref="AN272:AN273"/>
    <mergeCell ref="AO28:AO29"/>
    <mergeCell ref="AP28:AP29"/>
    <mergeCell ref="AN22:AN23"/>
    <mergeCell ref="AO22:AO23"/>
    <mergeCell ref="AP22:AP23"/>
    <mergeCell ref="AN25:AN26"/>
    <mergeCell ref="AO25:AO26"/>
    <mergeCell ref="AP25:AP26"/>
    <mergeCell ref="AN28:AN29"/>
    <mergeCell ref="AO41:AO42"/>
    <mergeCell ref="AP41:AP42"/>
    <mergeCell ref="AN35:AN36"/>
    <mergeCell ref="AO35:AO36"/>
    <mergeCell ref="AP35:AP36"/>
    <mergeCell ref="AN38:AN39"/>
    <mergeCell ref="AO38:AO39"/>
    <mergeCell ref="AP38:AP39"/>
    <mergeCell ref="AN41:AN42"/>
    <mergeCell ref="AO50:AO51"/>
    <mergeCell ref="AP50:AP51"/>
    <mergeCell ref="AN44:AN45"/>
    <mergeCell ref="AO44:AO45"/>
    <mergeCell ref="AP44:AP45"/>
    <mergeCell ref="AN47:AN48"/>
    <mergeCell ref="AO47:AO48"/>
    <mergeCell ref="AP47:AP48"/>
    <mergeCell ref="AN50:AN51"/>
    <mergeCell ref="AN275:AN276"/>
    <mergeCell ref="AO275:AO276"/>
    <mergeCell ref="AP275:AP276"/>
    <mergeCell ref="AO117:AO118"/>
    <mergeCell ref="AP117:AP118"/>
    <mergeCell ref="AN110:AN111"/>
    <mergeCell ref="AO110:AO111"/>
    <mergeCell ref="AP110:AP111"/>
    <mergeCell ref="AN114:AN115"/>
    <mergeCell ref="AO114:AO115"/>
    <mergeCell ref="AP114:AP115"/>
    <mergeCell ref="AN117:AN118"/>
    <mergeCell ref="AO180:AO181"/>
    <mergeCell ref="AP180:AP181"/>
    <mergeCell ref="AN174:AN175"/>
    <mergeCell ref="AO174:AO175"/>
    <mergeCell ref="AP174:AP175"/>
    <mergeCell ref="AN177:AN178"/>
    <mergeCell ref="AO177:AO178"/>
    <mergeCell ref="AP177:AP178"/>
    <mergeCell ref="AN180:AN181"/>
    <mergeCell ref="AO190:AO191"/>
    <mergeCell ref="AP190:AP191"/>
    <mergeCell ref="AN183:AN184"/>
    <mergeCell ref="AO183:AO184"/>
    <mergeCell ref="AP183:AP184"/>
    <mergeCell ref="AP186:AP187"/>
    <mergeCell ref="AN187:AN188"/>
    <mergeCell ref="AO187:AO188"/>
    <mergeCell ref="AN190:AN191"/>
    <mergeCell ref="AO199:AO200"/>
    <mergeCell ref="AP199:AP200"/>
    <mergeCell ref="AN193:AN194"/>
    <mergeCell ref="AO193:AO194"/>
    <mergeCell ref="AP193:AP194"/>
    <mergeCell ref="AN196:AN197"/>
    <mergeCell ref="AO196:AO197"/>
    <mergeCell ref="AP196:AP197"/>
    <mergeCell ref="AN199:AN200"/>
    <mergeCell ref="AO208:AO209"/>
    <mergeCell ref="AP208:AP209"/>
    <mergeCell ref="AN202:AN203"/>
    <mergeCell ref="AO202:AO203"/>
    <mergeCell ref="AP202:AP203"/>
    <mergeCell ref="AN205:AN206"/>
    <mergeCell ref="AO205:AO206"/>
    <mergeCell ref="AP205:AP206"/>
    <mergeCell ref="AN208:AN209"/>
    <mergeCell ref="AO217:AO218"/>
    <mergeCell ref="AP217:AP218"/>
    <mergeCell ref="AN211:AN212"/>
    <mergeCell ref="AO211:AO212"/>
    <mergeCell ref="AP211:AP212"/>
    <mergeCell ref="AN214:AN215"/>
    <mergeCell ref="AO214:AO215"/>
    <mergeCell ref="AP214:AP215"/>
    <mergeCell ref="AN217:AN218"/>
    <mergeCell ref="AO238:AO239"/>
    <mergeCell ref="AP238:AP239"/>
    <mergeCell ref="AN232:AN233"/>
    <mergeCell ref="AO232:AO233"/>
    <mergeCell ref="AP232:AP233"/>
    <mergeCell ref="AN235:AN236"/>
    <mergeCell ref="AO235:AO236"/>
    <mergeCell ref="AP235:AP236"/>
    <mergeCell ref="AN238:AN239"/>
  </mergeCells>
  <conditionalFormatting sqref="AO10:AP276">
    <cfRule type="colorScale" priority="1">
      <colorScale>
        <cfvo type="min"/>
        <cfvo type="formula" val="8"/>
        <cfvo type="formula" val="268.1"/>
        <color rgb="FFE67C73"/>
        <color rgb="FFFFFFFF"/>
        <color rgb="FF57BB8A"/>
      </colorScale>
    </cfRule>
  </conditionalFormatting>
  <conditionalFormatting sqref="AP6:AP276">
    <cfRule type="colorScale" priority="2">
      <colorScale>
        <cfvo type="percentile" val="0"/>
        <cfvo type="percentile" val="50"/>
        <cfvo type="percentile" val="100"/>
        <color rgb="FFFF0000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8.0" topLeftCell="J9" activePane="bottomRight" state="frozen"/>
      <selection activeCell="J1" sqref="J1" pane="topRight"/>
      <selection activeCell="A9" sqref="A9" pane="bottomLeft"/>
      <selection activeCell="J9" sqref="J9" pane="bottomRight"/>
    </sheetView>
  </sheetViews>
  <sheetFormatPr customHeight="1" defaultColWidth="12.63" defaultRowHeight="15.75"/>
  <cols>
    <col customWidth="1" min="1" max="1" width="9.38"/>
    <col customWidth="1" min="2" max="2" width="10.5"/>
    <col customWidth="1" min="4" max="4" width="0.38"/>
    <col customWidth="1" min="5" max="5" width="3.5"/>
    <col customWidth="1" min="6" max="6" width="4.75"/>
    <col customWidth="1" min="7" max="7" width="7.25"/>
    <col customWidth="1" min="8" max="8" width="4.25"/>
    <col customWidth="1" min="9" max="11" width="5.88"/>
    <col customWidth="1" min="12" max="12" width="7.75"/>
    <col customWidth="1" min="13" max="14" width="5.88"/>
    <col customWidth="1" min="15" max="15" width="6.13"/>
    <col customWidth="1" min="16" max="38" width="5.88"/>
    <col customWidth="1" min="39" max="39" width="5.75"/>
    <col customWidth="1" min="40" max="40" width="12.63"/>
    <col customWidth="1" min="41" max="41" width="13.38"/>
    <col customWidth="1" min="42" max="42" width="2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>
      <c r="A3" s="2"/>
      <c r="B3" s="2"/>
      <c r="C3" s="1"/>
      <c r="D3" s="2"/>
      <c r="E3" s="2"/>
      <c r="F3" s="2"/>
      <c r="G3" s="2"/>
      <c r="H3" s="2"/>
      <c r="I3" s="2"/>
      <c r="J3" s="1" t="s">
        <v>3</v>
      </c>
      <c r="K3" s="2"/>
      <c r="L3" s="4" t="s">
        <v>4</v>
      </c>
      <c r="M3" s="4">
        <v>873.0</v>
      </c>
      <c r="N3" s="2"/>
      <c r="O3" s="28" t="s">
        <v>5</v>
      </c>
      <c r="P3" s="100">
        <v>45504.0</v>
      </c>
      <c r="Q3" s="17"/>
      <c r="R3" s="18"/>
      <c r="S3" s="2"/>
      <c r="T3" s="2"/>
      <c r="U3" s="1" t="s">
        <v>6</v>
      </c>
      <c r="V3" s="2"/>
      <c r="W3" s="2"/>
      <c r="X3" s="2"/>
      <c r="Y3" s="2"/>
      <c r="AA3" s="6"/>
      <c r="AB3" s="2"/>
      <c r="AC3" s="2"/>
      <c r="AD3" s="2"/>
      <c r="AE3" s="2"/>
      <c r="AF3" s="2"/>
      <c r="AG3" s="2"/>
      <c r="AH3" s="2"/>
      <c r="AI3" s="2"/>
      <c r="AJ3" s="2"/>
      <c r="AK3" s="1"/>
      <c r="AM3" s="2"/>
      <c r="AN3" s="2"/>
      <c r="AO3" s="2"/>
      <c r="AP3" s="2"/>
    </row>
    <row r="4">
      <c r="F4" s="2"/>
      <c r="G4" s="7" t="s">
        <v>7</v>
      </c>
      <c r="H4" s="7">
        <v>30.0</v>
      </c>
      <c r="I4" s="8"/>
      <c r="J4" s="8"/>
      <c r="K4" s="8"/>
      <c r="L4" s="7" t="s">
        <v>8</v>
      </c>
      <c r="M4" s="7">
        <v>874.0</v>
      </c>
      <c r="N4" s="8"/>
      <c r="O4" s="9"/>
      <c r="P4" s="8"/>
      <c r="Q4" s="8"/>
      <c r="R4" s="2"/>
      <c r="S4" s="2"/>
      <c r="T4" s="2"/>
      <c r="U4" s="1" t="s">
        <v>9</v>
      </c>
      <c r="V4" s="2"/>
      <c r="W4" s="2"/>
      <c r="X4" s="2"/>
      <c r="Y4" s="2"/>
      <c r="Z4" s="2"/>
      <c r="AA4" s="10"/>
      <c r="AB4" s="2"/>
      <c r="AC4" s="2"/>
      <c r="AD4" s="2"/>
      <c r="AF4" s="2"/>
      <c r="AG4" s="2"/>
      <c r="AH4" s="2"/>
      <c r="AI4" s="2"/>
      <c r="AJ4" s="2"/>
      <c r="AK4" s="1"/>
      <c r="AM4" s="1"/>
      <c r="AN4" s="1"/>
      <c r="AO4" s="2"/>
      <c r="AP4" s="2"/>
    </row>
    <row r="5">
      <c r="A5" s="11" t="s">
        <v>127</v>
      </c>
      <c r="F5" s="2"/>
      <c r="G5" s="8"/>
      <c r="H5" s="8"/>
      <c r="I5" s="8"/>
      <c r="J5" s="8"/>
      <c r="K5" s="8"/>
      <c r="L5" s="7" t="s">
        <v>11</v>
      </c>
      <c r="M5" s="7">
        <v>873.0</v>
      </c>
      <c r="N5" s="8"/>
      <c r="O5" s="8"/>
      <c r="P5" s="8"/>
      <c r="Q5" s="8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F5" s="1"/>
      <c r="AG5" s="1"/>
      <c r="AH5" s="2"/>
      <c r="AI5" s="1"/>
      <c r="AJ5" s="2"/>
      <c r="AK5" s="1"/>
      <c r="AM5" s="1"/>
      <c r="AN5" s="1"/>
      <c r="AO5" s="2"/>
      <c r="AP5" s="2"/>
    </row>
    <row r="6">
      <c r="A6" s="2"/>
      <c r="B6" s="2"/>
      <c r="C6" s="2"/>
      <c r="D6" s="2"/>
      <c r="E6" s="12"/>
      <c r="F6" s="12"/>
      <c r="G6" s="8"/>
      <c r="H6" s="8"/>
      <c r="I6" s="8"/>
      <c r="J6" s="8"/>
      <c r="K6" s="8"/>
      <c r="L6" s="7" t="s">
        <v>12</v>
      </c>
      <c r="M6" s="7">
        <v>873.0</v>
      </c>
      <c r="N6" s="8"/>
      <c r="O6" s="8"/>
      <c r="P6" s="8"/>
      <c r="Q6" s="8"/>
      <c r="R6" s="2"/>
      <c r="S6" s="2"/>
      <c r="T6" s="2"/>
      <c r="U6" s="1" t="s">
        <v>128</v>
      </c>
      <c r="V6" s="2"/>
      <c r="W6" s="2"/>
      <c r="X6" s="2"/>
      <c r="Y6" s="2"/>
      <c r="Z6" s="2"/>
      <c r="AA6" s="101"/>
      <c r="AB6" s="2"/>
      <c r="AC6" s="2"/>
      <c r="AD6" s="2"/>
      <c r="AE6" s="2"/>
      <c r="AF6" s="2"/>
      <c r="AG6" s="2"/>
      <c r="AH6" s="2"/>
      <c r="AI6" s="2"/>
      <c r="AJ6" s="2"/>
      <c r="AK6" s="1"/>
      <c r="AL6" s="2"/>
      <c r="AM6" s="2"/>
      <c r="AN6" s="2"/>
      <c r="AO6" s="2"/>
      <c r="AP6" s="2"/>
    </row>
    <row r="7">
      <c r="A7" s="13" t="s">
        <v>13</v>
      </c>
      <c r="F7" s="12" t="s">
        <v>14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>
      <c r="A8" s="2"/>
      <c r="B8" s="2"/>
      <c r="C8" s="2"/>
      <c r="D8" s="2"/>
      <c r="E8" s="2"/>
      <c r="F8" s="2"/>
      <c r="G8" s="12" t="s">
        <v>129</v>
      </c>
      <c r="H8" s="8"/>
      <c r="I8" s="14">
        <v>45474.0</v>
      </c>
      <c r="J8" s="14">
        <v>45475.0</v>
      </c>
      <c r="K8" s="14">
        <v>45476.0</v>
      </c>
      <c r="L8" s="14">
        <v>45477.0</v>
      </c>
      <c r="M8" s="14">
        <v>45478.0</v>
      </c>
      <c r="N8" s="14">
        <v>45479.0</v>
      </c>
      <c r="O8" s="14">
        <v>45480.0</v>
      </c>
      <c r="P8" s="14">
        <v>45481.0</v>
      </c>
      <c r="Q8" s="14">
        <v>45482.0</v>
      </c>
      <c r="R8" s="14">
        <v>45483.0</v>
      </c>
      <c r="S8" s="14">
        <v>45484.0</v>
      </c>
      <c r="T8" s="14">
        <v>45485.0</v>
      </c>
      <c r="U8" s="14">
        <v>45486.0</v>
      </c>
      <c r="V8" s="14">
        <v>45487.0</v>
      </c>
      <c r="W8" s="14">
        <v>45488.0</v>
      </c>
      <c r="X8" s="14">
        <v>45489.0</v>
      </c>
      <c r="Y8" s="14">
        <v>45490.0</v>
      </c>
      <c r="Z8" s="14">
        <v>45491.0</v>
      </c>
      <c r="AA8" s="14">
        <v>45492.0</v>
      </c>
      <c r="AB8" s="14">
        <v>45493.0</v>
      </c>
      <c r="AC8" s="14">
        <v>45494.0</v>
      </c>
      <c r="AD8" s="14">
        <v>45495.0</v>
      </c>
      <c r="AE8" s="14">
        <v>45496.0</v>
      </c>
      <c r="AF8" s="14">
        <v>45497.0</v>
      </c>
      <c r="AG8" s="14">
        <v>45498.0</v>
      </c>
      <c r="AH8" s="14">
        <v>45499.0</v>
      </c>
      <c r="AI8" s="14">
        <v>45500.0</v>
      </c>
      <c r="AJ8" s="14">
        <v>45501.0</v>
      </c>
      <c r="AK8" s="14">
        <v>45502.0</v>
      </c>
      <c r="AL8" s="14">
        <v>45503.0</v>
      </c>
      <c r="AM8" s="14">
        <v>45504.0</v>
      </c>
      <c r="AN8" s="13" t="s">
        <v>16</v>
      </c>
      <c r="AO8" s="13" t="s">
        <v>17</v>
      </c>
      <c r="AP8" s="13" t="s">
        <v>18</v>
      </c>
    </row>
    <row r="9">
      <c r="A9" s="16" t="s">
        <v>19</v>
      </c>
      <c r="B9" s="17"/>
      <c r="C9" s="17"/>
      <c r="D9" s="17"/>
      <c r="E9" s="17"/>
      <c r="F9" s="17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/>
      <c r="S9" s="103"/>
      <c r="T9" s="103"/>
      <c r="U9" s="103"/>
      <c r="V9" s="103"/>
      <c r="W9" s="103"/>
      <c r="X9" s="103"/>
      <c r="Y9" s="103"/>
      <c r="Z9" s="103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5"/>
      <c r="AO9" s="23"/>
      <c r="AP9" s="23"/>
    </row>
    <row r="10">
      <c r="A10" s="24" t="s">
        <v>130</v>
      </c>
      <c r="B10" s="17"/>
      <c r="C10" s="17"/>
      <c r="D10" s="18"/>
      <c r="E10" s="106">
        <v>1.0</v>
      </c>
      <c r="F10" s="106" t="s">
        <v>21</v>
      </c>
      <c r="G10" s="107">
        <v>120.0</v>
      </c>
      <c r="H10" s="107" t="s">
        <v>22</v>
      </c>
      <c r="I10" s="108"/>
      <c r="J10" s="108"/>
      <c r="K10" s="109">
        <v>120.0</v>
      </c>
      <c r="L10" s="108"/>
      <c r="M10" s="109">
        <v>120.0</v>
      </c>
      <c r="N10" s="108"/>
      <c r="O10" s="109"/>
      <c r="P10" s="108"/>
      <c r="Q10" s="109">
        <v>240.0</v>
      </c>
      <c r="R10" s="110"/>
      <c r="S10" s="110"/>
      <c r="T10" s="111">
        <v>180.0</v>
      </c>
      <c r="U10" s="111"/>
      <c r="V10" s="110"/>
      <c r="W10" s="110"/>
      <c r="X10" s="110"/>
      <c r="Y10" s="111">
        <v>120.0</v>
      </c>
      <c r="Z10" s="110"/>
      <c r="AA10" s="110"/>
      <c r="AB10" s="110"/>
      <c r="AC10" s="110"/>
      <c r="AD10" s="110"/>
      <c r="AE10" s="111">
        <v>120.0</v>
      </c>
      <c r="AF10" s="110"/>
      <c r="AG10" s="110"/>
      <c r="AH10" s="110"/>
      <c r="AI10" s="110"/>
      <c r="AJ10" s="110"/>
      <c r="AK10" s="111">
        <v>120.0</v>
      </c>
      <c r="AL10" s="112"/>
      <c r="AM10" s="112"/>
      <c r="AN10" s="113">
        <f>G10+SUM(I10:AM10)-SUM(I11:AM11)</f>
        <v>300</v>
      </c>
      <c r="AO10" s="30">
        <f>ROUNDDOWN((AN10/E10)/$H$4,1)</f>
        <v>10</v>
      </c>
      <c r="AP10" s="30">
        <f>$M$4+AO10</f>
        <v>884</v>
      </c>
    </row>
    <row r="11">
      <c r="A11" s="31"/>
      <c r="B11" s="17"/>
      <c r="C11" s="17"/>
      <c r="D11" s="17"/>
      <c r="E11" s="17"/>
      <c r="F11" s="18"/>
      <c r="G11" s="114"/>
      <c r="H11" s="107" t="s">
        <v>23</v>
      </c>
      <c r="I11" s="108"/>
      <c r="J11" s="108"/>
      <c r="K11" s="108">
        <f>240</f>
        <v>240</v>
      </c>
      <c r="L11" s="108"/>
      <c r="M11" s="108"/>
      <c r="N11" s="108"/>
      <c r="O11" s="108"/>
      <c r="P11" s="109"/>
      <c r="Q11" s="108"/>
      <c r="R11" s="110"/>
      <c r="S11" s="110"/>
      <c r="T11" s="111">
        <v>300.0</v>
      </c>
      <c r="U11" s="110"/>
      <c r="V11" s="110"/>
      <c r="W11" s="110"/>
      <c r="X11" s="110"/>
      <c r="Y11" s="110"/>
      <c r="Z11" s="110"/>
      <c r="AA11" s="111"/>
      <c r="AB11" s="111">
        <v>300.0</v>
      </c>
      <c r="AC11" s="110"/>
      <c r="AD11" s="112"/>
      <c r="AE11" s="110"/>
      <c r="AF11" s="110"/>
      <c r="AG11" s="110"/>
      <c r="AH11" s="110"/>
      <c r="AI11" s="110"/>
      <c r="AJ11" s="111"/>
      <c r="AK11" s="110"/>
      <c r="AL11" s="112"/>
      <c r="AM11" s="112"/>
      <c r="AN11" s="32"/>
    </row>
    <row r="12">
      <c r="A12" s="33"/>
      <c r="B12" s="33"/>
      <c r="C12" s="33"/>
      <c r="D12" s="33"/>
      <c r="E12" s="106"/>
      <c r="F12" s="106"/>
      <c r="G12" s="115"/>
      <c r="H12" s="107"/>
      <c r="I12" s="116"/>
      <c r="J12" s="117"/>
      <c r="K12" s="118"/>
      <c r="L12" s="117"/>
      <c r="M12" s="118"/>
      <c r="N12" s="117"/>
      <c r="O12" s="114"/>
      <c r="P12" s="117"/>
      <c r="Q12" s="117"/>
      <c r="R12" s="119"/>
      <c r="S12" s="119"/>
      <c r="T12" s="120"/>
      <c r="U12" s="119"/>
      <c r="V12" s="111"/>
      <c r="W12" s="119"/>
      <c r="X12" s="119"/>
      <c r="Y12" s="119"/>
      <c r="Z12" s="119"/>
      <c r="AA12" s="119"/>
      <c r="AB12" s="120"/>
      <c r="AC12" s="110"/>
      <c r="AD12" s="119"/>
      <c r="AE12" s="119"/>
      <c r="AF12" s="119"/>
      <c r="AG12" s="119"/>
      <c r="AH12" s="121"/>
      <c r="AI12" s="119"/>
      <c r="AJ12" s="110"/>
      <c r="AK12" s="120"/>
      <c r="AL12" s="119"/>
      <c r="AM12" s="119"/>
      <c r="AN12" s="122"/>
      <c r="AO12" s="30"/>
      <c r="AP12" s="30"/>
    </row>
    <row r="13">
      <c r="A13" s="24" t="s">
        <v>24</v>
      </c>
      <c r="B13" s="17"/>
      <c r="C13" s="17"/>
      <c r="D13" s="18"/>
      <c r="E13" s="106">
        <v>1.0</v>
      </c>
      <c r="F13" s="106" t="s">
        <v>21</v>
      </c>
      <c r="G13" s="115">
        <v>1080.0</v>
      </c>
      <c r="H13" s="107" t="s">
        <v>22</v>
      </c>
      <c r="I13" s="109"/>
      <c r="J13" s="108"/>
      <c r="K13" s="108"/>
      <c r="L13" s="108"/>
      <c r="M13" s="108"/>
      <c r="N13" s="108"/>
      <c r="O13" s="114"/>
      <c r="P13" s="108"/>
      <c r="Q13" s="108"/>
      <c r="R13" s="110"/>
      <c r="S13" s="110"/>
      <c r="T13" s="111">
        <v>510.0</v>
      </c>
      <c r="U13" s="110"/>
      <c r="V13" s="111"/>
      <c r="W13" s="110"/>
      <c r="X13" s="110"/>
      <c r="Y13" s="110"/>
      <c r="Z13" s="110"/>
      <c r="AA13" s="111">
        <v>200.0</v>
      </c>
      <c r="AB13" s="110"/>
      <c r="AC13" s="110"/>
      <c r="AD13" s="110"/>
      <c r="AE13" s="111">
        <v>310.0</v>
      </c>
      <c r="AF13" s="110"/>
      <c r="AG13" s="110"/>
      <c r="AH13" s="110"/>
      <c r="AI13" s="110"/>
      <c r="AJ13" s="110"/>
      <c r="AK13" s="110"/>
      <c r="AL13" s="112"/>
      <c r="AM13" s="112"/>
      <c r="AN13" s="113">
        <f>G13+SUM(I13:AM13)-SUM(I14:AM14)</f>
        <v>1440</v>
      </c>
      <c r="AO13" s="30">
        <f>ROUNDDOWN((AN13/E13)/$H$4,1)</f>
        <v>48</v>
      </c>
      <c r="AP13" s="30">
        <f>$M$4+AO13</f>
        <v>922</v>
      </c>
    </row>
    <row r="14">
      <c r="A14" s="31"/>
      <c r="B14" s="17"/>
      <c r="C14" s="17"/>
      <c r="D14" s="17"/>
      <c r="E14" s="17"/>
      <c r="F14" s="18"/>
      <c r="G14" s="123"/>
      <c r="H14" s="107" t="s">
        <v>23</v>
      </c>
      <c r="I14" s="109">
        <v>60.0</v>
      </c>
      <c r="J14" s="109">
        <v>60.0</v>
      </c>
      <c r="K14" s="108"/>
      <c r="L14" s="109">
        <v>60.0</v>
      </c>
      <c r="M14" s="109"/>
      <c r="N14" s="109">
        <v>60.0</v>
      </c>
      <c r="O14" s="107"/>
      <c r="P14" s="109">
        <v>60.0</v>
      </c>
      <c r="Q14" s="108"/>
      <c r="R14" s="110"/>
      <c r="S14" s="111"/>
      <c r="T14" s="111">
        <v>60.0</v>
      </c>
      <c r="U14" s="110"/>
      <c r="V14" s="111"/>
      <c r="W14" s="111">
        <v>60.0</v>
      </c>
      <c r="X14" s="111">
        <v>60.0</v>
      </c>
      <c r="Y14" s="110"/>
      <c r="Z14" s="110"/>
      <c r="AA14" s="111">
        <v>60.0</v>
      </c>
      <c r="AB14" s="111"/>
      <c r="AC14" s="111"/>
      <c r="AD14" s="110"/>
      <c r="AE14" s="111"/>
      <c r="AF14" s="110"/>
      <c r="AG14" s="111">
        <v>60.0</v>
      </c>
      <c r="AH14" s="111"/>
      <c r="AI14" s="110"/>
      <c r="AJ14" s="111"/>
      <c r="AK14" s="111">
        <v>60.0</v>
      </c>
      <c r="AL14" s="112"/>
      <c r="AM14" s="112"/>
      <c r="AN14" s="32"/>
    </row>
    <row r="15">
      <c r="A15" s="33"/>
      <c r="B15" s="33"/>
      <c r="C15" s="33"/>
      <c r="D15" s="33"/>
      <c r="E15" s="106"/>
      <c r="F15" s="106"/>
      <c r="G15" s="107"/>
      <c r="H15" s="107"/>
      <c r="I15" s="124"/>
      <c r="J15" s="118"/>
      <c r="K15" s="117"/>
      <c r="L15" s="118"/>
      <c r="M15" s="117"/>
      <c r="N15" s="118"/>
      <c r="O15" s="107"/>
      <c r="P15" s="118"/>
      <c r="Q15" s="117"/>
      <c r="R15" s="119"/>
      <c r="S15" s="119"/>
      <c r="T15" s="120"/>
      <c r="U15" s="119"/>
      <c r="V15" s="111"/>
      <c r="W15" s="120"/>
      <c r="X15" s="120"/>
      <c r="Y15" s="119"/>
      <c r="Z15" s="119"/>
      <c r="AA15" s="120"/>
      <c r="AB15" s="119"/>
      <c r="AC15" s="110"/>
      <c r="AD15" s="119"/>
      <c r="AE15" s="120"/>
      <c r="AF15" s="119"/>
      <c r="AG15" s="120"/>
      <c r="AH15" s="119"/>
      <c r="AI15" s="119"/>
      <c r="AJ15" s="110"/>
      <c r="AK15" s="120"/>
      <c r="AL15" s="119"/>
      <c r="AM15" s="119"/>
      <c r="AN15" s="122"/>
      <c r="AO15" s="30"/>
      <c r="AP15" s="30"/>
    </row>
    <row r="16">
      <c r="A16" s="24" t="s">
        <v>25</v>
      </c>
      <c r="B16" s="17"/>
      <c r="C16" s="17"/>
      <c r="D16" s="18"/>
      <c r="E16" s="106">
        <v>4.0</v>
      </c>
      <c r="F16" s="106" t="s">
        <v>21</v>
      </c>
      <c r="G16" s="107">
        <v>2868.0</v>
      </c>
      <c r="H16" s="107" t="s">
        <v>22</v>
      </c>
      <c r="I16" s="109"/>
      <c r="J16" s="108"/>
      <c r="K16" s="108"/>
      <c r="L16" s="108"/>
      <c r="M16" s="108"/>
      <c r="N16" s="108"/>
      <c r="O16" s="107"/>
      <c r="P16" s="108"/>
      <c r="Q16" s="108"/>
      <c r="R16" s="110"/>
      <c r="S16" s="110"/>
      <c r="T16" s="111">
        <v>600.0</v>
      </c>
      <c r="U16" s="110"/>
      <c r="V16" s="111"/>
      <c r="W16" s="110"/>
      <c r="X16" s="110"/>
      <c r="Y16" s="110"/>
      <c r="Z16" s="110"/>
      <c r="AA16" s="111">
        <v>800.0</v>
      </c>
      <c r="AB16" s="110"/>
      <c r="AC16" s="110"/>
      <c r="AD16" s="110"/>
      <c r="AE16" s="111">
        <v>520.0</v>
      </c>
      <c r="AF16" s="110"/>
      <c r="AG16" s="110"/>
      <c r="AH16" s="111">
        <v>1160.0</v>
      </c>
      <c r="AI16" s="112"/>
      <c r="AJ16" s="110"/>
      <c r="AK16" s="110"/>
      <c r="AL16" s="112"/>
      <c r="AM16" s="112"/>
      <c r="AN16" s="113">
        <f>G16+SUM(I16:AM16)-SUM(I17:AM17)</f>
        <v>3548</v>
      </c>
      <c r="AO16" s="30">
        <f>ROUNDDOWN((AN16/E16)/$H$4,1)</f>
        <v>29.5</v>
      </c>
      <c r="AP16" s="30">
        <f>$M$4+AO16</f>
        <v>903.5</v>
      </c>
    </row>
    <row r="17">
      <c r="A17" s="31"/>
      <c r="B17" s="17"/>
      <c r="C17" s="17"/>
      <c r="D17" s="17"/>
      <c r="E17" s="17"/>
      <c r="F17" s="18"/>
      <c r="G17" s="114"/>
      <c r="H17" s="107" t="s">
        <v>23</v>
      </c>
      <c r="I17" s="109"/>
      <c r="J17" s="109">
        <v>240.0</v>
      </c>
      <c r="K17" s="109">
        <v>240.0</v>
      </c>
      <c r="L17" s="108"/>
      <c r="M17" s="109">
        <v>240.0</v>
      </c>
      <c r="N17" s="109"/>
      <c r="O17" s="114"/>
      <c r="P17" s="109">
        <v>240.0</v>
      </c>
      <c r="Q17" s="108"/>
      <c r="R17" s="110"/>
      <c r="S17" s="110"/>
      <c r="T17" s="110"/>
      <c r="U17" s="111">
        <v>240.0</v>
      </c>
      <c r="V17" s="110"/>
      <c r="W17" s="110"/>
      <c r="X17" s="111">
        <v>240.0</v>
      </c>
      <c r="Y17" s="110"/>
      <c r="Z17" s="111">
        <v>240.0</v>
      </c>
      <c r="AA17" s="111"/>
      <c r="AB17" s="111">
        <v>240.0</v>
      </c>
      <c r="AC17" s="111"/>
      <c r="AD17" s="110"/>
      <c r="AE17" s="110"/>
      <c r="AF17" s="111"/>
      <c r="AG17" s="110"/>
      <c r="AH17" s="111">
        <v>240.0</v>
      </c>
      <c r="AI17" s="110"/>
      <c r="AJ17" s="111"/>
      <c r="AK17" s="110"/>
      <c r="AL17" s="125">
        <v>240.0</v>
      </c>
      <c r="AM17" s="112"/>
      <c r="AN17" s="32"/>
    </row>
    <row r="18">
      <c r="A18" s="33"/>
      <c r="B18" s="33"/>
      <c r="C18" s="33"/>
      <c r="D18" s="33"/>
      <c r="E18" s="106"/>
      <c r="F18" s="106"/>
      <c r="G18" s="126"/>
      <c r="H18" s="107"/>
      <c r="I18" s="117"/>
      <c r="J18" s="118"/>
      <c r="K18" s="118"/>
      <c r="L18" s="117"/>
      <c r="M18" s="118"/>
      <c r="N18" s="117"/>
      <c r="O18" s="114"/>
      <c r="P18" s="118"/>
      <c r="Q18" s="117"/>
      <c r="R18" s="119"/>
      <c r="S18" s="121"/>
      <c r="T18" s="119"/>
      <c r="U18" s="127"/>
      <c r="V18" s="110"/>
      <c r="W18" s="121"/>
      <c r="X18" s="120"/>
      <c r="Y18" s="119"/>
      <c r="Z18" s="120"/>
      <c r="AA18" s="119"/>
      <c r="AB18" s="120"/>
      <c r="AC18" s="110"/>
      <c r="AD18" s="119"/>
      <c r="AE18" s="120"/>
      <c r="AF18" s="119"/>
      <c r="AG18" s="119"/>
      <c r="AH18" s="120"/>
      <c r="AI18" s="119"/>
      <c r="AJ18" s="110"/>
      <c r="AK18" s="119"/>
      <c r="AL18" s="120"/>
      <c r="AM18" s="119"/>
      <c r="AN18" s="122"/>
      <c r="AO18" s="30"/>
      <c r="AP18" s="30"/>
    </row>
    <row r="19">
      <c r="A19" s="24" t="s">
        <v>26</v>
      </c>
      <c r="B19" s="17"/>
      <c r="C19" s="17"/>
      <c r="D19" s="18"/>
      <c r="E19" s="106">
        <v>5.0</v>
      </c>
      <c r="F19" s="106" t="s">
        <v>21</v>
      </c>
      <c r="G19" s="126">
        <v>929.0</v>
      </c>
      <c r="H19" s="107" t="s">
        <v>22</v>
      </c>
      <c r="I19" s="108"/>
      <c r="J19" s="108"/>
      <c r="K19" s="108"/>
      <c r="L19" s="108"/>
      <c r="M19" s="109">
        <v>900.0</v>
      </c>
      <c r="N19" s="108"/>
      <c r="O19" s="114"/>
      <c r="P19" s="108"/>
      <c r="Q19" s="109">
        <v>450.0</v>
      </c>
      <c r="R19" s="110"/>
      <c r="S19" s="111"/>
      <c r="T19" s="110"/>
      <c r="U19" s="111"/>
      <c r="V19" s="110"/>
      <c r="W19" s="110"/>
      <c r="X19" s="111">
        <v>450.0</v>
      </c>
      <c r="Y19" s="110"/>
      <c r="Z19" s="110"/>
      <c r="AA19" s="110"/>
      <c r="AB19" s="111">
        <v>600.0</v>
      </c>
      <c r="AC19" s="110"/>
      <c r="AD19" s="110"/>
      <c r="AE19" s="110"/>
      <c r="AF19" s="110"/>
      <c r="AG19" s="111">
        <v>600.0</v>
      </c>
      <c r="AH19" s="110"/>
      <c r="AI19" s="110"/>
      <c r="AJ19" s="110"/>
      <c r="AK19" s="110"/>
      <c r="AL19" s="112"/>
      <c r="AM19" s="112"/>
      <c r="AN19" s="113">
        <f>G19+SUM(I19:AM19)-SUM(I20:AM20)</f>
        <v>989</v>
      </c>
      <c r="AO19" s="30">
        <f>ROUNDDOWN((AN19/E19)/$H$4,1)</f>
        <v>6.5</v>
      </c>
      <c r="AP19" s="30">
        <f>$M$4+AO19</f>
        <v>880.5</v>
      </c>
    </row>
    <row r="20">
      <c r="A20" s="31"/>
      <c r="B20" s="17"/>
      <c r="C20" s="17"/>
      <c r="D20" s="17"/>
      <c r="E20" s="17"/>
      <c r="F20" s="18"/>
      <c r="G20" s="114"/>
      <c r="H20" s="107" t="s">
        <v>23</v>
      </c>
      <c r="I20" s="109">
        <v>120.0</v>
      </c>
      <c r="J20" s="109">
        <v>120.0</v>
      </c>
      <c r="K20" s="109">
        <v>270.0</v>
      </c>
      <c r="L20" s="109">
        <v>120.0</v>
      </c>
      <c r="M20" s="109"/>
      <c r="N20" s="109">
        <f>120+270</f>
        <v>390</v>
      </c>
      <c r="O20" s="107"/>
      <c r="P20" s="109">
        <v>120.0</v>
      </c>
      <c r="Q20" s="108"/>
      <c r="R20" s="110"/>
      <c r="S20" s="111">
        <v>270.0</v>
      </c>
      <c r="T20" s="111">
        <v>120.0</v>
      </c>
      <c r="U20" s="110"/>
      <c r="V20" s="111"/>
      <c r="W20" s="111">
        <v>120.0</v>
      </c>
      <c r="X20" s="111">
        <f>270+120</f>
        <v>390</v>
      </c>
      <c r="Y20" s="110"/>
      <c r="Z20" s="111">
        <v>270.0</v>
      </c>
      <c r="AA20" s="111">
        <v>120.0</v>
      </c>
      <c r="AB20" s="111"/>
      <c r="AC20" s="111"/>
      <c r="AD20" s="110"/>
      <c r="AE20" s="110"/>
      <c r="AF20" s="111"/>
      <c r="AG20" s="111">
        <v>120.0</v>
      </c>
      <c r="AH20" s="111">
        <v>270.0</v>
      </c>
      <c r="AI20" s="111"/>
      <c r="AJ20" s="111"/>
      <c r="AK20" s="111">
        <v>120.0</v>
      </c>
      <c r="AL20" s="112"/>
      <c r="AM20" s="112"/>
      <c r="AN20" s="32"/>
    </row>
    <row r="21">
      <c r="A21" s="33"/>
      <c r="B21" s="33"/>
      <c r="C21" s="33"/>
      <c r="D21" s="33"/>
      <c r="E21" s="106"/>
      <c r="F21" s="106"/>
      <c r="G21" s="107"/>
      <c r="H21" s="107"/>
      <c r="I21" s="118"/>
      <c r="J21" s="118"/>
      <c r="K21" s="118"/>
      <c r="L21" s="118"/>
      <c r="M21" s="118"/>
      <c r="N21" s="118"/>
      <c r="O21" s="114"/>
      <c r="P21" s="118"/>
      <c r="Q21" s="117"/>
      <c r="R21" s="119"/>
      <c r="S21" s="120"/>
      <c r="T21" s="120"/>
      <c r="U21" s="119"/>
      <c r="V21" s="110"/>
      <c r="W21" s="120"/>
      <c r="X21" s="120"/>
      <c r="Y21" s="119"/>
      <c r="Z21" s="120"/>
      <c r="AA21" s="120"/>
      <c r="AB21" s="119"/>
      <c r="AC21" s="110"/>
      <c r="AD21" s="119"/>
      <c r="AE21" s="119"/>
      <c r="AF21" s="119"/>
      <c r="AG21" s="120"/>
      <c r="AH21" s="120"/>
      <c r="AI21" s="119"/>
      <c r="AJ21" s="110"/>
      <c r="AK21" s="120"/>
      <c r="AL21" s="119"/>
      <c r="AM21" s="119"/>
      <c r="AN21" s="122"/>
      <c r="AO21" s="30"/>
      <c r="AP21" s="30"/>
    </row>
    <row r="22">
      <c r="A22" s="24" t="s">
        <v>27</v>
      </c>
      <c r="B22" s="17"/>
      <c r="C22" s="17"/>
      <c r="D22" s="18"/>
      <c r="E22" s="106">
        <v>4.0</v>
      </c>
      <c r="F22" s="106" t="s">
        <v>21</v>
      </c>
      <c r="G22" s="107">
        <v>0.0</v>
      </c>
      <c r="H22" s="107" t="s">
        <v>22</v>
      </c>
      <c r="I22" s="109">
        <v>480.0</v>
      </c>
      <c r="J22" s="108"/>
      <c r="K22" s="109">
        <v>480.0</v>
      </c>
      <c r="L22" s="108"/>
      <c r="M22" s="108"/>
      <c r="N22" s="108"/>
      <c r="O22" s="114"/>
      <c r="P22" s="109">
        <v>480.0</v>
      </c>
      <c r="Q22" s="108"/>
      <c r="R22" s="111">
        <v>480.0</v>
      </c>
      <c r="S22" s="110"/>
      <c r="T22" s="111">
        <v>720.0</v>
      </c>
      <c r="U22" s="110"/>
      <c r="V22" s="110"/>
      <c r="W22" s="110"/>
      <c r="X22" s="110"/>
      <c r="Y22" s="111">
        <v>720.0</v>
      </c>
      <c r="Z22" s="110"/>
      <c r="AA22" s="110"/>
      <c r="AB22" s="110"/>
      <c r="AC22" s="110"/>
      <c r="AD22" s="111">
        <v>720.0</v>
      </c>
      <c r="AE22" s="110"/>
      <c r="AF22" s="111">
        <v>720.0</v>
      </c>
      <c r="AG22" s="110"/>
      <c r="AH22" s="110"/>
      <c r="AI22" s="110"/>
      <c r="AJ22" s="110"/>
      <c r="AK22" s="111">
        <v>720.0</v>
      </c>
      <c r="AL22" s="112"/>
      <c r="AM22" s="112"/>
      <c r="AN22" s="113">
        <f>G22+SUM(I22:AM22)-SUM(I23:AM23)</f>
        <v>3120</v>
      </c>
      <c r="AO22" s="30">
        <f>ROUNDDOWN((AN22/E22)/$H$4,1)</f>
        <v>26</v>
      </c>
      <c r="AP22" s="30">
        <f>$M$4+AO22</f>
        <v>900</v>
      </c>
    </row>
    <row r="23">
      <c r="A23" s="31"/>
      <c r="B23" s="17"/>
      <c r="C23" s="17"/>
      <c r="D23" s="17"/>
      <c r="E23" s="17"/>
      <c r="F23" s="18"/>
      <c r="G23" s="114"/>
      <c r="H23" s="107" t="s">
        <v>23</v>
      </c>
      <c r="I23" s="109">
        <v>240.0</v>
      </c>
      <c r="J23" s="109">
        <v>240.0</v>
      </c>
      <c r="K23" s="108"/>
      <c r="L23" s="109">
        <v>240.0</v>
      </c>
      <c r="M23" s="109"/>
      <c r="N23" s="109">
        <v>240.0</v>
      </c>
      <c r="O23" s="107"/>
      <c r="P23" s="109">
        <v>240.0</v>
      </c>
      <c r="Q23" s="108"/>
      <c r="R23" s="110"/>
      <c r="S23" s="111"/>
      <c r="T23" s="111">
        <v>240.0</v>
      </c>
      <c r="U23" s="110"/>
      <c r="V23" s="111"/>
      <c r="W23" s="111">
        <v>240.0</v>
      </c>
      <c r="X23" s="111">
        <v>240.0</v>
      </c>
      <c r="Y23" s="110"/>
      <c r="Z23" s="110"/>
      <c r="AA23" s="111">
        <v>240.0</v>
      </c>
      <c r="AB23" s="111"/>
      <c r="AC23" s="111"/>
      <c r="AD23" s="110"/>
      <c r="AE23" s="110"/>
      <c r="AF23" s="110"/>
      <c r="AG23" s="111">
        <v>240.0</v>
      </c>
      <c r="AH23" s="111"/>
      <c r="AI23" s="110"/>
      <c r="AJ23" s="111"/>
      <c r="AK23" s="110"/>
      <c r="AL23" s="112"/>
      <c r="AM23" s="112"/>
      <c r="AN23" s="32"/>
    </row>
    <row r="24">
      <c r="A24" s="33"/>
      <c r="B24" s="33"/>
      <c r="C24" s="33"/>
      <c r="D24" s="33"/>
      <c r="E24" s="106"/>
      <c r="F24" s="106"/>
      <c r="G24" s="107"/>
      <c r="H24" s="107"/>
      <c r="I24" s="124"/>
      <c r="J24" s="118"/>
      <c r="K24" s="118"/>
      <c r="L24" s="118"/>
      <c r="M24" s="117"/>
      <c r="N24" s="118"/>
      <c r="O24" s="114"/>
      <c r="P24" s="118"/>
      <c r="Q24" s="117"/>
      <c r="R24" s="120"/>
      <c r="S24" s="119"/>
      <c r="T24" s="120"/>
      <c r="U24" s="119"/>
      <c r="V24" s="110"/>
      <c r="W24" s="120"/>
      <c r="X24" s="120"/>
      <c r="Y24" s="119"/>
      <c r="Z24" s="119"/>
      <c r="AA24" s="120"/>
      <c r="AB24" s="119"/>
      <c r="AC24" s="110"/>
      <c r="AD24" s="119"/>
      <c r="AE24" s="119"/>
      <c r="AF24" s="119"/>
      <c r="AG24" s="120"/>
      <c r="AH24" s="119"/>
      <c r="AI24" s="119"/>
      <c r="AJ24" s="110"/>
      <c r="AK24" s="120"/>
      <c r="AL24" s="119"/>
      <c r="AM24" s="119"/>
      <c r="AN24" s="122"/>
      <c r="AO24" s="30"/>
      <c r="AP24" s="30"/>
    </row>
    <row r="25">
      <c r="A25" s="24" t="s">
        <v>28</v>
      </c>
      <c r="B25" s="17"/>
      <c r="C25" s="17"/>
      <c r="D25" s="18"/>
      <c r="E25" s="106">
        <v>4.0</v>
      </c>
      <c r="F25" s="106" t="s">
        <v>21</v>
      </c>
      <c r="G25" s="107">
        <v>240.0</v>
      </c>
      <c r="H25" s="107" t="s">
        <v>22</v>
      </c>
      <c r="I25" s="109"/>
      <c r="J25" s="109">
        <v>480.0</v>
      </c>
      <c r="K25" s="108"/>
      <c r="L25" s="108"/>
      <c r="M25" s="109">
        <v>480.0</v>
      </c>
      <c r="N25" s="108"/>
      <c r="O25" s="114"/>
      <c r="P25" s="108"/>
      <c r="Q25" s="108"/>
      <c r="R25" s="111">
        <v>480.0</v>
      </c>
      <c r="S25" s="110"/>
      <c r="T25" s="111">
        <v>480.0</v>
      </c>
      <c r="U25" s="110"/>
      <c r="V25" s="110"/>
      <c r="W25" s="110"/>
      <c r="X25" s="110"/>
      <c r="Y25" s="111">
        <f>120*4</f>
        <v>480</v>
      </c>
      <c r="Z25" s="110"/>
      <c r="AA25" s="110"/>
      <c r="AB25" s="110"/>
      <c r="AC25" s="110"/>
      <c r="AD25" s="111">
        <v>480.0</v>
      </c>
      <c r="AE25" s="110"/>
      <c r="AF25" s="111">
        <v>480.0</v>
      </c>
      <c r="AG25" s="110"/>
      <c r="AH25" s="111">
        <v>720.0</v>
      </c>
      <c r="AI25" s="110"/>
      <c r="AJ25" s="110"/>
      <c r="AK25" s="111">
        <v>480.0</v>
      </c>
      <c r="AL25" s="112"/>
      <c r="AM25" s="125">
        <v>480.0</v>
      </c>
      <c r="AN25" s="113">
        <f>G25+SUM(I25:AM25)-SUM(I26:AM26)</f>
        <v>3180</v>
      </c>
      <c r="AO25" s="30">
        <f>ROUNDDOWN((AN25/E25)/$H$4,1)</f>
        <v>26.5</v>
      </c>
      <c r="AP25" s="30">
        <f>$M$4+AO25</f>
        <v>900.5</v>
      </c>
    </row>
    <row r="26">
      <c r="A26" s="31"/>
      <c r="B26" s="17"/>
      <c r="C26" s="17"/>
      <c r="D26" s="17"/>
      <c r="E26" s="17"/>
      <c r="F26" s="18"/>
      <c r="G26" s="114"/>
      <c r="H26" s="107" t="s">
        <v>23</v>
      </c>
      <c r="I26" s="108"/>
      <c r="J26" s="109">
        <v>540.0</v>
      </c>
      <c r="K26" s="108"/>
      <c r="L26" s="108"/>
      <c r="M26" s="109"/>
      <c r="N26" s="108"/>
      <c r="O26" s="114"/>
      <c r="P26" s="109">
        <v>480.0</v>
      </c>
      <c r="Q26" s="108"/>
      <c r="R26" s="110"/>
      <c r="S26" s="110"/>
      <c r="T26" s="111">
        <v>360.0</v>
      </c>
      <c r="U26" s="110"/>
      <c r="V26" s="110"/>
      <c r="W26" s="110"/>
      <c r="X26" s="110"/>
      <c r="Y26" s="110"/>
      <c r="Z26" s="110"/>
      <c r="AA26" s="111"/>
      <c r="AB26" s="111">
        <v>720.0</v>
      </c>
      <c r="AC26" s="110"/>
      <c r="AD26" s="110"/>
      <c r="AE26" s="110"/>
      <c r="AF26" s="111"/>
      <c r="AG26" s="110"/>
      <c r="AH26" s="110"/>
      <c r="AI26" s="110"/>
      <c r="AJ26" s="111"/>
      <c r="AK26" s="110"/>
      <c r="AL26" s="112"/>
      <c r="AM26" s="112"/>
      <c r="AN26" s="32"/>
    </row>
    <row r="27">
      <c r="A27" s="33"/>
      <c r="B27" s="33"/>
      <c r="C27" s="33"/>
      <c r="D27" s="33"/>
      <c r="E27" s="106"/>
      <c r="F27" s="106"/>
      <c r="G27" s="107"/>
      <c r="H27" s="107"/>
      <c r="I27" s="116"/>
      <c r="J27" s="118"/>
      <c r="K27" s="117"/>
      <c r="L27" s="117"/>
      <c r="M27" s="118"/>
      <c r="N27" s="117"/>
      <c r="O27" s="114"/>
      <c r="P27" s="118"/>
      <c r="Q27" s="117"/>
      <c r="R27" s="120"/>
      <c r="S27" s="121"/>
      <c r="T27" s="120"/>
      <c r="U27" s="119"/>
      <c r="V27" s="111"/>
      <c r="W27" s="119"/>
      <c r="X27" s="119"/>
      <c r="Y27" s="119"/>
      <c r="Z27" s="119"/>
      <c r="AA27" s="119"/>
      <c r="AB27" s="120"/>
      <c r="AC27" s="110"/>
      <c r="AD27" s="119"/>
      <c r="AE27" s="119"/>
      <c r="AF27" s="119"/>
      <c r="AG27" s="119"/>
      <c r="AH27" s="121"/>
      <c r="AI27" s="119"/>
      <c r="AJ27" s="110"/>
      <c r="AK27" s="120"/>
      <c r="AL27" s="119"/>
      <c r="AM27" s="119"/>
      <c r="AN27" s="122"/>
      <c r="AO27" s="30"/>
      <c r="AP27" s="30"/>
    </row>
    <row r="28">
      <c r="A28" s="24" t="s">
        <v>29</v>
      </c>
      <c r="B28" s="17"/>
      <c r="C28" s="17"/>
      <c r="D28" s="18"/>
      <c r="E28" s="106">
        <v>1.0</v>
      </c>
      <c r="F28" s="106" t="s">
        <v>30</v>
      </c>
      <c r="G28" s="107">
        <v>128.0</v>
      </c>
      <c r="H28" s="107" t="s">
        <v>22</v>
      </c>
      <c r="I28" s="109"/>
      <c r="J28" s="109">
        <v>100.0</v>
      </c>
      <c r="K28" s="108"/>
      <c r="L28" s="108"/>
      <c r="M28" s="108"/>
      <c r="N28" s="109">
        <v>110.0</v>
      </c>
      <c r="O28" s="114"/>
      <c r="P28" s="108"/>
      <c r="Q28" s="109">
        <v>100.0</v>
      </c>
      <c r="R28" s="111">
        <v>50.0</v>
      </c>
      <c r="S28" s="111"/>
      <c r="T28" s="110"/>
      <c r="U28" s="110"/>
      <c r="V28" s="111"/>
      <c r="W28" s="110"/>
      <c r="X28" s="111">
        <v>100.0</v>
      </c>
      <c r="Y28" s="110"/>
      <c r="Z28" s="110"/>
      <c r="AA28" s="110"/>
      <c r="AB28" s="111">
        <v>100.0</v>
      </c>
      <c r="AC28" s="110"/>
      <c r="AD28" s="110"/>
      <c r="AE28" s="110"/>
      <c r="AF28" s="111">
        <v>50.0</v>
      </c>
      <c r="AG28" s="110"/>
      <c r="AH28" s="111">
        <v>110.0</v>
      </c>
      <c r="AI28" s="111"/>
      <c r="AJ28" s="110"/>
      <c r="AK28" s="110"/>
      <c r="AL28" s="112"/>
      <c r="AM28" s="125">
        <v>50.0</v>
      </c>
      <c r="AN28" s="113">
        <f>G28+SUM(I28:AM28)-SUM(I29:AM29)</f>
        <v>144</v>
      </c>
      <c r="AO28" s="30">
        <f>ROUNDDOWN((AN28/E28)/$H$4,1)</f>
        <v>4.8</v>
      </c>
      <c r="AP28" s="30">
        <f>$M$4+AO28</f>
        <v>878.8</v>
      </c>
    </row>
    <row r="29">
      <c r="A29" s="31"/>
      <c r="B29" s="17"/>
      <c r="C29" s="17"/>
      <c r="D29" s="17"/>
      <c r="E29" s="17"/>
      <c r="F29" s="18"/>
      <c r="G29" s="114"/>
      <c r="H29" s="107" t="s">
        <v>23</v>
      </c>
      <c r="I29" s="109">
        <v>34.0</v>
      </c>
      <c r="J29" s="109">
        <v>75.0</v>
      </c>
      <c r="K29" s="109">
        <f>20+20</f>
        <v>40</v>
      </c>
      <c r="L29" s="109">
        <f t="shared" ref="L29:N29" si="1">15+20</f>
        <v>35</v>
      </c>
      <c r="M29" s="108">
        <f t="shared" si="1"/>
        <v>35</v>
      </c>
      <c r="N29" s="108">
        <f t="shared" si="1"/>
        <v>35</v>
      </c>
      <c r="O29" s="107"/>
      <c r="P29" s="108">
        <f t="shared" ref="P29:R29" si="2">15+20</f>
        <v>35</v>
      </c>
      <c r="Q29" s="108">
        <f t="shared" si="2"/>
        <v>35</v>
      </c>
      <c r="R29" s="110">
        <f t="shared" si="2"/>
        <v>35</v>
      </c>
      <c r="S29" s="110"/>
      <c r="T29" s="111">
        <v>30.0</v>
      </c>
      <c r="U29" s="111">
        <v>17.0</v>
      </c>
      <c r="V29" s="110"/>
      <c r="W29" s="111">
        <v>27.0</v>
      </c>
      <c r="X29" s="111">
        <v>30.0</v>
      </c>
      <c r="Y29" s="111">
        <v>30.0</v>
      </c>
      <c r="Z29" s="111">
        <v>30.0</v>
      </c>
      <c r="AA29" s="111">
        <v>12.0</v>
      </c>
      <c r="AB29" s="111">
        <v>25.0</v>
      </c>
      <c r="AC29" s="110"/>
      <c r="AD29" s="110">
        <f>15+16</f>
        <v>31</v>
      </c>
      <c r="AE29" s="110">
        <f>15+15</f>
        <v>30</v>
      </c>
      <c r="AF29" s="111">
        <v>15.0</v>
      </c>
      <c r="AG29" s="110">
        <f>16+10</f>
        <v>26</v>
      </c>
      <c r="AH29" s="111">
        <v>15.0</v>
      </c>
      <c r="AI29" s="111">
        <f>11+15</f>
        <v>26</v>
      </c>
      <c r="AJ29" s="110"/>
      <c r="AK29" s="111">
        <v>15.0</v>
      </c>
      <c r="AL29" s="125">
        <v>15.0</v>
      </c>
      <c r="AM29" s="125">
        <f>16+5</f>
        <v>21</v>
      </c>
      <c r="AN29" s="32"/>
    </row>
    <row r="30">
      <c r="A30" s="128"/>
      <c r="B30" s="128"/>
      <c r="C30" s="128"/>
      <c r="D30" s="128"/>
      <c r="E30" s="128"/>
      <c r="F30" s="128"/>
      <c r="G30" s="129"/>
      <c r="H30" s="129"/>
      <c r="I30" s="130"/>
      <c r="J30" s="130"/>
      <c r="K30" s="130"/>
      <c r="L30" s="130"/>
      <c r="M30" s="130"/>
      <c r="N30" s="130"/>
      <c r="O30" s="131"/>
      <c r="P30" s="130"/>
      <c r="Q30" s="130"/>
      <c r="R30" s="120"/>
      <c r="S30" s="119"/>
      <c r="T30" s="120"/>
      <c r="U30" s="120"/>
      <c r="V30" s="110"/>
      <c r="W30" s="120"/>
      <c r="X30" s="120"/>
      <c r="Y30" s="120"/>
      <c r="Z30" s="120"/>
      <c r="AA30" s="120"/>
      <c r="AB30" s="120"/>
      <c r="AC30" s="110"/>
      <c r="AD30" s="120"/>
      <c r="AE30" s="120"/>
      <c r="AF30" s="120"/>
      <c r="AG30" s="120"/>
      <c r="AH30" s="120"/>
      <c r="AI30" s="120"/>
      <c r="AJ30" s="110"/>
      <c r="AK30" s="120"/>
      <c r="AL30" s="120"/>
      <c r="AM30" s="120"/>
      <c r="AN30" s="110"/>
      <c r="AO30" s="49"/>
      <c r="AP30" s="49"/>
    </row>
    <row r="31">
      <c r="A31" s="50" t="s">
        <v>31</v>
      </c>
      <c r="B31" s="17"/>
      <c r="C31" s="17"/>
      <c r="D31" s="17"/>
      <c r="E31" s="17"/>
      <c r="F31" s="17"/>
      <c r="G31" s="132"/>
      <c r="H31" s="132"/>
      <c r="I31" s="133"/>
      <c r="J31" s="133"/>
      <c r="K31" s="133"/>
      <c r="L31" s="133"/>
      <c r="M31" s="133"/>
      <c r="N31" s="133"/>
      <c r="O31" s="133"/>
      <c r="P31" s="133"/>
      <c r="Q31" s="133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5"/>
      <c r="AM31" s="135"/>
      <c r="AN31" s="135"/>
      <c r="AO31" s="52"/>
      <c r="AP31" s="52"/>
    </row>
    <row r="32">
      <c r="A32" s="24" t="s">
        <v>32</v>
      </c>
      <c r="B32" s="17"/>
      <c r="C32" s="17"/>
      <c r="D32" s="18"/>
      <c r="E32" s="106">
        <v>2.0</v>
      </c>
      <c r="F32" s="106" t="s">
        <v>21</v>
      </c>
      <c r="G32" s="107">
        <f>105+26</f>
        <v>131</v>
      </c>
      <c r="H32" s="107" t="s">
        <v>22</v>
      </c>
      <c r="I32" s="109">
        <v>75.0</v>
      </c>
      <c r="J32" s="109">
        <f>30+45+45</f>
        <v>120</v>
      </c>
      <c r="K32" s="109">
        <f>30+45</f>
        <v>75</v>
      </c>
      <c r="L32" s="109">
        <f>15+60</f>
        <v>75</v>
      </c>
      <c r="M32" s="109">
        <v>45.0</v>
      </c>
      <c r="N32" s="109"/>
      <c r="O32" s="114"/>
      <c r="P32" s="109">
        <v>60.0</v>
      </c>
      <c r="Q32" s="109">
        <f>45+30+45</f>
        <v>120</v>
      </c>
      <c r="R32" s="111">
        <f>60+30</f>
        <v>90</v>
      </c>
      <c r="S32" s="111">
        <v>60.0</v>
      </c>
      <c r="T32" s="111">
        <f>60+30</f>
        <v>90</v>
      </c>
      <c r="U32" s="111">
        <v>15.0</v>
      </c>
      <c r="V32" s="111"/>
      <c r="W32" s="111">
        <f>45+15</f>
        <v>60</v>
      </c>
      <c r="X32" s="111">
        <f>45+30</f>
        <v>75</v>
      </c>
      <c r="Y32" s="111">
        <v>30.0</v>
      </c>
      <c r="Z32" s="111">
        <v>60.0</v>
      </c>
      <c r="AA32" s="111">
        <v>45.0</v>
      </c>
      <c r="AB32" s="111">
        <v>30.0</v>
      </c>
      <c r="AC32" s="111"/>
      <c r="AD32" s="111">
        <f>30+15</f>
        <v>45</v>
      </c>
      <c r="AE32" s="111">
        <v>30.0</v>
      </c>
      <c r="AF32" s="111">
        <f>30+30</f>
        <v>60</v>
      </c>
      <c r="AG32" s="111">
        <f>30+15</f>
        <v>45</v>
      </c>
      <c r="AH32" s="111">
        <v>30.0</v>
      </c>
      <c r="AI32" s="111">
        <v>60.0</v>
      </c>
      <c r="AJ32" s="111"/>
      <c r="AK32" s="111">
        <v>45.0</v>
      </c>
      <c r="AL32" s="125">
        <v>60.0</v>
      </c>
      <c r="AM32" s="125">
        <v>45.0</v>
      </c>
      <c r="AN32" s="113">
        <f>G32+SUM(I32:AL32)-SUM(I33:AL33)</f>
        <v>275</v>
      </c>
      <c r="AO32" s="53">
        <f>ROUNDDOWN((AN32/E32)/$H$4,1)</f>
        <v>4.5</v>
      </c>
      <c r="AP32" s="53">
        <f>$M$3+AO32</f>
        <v>877.5</v>
      </c>
    </row>
    <row r="33">
      <c r="A33" s="31"/>
      <c r="B33" s="17"/>
      <c r="C33" s="17"/>
      <c r="D33" s="17"/>
      <c r="E33" s="17"/>
      <c r="F33" s="18"/>
      <c r="G33" s="114"/>
      <c r="H33" s="107" t="s">
        <v>23</v>
      </c>
      <c r="I33" s="109">
        <v>68.0</v>
      </c>
      <c r="J33" s="109">
        <v>70.0</v>
      </c>
      <c r="K33" s="109">
        <f>40+40</f>
        <v>80</v>
      </c>
      <c r="L33" s="109">
        <f>30+40</f>
        <v>70</v>
      </c>
      <c r="M33" s="108">
        <f t="shared" ref="M33:N33" si="3">40+30</f>
        <v>70</v>
      </c>
      <c r="N33" s="108">
        <f t="shared" si="3"/>
        <v>70</v>
      </c>
      <c r="O33" s="107"/>
      <c r="P33" s="108">
        <f t="shared" ref="P33:R33" si="4">40+30</f>
        <v>70</v>
      </c>
      <c r="Q33" s="108">
        <f t="shared" si="4"/>
        <v>70</v>
      </c>
      <c r="R33" s="110">
        <f t="shared" si="4"/>
        <v>70</v>
      </c>
      <c r="S33" s="110"/>
      <c r="T33" s="111">
        <v>60.0</v>
      </c>
      <c r="U33" s="111">
        <v>34.0</v>
      </c>
      <c r="V33" s="110"/>
      <c r="W33" s="111">
        <v>54.0</v>
      </c>
      <c r="X33" s="111">
        <v>60.0</v>
      </c>
      <c r="Y33" s="111">
        <v>60.0</v>
      </c>
      <c r="Z33" s="111">
        <v>60.0</v>
      </c>
      <c r="AA33" s="111">
        <v>24.0</v>
      </c>
      <c r="AB33" s="111">
        <v>50.0</v>
      </c>
      <c r="AC33" s="110"/>
      <c r="AD33" s="110">
        <f>30+32</f>
        <v>62</v>
      </c>
      <c r="AE33" s="110">
        <f>30+30</f>
        <v>60</v>
      </c>
      <c r="AF33" s="111">
        <v>30.0</v>
      </c>
      <c r="AG33" s="111">
        <f>32+20</f>
        <v>52</v>
      </c>
      <c r="AH33" s="111">
        <v>30.0</v>
      </c>
      <c r="AI33" s="125">
        <v>22.0</v>
      </c>
      <c r="AJ33" s="110"/>
      <c r="AK33" s="111">
        <v>30.0</v>
      </c>
      <c r="AL33" s="125">
        <v>30.0</v>
      </c>
      <c r="AM33" s="125">
        <f>32+10</f>
        <v>42</v>
      </c>
      <c r="AN33" s="32"/>
    </row>
    <row r="34">
      <c r="A34" s="33"/>
      <c r="B34" s="33"/>
      <c r="C34" s="33"/>
      <c r="D34" s="33"/>
      <c r="E34" s="106"/>
      <c r="F34" s="106"/>
      <c r="G34" s="107"/>
      <c r="H34" s="107"/>
      <c r="I34" s="124"/>
      <c r="J34" s="118"/>
      <c r="K34" s="124"/>
      <c r="L34" s="124"/>
      <c r="M34" s="124"/>
      <c r="N34" s="124"/>
      <c r="O34" s="114"/>
      <c r="P34" s="124"/>
      <c r="Q34" s="118"/>
      <c r="R34" s="127"/>
      <c r="S34" s="121"/>
      <c r="T34" s="120"/>
      <c r="U34" s="127"/>
      <c r="V34" s="111"/>
      <c r="W34" s="127"/>
      <c r="X34" s="120"/>
      <c r="Y34" s="120"/>
      <c r="Z34" s="120"/>
      <c r="AA34" s="120"/>
      <c r="AB34" s="127"/>
      <c r="AC34" s="111"/>
      <c r="AD34" s="127"/>
      <c r="AE34" s="120"/>
      <c r="AF34" s="120"/>
      <c r="AG34" s="127"/>
      <c r="AH34" s="127"/>
      <c r="AI34" s="120"/>
      <c r="AJ34" s="110"/>
      <c r="AK34" s="120"/>
      <c r="AL34" s="120"/>
      <c r="AM34" s="120"/>
      <c r="AN34" s="122"/>
      <c r="AO34" s="53"/>
      <c r="AP34" s="53"/>
    </row>
    <row r="35">
      <c r="A35" s="24" t="s">
        <v>33</v>
      </c>
      <c r="B35" s="17"/>
      <c r="C35" s="17"/>
      <c r="D35" s="18"/>
      <c r="E35" s="106">
        <v>2.0</v>
      </c>
      <c r="F35" s="106" t="s">
        <v>21</v>
      </c>
      <c r="G35" s="107">
        <f>105</f>
        <v>105</v>
      </c>
      <c r="H35" s="107" t="s">
        <v>22</v>
      </c>
      <c r="I35" s="109">
        <v>75.0</v>
      </c>
      <c r="J35" s="109">
        <f>30+45+45</f>
        <v>120</v>
      </c>
      <c r="K35" s="109">
        <f>30+45</f>
        <v>75</v>
      </c>
      <c r="L35" s="109">
        <f>15+60</f>
        <v>75</v>
      </c>
      <c r="M35" s="109">
        <v>45.0</v>
      </c>
      <c r="N35" s="109"/>
      <c r="O35" s="114"/>
      <c r="P35" s="109">
        <v>60.0</v>
      </c>
      <c r="Q35" s="109">
        <f>45+30+45</f>
        <v>120</v>
      </c>
      <c r="R35" s="111">
        <f>60+30</f>
        <v>90</v>
      </c>
      <c r="S35" s="111">
        <v>60.0</v>
      </c>
      <c r="T35" s="111">
        <f>60+30</f>
        <v>90</v>
      </c>
      <c r="U35" s="111">
        <v>15.0</v>
      </c>
      <c r="V35" s="111"/>
      <c r="W35" s="111">
        <f>15+45</f>
        <v>60</v>
      </c>
      <c r="X35" s="111">
        <f>45+30</f>
        <v>75</v>
      </c>
      <c r="Y35" s="111">
        <v>30.0</v>
      </c>
      <c r="Z35" s="111">
        <v>60.0</v>
      </c>
      <c r="AA35" s="111">
        <v>45.0</v>
      </c>
      <c r="AB35" s="111">
        <v>30.0</v>
      </c>
      <c r="AC35" s="111"/>
      <c r="AD35" s="111">
        <f>30+15</f>
        <v>45</v>
      </c>
      <c r="AE35" s="111">
        <v>30.0</v>
      </c>
      <c r="AF35" s="111">
        <f>30+30</f>
        <v>60</v>
      </c>
      <c r="AG35" s="111">
        <f>15+30</f>
        <v>45</v>
      </c>
      <c r="AH35" s="111">
        <v>30.0</v>
      </c>
      <c r="AI35" s="125">
        <v>60.0</v>
      </c>
      <c r="AJ35" s="111"/>
      <c r="AK35" s="111">
        <v>45.0</v>
      </c>
      <c r="AL35" s="125">
        <v>60.0</v>
      </c>
      <c r="AM35" s="125">
        <v>45.0</v>
      </c>
      <c r="AN35" s="113">
        <f>G35+SUM(I35:AL35)-SUM(I36:AL36)</f>
        <v>249</v>
      </c>
      <c r="AO35" s="53">
        <f>ROUNDDOWN((AN35/E35)/$H$4,1)</f>
        <v>4.1</v>
      </c>
      <c r="AP35" s="53">
        <f>$M$3+AO35</f>
        <v>877.1</v>
      </c>
    </row>
    <row r="36">
      <c r="A36" s="31"/>
      <c r="B36" s="17"/>
      <c r="C36" s="17"/>
      <c r="D36" s="17"/>
      <c r="E36" s="17"/>
      <c r="F36" s="18"/>
      <c r="G36" s="114"/>
      <c r="H36" s="107" t="s">
        <v>23</v>
      </c>
      <c r="I36" s="109">
        <v>68.0</v>
      </c>
      <c r="J36" s="109">
        <v>70.0</v>
      </c>
      <c r="K36" s="109">
        <f>40+40</f>
        <v>80</v>
      </c>
      <c r="L36" s="109">
        <f>30+40</f>
        <v>70</v>
      </c>
      <c r="M36" s="108">
        <f t="shared" ref="M36:N36" si="5">40+30</f>
        <v>70</v>
      </c>
      <c r="N36" s="108">
        <f t="shared" si="5"/>
        <v>70</v>
      </c>
      <c r="O36" s="107"/>
      <c r="P36" s="108">
        <f t="shared" ref="P36:R36" si="6">40+30</f>
        <v>70</v>
      </c>
      <c r="Q36" s="108">
        <f t="shared" si="6"/>
        <v>70</v>
      </c>
      <c r="R36" s="110">
        <f t="shared" si="6"/>
        <v>70</v>
      </c>
      <c r="S36" s="110"/>
      <c r="T36" s="111">
        <v>60.0</v>
      </c>
      <c r="U36" s="111">
        <v>34.0</v>
      </c>
      <c r="V36" s="110"/>
      <c r="W36" s="111">
        <v>54.0</v>
      </c>
      <c r="X36" s="111">
        <v>60.0</v>
      </c>
      <c r="Y36" s="111">
        <v>60.0</v>
      </c>
      <c r="Z36" s="111">
        <v>60.0</v>
      </c>
      <c r="AA36" s="111">
        <v>24.0</v>
      </c>
      <c r="AB36" s="111">
        <v>50.0</v>
      </c>
      <c r="AC36" s="110"/>
      <c r="AD36" s="110">
        <f>30+32</f>
        <v>62</v>
      </c>
      <c r="AE36" s="110">
        <f>30+30</f>
        <v>60</v>
      </c>
      <c r="AF36" s="111">
        <v>30.0</v>
      </c>
      <c r="AG36" s="110">
        <f>32+20</f>
        <v>52</v>
      </c>
      <c r="AH36" s="111">
        <v>30.0</v>
      </c>
      <c r="AI36" s="111">
        <v>22.0</v>
      </c>
      <c r="AJ36" s="110"/>
      <c r="AK36" s="111">
        <v>30.0</v>
      </c>
      <c r="AL36" s="125">
        <v>30.0</v>
      </c>
      <c r="AM36" s="125">
        <f>32+10</f>
        <v>42</v>
      </c>
      <c r="AN36" s="32"/>
    </row>
    <row r="37">
      <c r="A37" s="33"/>
      <c r="B37" s="33"/>
      <c r="C37" s="33"/>
      <c r="D37" s="33"/>
      <c r="E37" s="106"/>
      <c r="F37" s="106"/>
      <c r="G37" s="107"/>
      <c r="H37" s="107"/>
      <c r="I37" s="118"/>
      <c r="J37" s="118"/>
      <c r="K37" s="118"/>
      <c r="L37" s="118"/>
      <c r="M37" s="118"/>
      <c r="N37" s="118"/>
      <c r="O37" s="114"/>
      <c r="P37" s="118"/>
      <c r="Q37" s="118"/>
      <c r="R37" s="127"/>
      <c r="S37" s="119"/>
      <c r="T37" s="120"/>
      <c r="U37" s="120"/>
      <c r="V37" s="110"/>
      <c r="W37" s="120"/>
      <c r="X37" s="120"/>
      <c r="Y37" s="120"/>
      <c r="Z37" s="120"/>
      <c r="AA37" s="120"/>
      <c r="AB37" s="120"/>
      <c r="AC37" s="110"/>
      <c r="AD37" s="120"/>
      <c r="AE37" s="120"/>
      <c r="AF37" s="120"/>
      <c r="AG37" s="120"/>
      <c r="AH37" s="120"/>
      <c r="AI37" s="120"/>
      <c r="AJ37" s="110"/>
      <c r="AK37" s="120"/>
      <c r="AL37" s="120"/>
      <c r="AM37" s="120"/>
      <c r="AN37" s="122"/>
      <c r="AO37" s="53"/>
      <c r="AP37" s="53"/>
    </row>
    <row r="38">
      <c r="A38" s="24" t="s">
        <v>34</v>
      </c>
      <c r="B38" s="17"/>
      <c r="C38" s="17"/>
      <c r="D38" s="18"/>
      <c r="E38" s="106">
        <v>1.0</v>
      </c>
      <c r="F38" s="106" t="s">
        <v>21</v>
      </c>
      <c r="G38" s="107">
        <v>905.0</v>
      </c>
      <c r="H38" s="107" t="s">
        <v>22</v>
      </c>
      <c r="I38" s="108"/>
      <c r="J38" s="108"/>
      <c r="K38" s="108"/>
      <c r="L38" s="108"/>
      <c r="M38" s="108"/>
      <c r="N38" s="108"/>
      <c r="O38" s="114"/>
      <c r="P38" s="108"/>
      <c r="Q38" s="108"/>
      <c r="R38" s="111"/>
      <c r="S38" s="110"/>
      <c r="T38" s="110"/>
      <c r="U38" s="110"/>
      <c r="V38" s="110"/>
      <c r="W38" s="110"/>
      <c r="X38" s="110"/>
      <c r="Y38" s="110"/>
      <c r="Z38" s="112"/>
      <c r="AA38" s="110"/>
      <c r="AB38" s="110"/>
      <c r="AC38" s="110"/>
      <c r="AD38" s="110"/>
      <c r="AE38" s="110"/>
      <c r="AF38" s="110"/>
      <c r="AG38" s="110"/>
      <c r="AH38" s="110"/>
      <c r="AI38" s="110"/>
      <c r="AJ38" s="111"/>
      <c r="AK38" s="111">
        <v>1020.0</v>
      </c>
      <c r="AL38" s="112"/>
      <c r="AM38" s="112"/>
      <c r="AN38" s="113">
        <f>G38+SUM(I38:AL38)-SUM(I39:AL39)</f>
        <v>1404</v>
      </c>
      <c r="AO38" s="53">
        <f>ROUNDDOWN((AN38/E38)/$H$4,1)</f>
        <v>46.8</v>
      </c>
      <c r="AP38" s="53">
        <f>$M$3+AO38</f>
        <v>919.8</v>
      </c>
    </row>
    <row r="39">
      <c r="A39" s="31"/>
      <c r="B39" s="17"/>
      <c r="C39" s="17"/>
      <c r="D39" s="17"/>
      <c r="E39" s="17"/>
      <c r="F39" s="18"/>
      <c r="G39" s="114"/>
      <c r="H39" s="107" t="s">
        <v>23</v>
      </c>
      <c r="I39" s="108"/>
      <c r="J39" s="109">
        <v>50.0</v>
      </c>
      <c r="K39" s="109">
        <v>60.0</v>
      </c>
      <c r="L39" s="109">
        <v>20.0</v>
      </c>
      <c r="M39" s="108"/>
      <c r="N39" s="109"/>
      <c r="O39" s="114"/>
      <c r="P39" s="109">
        <v>50.0</v>
      </c>
      <c r="Q39" s="109">
        <v>61.0</v>
      </c>
      <c r="R39" s="111">
        <v>50.0</v>
      </c>
      <c r="S39" s="110"/>
      <c r="T39" s="111">
        <v>60.0</v>
      </c>
      <c r="U39" s="110"/>
      <c r="V39" s="110"/>
      <c r="W39" s="110"/>
      <c r="X39" s="111">
        <v>50.0</v>
      </c>
      <c r="Y39" s="111">
        <v>60.0</v>
      </c>
      <c r="Z39" s="110"/>
      <c r="AA39" s="111">
        <v>60.0</v>
      </c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2"/>
      <c r="AM39" s="112"/>
      <c r="AN39" s="32"/>
    </row>
    <row r="40">
      <c r="A40" s="33"/>
      <c r="B40" s="33"/>
      <c r="C40" s="33"/>
      <c r="D40" s="33"/>
      <c r="E40" s="106"/>
      <c r="F40" s="106"/>
      <c r="G40" s="107"/>
      <c r="H40" s="107"/>
      <c r="I40" s="117"/>
      <c r="J40" s="118"/>
      <c r="K40" s="118"/>
      <c r="L40" s="118"/>
      <c r="M40" s="117"/>
      <c r="N40" s="117"/>
      <c r="O40" s="114"/>
      <c r="P40" s="118"/>
      <c r="Q40" s="118"/>
      <c r="R40" s="127"/>
      <c r="S40" s="119"/>
      <c r="T40" s="120"/>
      <c r="U40" s="119"/>
      <c r="V40" s="110"/>
      <c r="W40" s="119"/>
      <c r="X40" s="120"/>
      <c r="Y40" s="120"/>
      <c r="Z40" s="119"/>
      <c r="AA40" s="120"/>
      <c r="AB40" s="119"/>
      <c r="AC40" s="110"/>
      <c r="AD40" s="119"/>
      <c r="AE40" s="119"/>
      <c r="AF40" s="119"/>
      <c r="AG40" s="119"/>
      <c r="AH40" s="119"/>
      <c r="AI40" s="119"/>
      <c r="AJ40" s="110"/>
      <c r="AK40" s="120"/>
      <c r="AL40" s="119"/>
      <c r="AM40" s="119"/>
      <c r="AN40" s="122"/>
      <c r="AO40" s="53"/>
      <c r="AP40" s="53"/>
    </row>
    <row r="41">
      <c r="A41" s="24" t="s">
        <v>35</v>
      </c>
      <c r="B41" s="17"/>
      <c r="C41" s="17"/>
      <c r="D41" s="18"/>
      <c r="E41" s="106">
        <v>1.0</v>
      </c>
      <c r="F41" s="106" t="s">
        <v>21</v>
      </c>
      <c r="G41" s="107">
        <v>1065.0</v>
      </c>
      <c r="H41" s="107" t="s">
        <v>22</v>
      </c>
      <c r="I41" s="108"/>
      <c r="J41" s="108"/>
      <c r="K41" s="108"/>
      <c r="L41" s="108"/>
      <c r="M41" s="108"/>
      <c r="N41" s="108"/>
      <c r="O41" s="114"/>
      <c r="P41" s="108"/>
      <c r="Q41" s="108"/>
      <c r="R41" s="111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1"/>
      <c r="AK41" s="111">
        <v>1020.0</v>
      </c>
      <c r="AL41" s="112"/>
      <c r="AM41" s="112"/>
      <c r="AN41" s="113">
        <f>G41+SUM(I41:AL41)-SUM(I42:AL42)</f>
        <v>1564</v>
      </c>
      <c r="AO41" s="53">
        <f>ROUNDDOWN((AN41/E41)/$H$4,1)</f>
        <v>52.1</v>
      </c>
      <c r="AP41" s="53">
        <f>$M$3+AO41</f>
        <v>925.1</v>
      </c>
    </row>
    <row r="42">
      <c r="A42" s="31"/>
      <c r="B42" s="17"/>
      <c r="C42" s="17"/>
      <c r="D42" s="17"/>
      <c r="E42" s="17"/>
      <c r="F42" s="18"/>
      <c r="G42" s="114"/>
      <c r="H42" s="107" t="s">
        <v>23</v>
      </c>
      <c r="I42" s="108"/>
      <c r="J42" s="109">
        <v>50.0</v>
      </c>
      <c r="K42" s="109">
        <v>60.0</v>
      </c>
      <c r="L42" s="109">
        <v>20.0</v>
      </c>
      <c r="M42" s="108"/>
      <c r="N42" s="109"/>
      <c r="O42" s="114"/>
      <c r="P42" s="109">
        <v>50.0</v>
      </c>
      <c r="Q42" s="109">
        <v>61.0</v>
      </c>
      <c r="R42" s="111">
        <v>50.0</v>
      </c>
      <c r="S42" s="110"/>
      <c r="T42" s="111">
        <v>60.0</v>
      </c>
      <c r="U42" s="110"/>
      <c r="V42" s="110"/>
      <c r="W42" s="110"/>
      <c r="X42" s="111">
        <v>50.0</v>
      </c>
      <c r="Y42" s="111">
        <v>60.0</v>
      </c>
      <c r="Z42" s="110"/>
      <c r="AA42" s="111">
        <v>60.0</v>
      </c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2"/>
      <c r="AM42" s="112"/>
      <c r="AN42" s="32"/>
    </row>
    <row r="43">
      <c r="A43" s="33"/>
      <c r="B43" s="33"/>
      <c r="C43" s="33"/>
      <c r="D43" s="33"/>
      <c r="E43" s="106"/>
      <c r="F43" s="106"/>
      <c r="G43" s="107"/>
      <c r="H43" s="107"/>
      <c r="I43" s="117"/>
      <c r="J43" s="118"/>
      <c r="K43" s="118"/>
      <c r="L43" s="118"/>
      <c r="M43" s="117"/>
      <c r="N43" s="117"/>
      <c r="O43" s="114"/>
      <c r="P43" s="118"/>
      <c r="Q43" s="118"/>
      <c r="R43" s="127"/>
      <c r="S43" s="119"/>
      <c r="T43" s="120"/>
      <c r="U43" s="119"/>
      <c r="V43" s="110"/>
      <c r="W43" s="119"/>
      <c r="X43" s="120"/>
      <c r="Y43" s="120"/>
      <c r="Z43" s="119"/>
      <c r="AA43" s="120"/>
      <c r="AB43" s="119"/>
      <c r="AC43" s="110"/>
      <c r="AD43" s="119"/>
      <c r="AE43" s="119"/>
      <c r="AF43" s="119"/>
      <c r="AG43" s="119"/>
      <c r="AH43" s="119"/>
      <c r="AI43" s="119"/>
      <c r="AJ43" s="110"/>
      <c r="AK43" s="120"/>
      <c r="AL43" s="119"/>
      <c r="AM43" s="119"/>
      <c r="AN43" s="122"/>
      <c r="AO43" s="53"/>
      <c r="AP43" s="53"/>
    </row>
    <row r="44">
      <c r="A44" s="24" t="s">
        <v>36</v>
      </c>
      <c r="B44" s="17"/>
      <c r="C44" s="17"/>
      <c r="D44" s="18"/>
      <c r="E44" s="106">
        <v>2.0</v>
      </c>
      <c r="F44" s="106">
        <v>2.0</v>
      </c>
      <c r="G44" s="107">
        <v>461.0</v>
      </c>
      <c r="H44" s="107" t="s">
        <v>22</v>
      </c>
      <c r="I44" s="108"/>
      <c r="J44" s="108"/>
      <c r="K44" s="108"/>
      <c r="L44" s="109">
        <v>480.0</v>
      </c>
      <c r="M44" s="108"/>
      <c r="N44" s="108"/>
      <c r="O44" s="114"/>
      <c r="P44" s="108"/>
      <c r="Q44" s="108"/>
      <c r="R44" s="110"/>
      <c r="S44" s="110"/>
      <c r="T44" s="111">
        <v>2040.0</v>
      </c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2"/>
      <c r="AM44" s="112"/>
      <c r="AN44" s="113">
        <f>G44+SUM(I44:AL44)-SUM(I45:AL45)</f>
        <v>1595</v>
      </c>
      <c r="AO44" s="53">
        <f>ROUNDDOWN((AN44/E44)/$H$4,1)</f>
        <v>26.5</v>
      </c>
      <c r="AP44" s="53">
        <f>$M$3+AO44</f>
        <v>899.5</v>
      </c>
    </row>
    <row r="45">
      <c r="A45" s="31"/>
      <c r="B45" s="17"/>
      <c r="C45" s="17"/>
      <c r="D45" s="17"/>
      <c r="E45" s="17"/>
      <c r="F45" s="18"/>
      <c r="G45" s="114"/>
      <c r="H45" s="107" t="s">
        <v>23</v>
      </c>
      <c r="I45" s="109">
        <v>68.0</v>
      </c>
      <c r="J45" s="109">
        <v>70.0</v>
      </c>
      <c r="K45" s="109">
        <f>40+40</f>
        <v>80</v>
      </c>
      <c r="L45" s="109">
        <f t="shared" ref="L45:N45" si="7">40+30</f>
        <v>70</v>
      </c>
      <c r="M45" s="108">
        <f t="shared" si="7"/>
        <v>70</v>
      </c>
      <c r="N45" s="108">
        <f t="shared" si="7"/>
        <v>70</v>
      </c>
      <c r="O45" s="107"/>
      <c r="P45" s="108">
        <f t="shared" ref="P45:R45" si="8">40+30</f>
        <v>70</v>
      </c>
      <c r="Q45" s="108">
        <f t="shared" si="8"/>
        <v>70</v>
      </c>
      <c r="R45" s="110">
        <f t="shared" si="8"/>
        <v>70</v>
      </c>
      <c r="S45" s="110"/>
      <c r="T45" s="111">
        <v>60.0</v>
      </c>
      <c r="U45" s="111">
        <v>34.0</v>
      </c>
      <c r="V45" s="110"/>
      <c r="W45" s="111">
        <v>54.0</v>
      </c>
      <c r="X45" s="111">
        <v>60.0</v>
      </c>
      <c r="Y45" s="111">
        <v>60.0</v>
      </c>
      <c r="Z45" s="111">
        <v>60.0</v>
      </c>
      <c r="AA45" s="111">
        <v>24.0</v>
      </c>
      <c r="AB45" s="111">
        <v>50.0</v>
      </c>
      <c r="AC45" s="110"/>
      <c r="AD45" s="110">
        <f>30+32</f>
        <v>62</v>
      </c>
      <c r="AE45" s="110">
        <f>30+30</f>
        <v>60</v>
      </c>
      <c r="AF45" s="111">
        <f>30</f>
        <v>30</v>
      </c>
      <c r="AG45" s="110">
        <f>32+20</f>
        <v>52</v>
      </c>
      <c r="AH45" s="111">
        <v>30.0</v>
      </c>
      <c r="AI45" s="111">
        <f>22+30</f>
        <v>52</v>
      </c>
      <c r="AJ45" s="110"/>
      <c r="AK45" s="111">
        <v>30.0</v>
      </c>
      <c r="AL45" s="125">
        <v>30.0</v>
      </c>
      <c r="AM45" s="125">
        <f>32+5</f>
        <v>37</v>
      </c>
      <c r="AN45" s="32"/>
    </row>
    <row r="46">
      <c r="A46" s="33"/>
      <c r="B46" s="33"/>
      <c r="C46" s="33"/>
      <c r="D46" s="33"/>
      <c r="E46" s="106"/>
      <c r="F46" s="106"/>
      <c r="G46" s="107"/>
      <c r="H46" s="107"/>
      <c r="I46" s="118"/>
      <c r="J46" s="118"/>
      <c r="K46" s="124"/>
      <c r="L46" s="118"/>
      <c r="M46" s="118"/>
      <c r="N46" s="118"/>
      <c r="O46" s="114"/>
      <c r="P46" s="124"/>
      <c r="Q46" s="118"/>
      <c r="R46" s="120"/>
      <c r="S46" s="119"/>
      <c r="T46" s="120"/>
      <c r="U46" s="120"/>
      <c r="V46" s="110"/>
      <c r="W46" s="120"/>
      <c r="X46" s="120"/>
      <c r="Y46" s="120"/>
      <c r="Z46" s="120"/>
      <c r="AA46" s="120"/>
      <c r="AB46" s="120"/>
      <c r="AC46" s="110"/>
      <c r="AD46" s="120"/>
      <c r="AE46" s="120"/>
      <c r="AF46" s="127"/>
      <c r="AG46" s="120"/>
      <c r="AH46" s="120"/>
      <c r="AI46" s="120"/>
      <c r="AJ46" s="110"/>
      <c r="AK46" s="120"/>
      <c r="AL46" s="120"/>
      <c r="AM46" s="120"/>
      <c r="AN46" s="122"/>
      <c r="AO46" s="53"/>
      <c r="AP46" s="53"/>
    </row>
    <row r="47">
      <c r="A47" s="24" t="s">
        <v>37</v>
      </c>
      <c r="B47" s="17"/>
      <c r="C47" s="17"/>
      <c r="D47" s="18"/>
      <c r="E47" s="106">
        <v>2.0</v>
      </c>
      <c r="F47" s="106" t="s">
        <v>21</v>
      </c>
      <c r="G47" s="107">
        <v>659.0</v>
      </c>
      <c r="H47" s="107" t="s">
        <v>22</v>
      </c>
      <c r="I47" s="108"/>
      <c r="J47" s="109">
        <v>220.0</v>
      </c>
      <c r="K47" s="109"/>
      <c r="L47" s="108"/>
      <c r="M47" s="108"/>
      <c r="N47" s="108"/>
      <c r="O47" s="114"/>
      <c r="P47" s="109">
        <v>200.0</v>
      </c>
      <c r="Q47" s="108"/>
      <c r="R47" s="110"/>
      <c r="S47" s="110"/>
      <c r="T47" s="110"/>
      <c r="U47" s="110"/>
      <c r="V47" s="110"/>
      <c r="W47" s="111">
        <v>300.0</v>
      </c>
      <c r="X47" s="110"/>
      <c r="Y47" s="110"/>
      <c r="Z47" s="110"/>
      <c r="AA47" s="110"/>
      <c r="AB47" s="110"/>
      <c r="AC47" s="110"/>
      <c r="AD47" s="110"/>
      <c r="AE47" s="110"/>
      <c r="AF47" s="111"/>
      <c r="AG47" s="110"/>
      <c r="AH47" s="110"/>
      <c r="AI47" s="110"/>
      <c r="AJ47" s="110"/>
      <c r="AK47" s="110"/>
      <c r="AL47" s="112"/>
      <c r="AM47" s="112"/>
      <c r="AN47" s="113">
        <f>G47+SUM(I47:AL47)-SUM(I48:AL48)</f>
        <v>-7</v>
      </c>
      <c r="AO47" s="53">
        <f>ROUNDDOWN((AN47/E47)/$H$4,1)</f>
        <v>-0.1</v>
      </c>
      <c r="AP47" s="53">
        <f>$M$3+AO47</f>
        <v>872.9</v>
      </c>
    </row>
    <row r="48">
      <c r="A48" s="31"/>
      <c r="B48" s="17"/>
      <c r="C48" s="17"/>
      <c r="D48" s="17"/>
      <c r="E48" s="17"/>
      <c r="F48" s="18"/>
      <c r="G48" s="114"/>
      <c r="H48" s="107" t="s">
        <v>23</v>
      </c>
      <c r="I48" s="109">
        <v>68.0</v>
      </c>
      <c r="J48" s="109">
        <v>70.0</v>
      </c>
      <c r="K48" s="109">
        <f>40+40</f>
        <v>80</v>
      </c>
      <c r="L48" s="109">
        <f t="shared" ref="L48:N48" si="9">40+30</f>
        <v>70</v>
      </c>
      <c r="M48" s="108">
        <f t="shared" si="9"/>
        <v>70</v>
      </c>
      <c r="N48" s="108">
        <f t="shared" si="9"/>
        <v>70</v>
      </c>
      <c r="O48" s="107"/>
      <c r="P48" s="108">
        <f t="shared" ref="P48:R48" si="10">40+30</f>
        <v>70</v>
      </c>
      <c r="Q48" s="108">
        <f t="shared" si="10"/>
        <v>70</v>
      </c>
      <c r="R48" s="110">
        <f t="shared" si="10"/>
        <v>70</v>
      </c>
      <c r="S48" s="110"/>
      <c r="T48" s="111">
        <v>60.0</v>
      </c>
      <c r="U48" s="111">
        <v>34.0</v>
      </c>
      <c r="V48" s="110"/>
      <c r="W48" s="111">
        <v>54.0</v>
      </c>
      <c r="X48" s="111">
        <v>60.0</v>
      </c>
      <c r="Y48" s="111">
        <v>60.0</v>
      </c>
      <c r="Z48" s="111">
        <v>60.0</v>
      </c>
      <c r="AA48" s="111">
        <v>24.0</v>
      </c>
      <c r="AB48" s="111">
        <v>50.0</v>
      </c>
      <c r="AC48" s="110"/>
      <c r="AD48" s="110">
        <f>30+32</f>
        <v>62</v>
      </c>
      <c r="AE48" s="110">
        <f>30+30</f>
        <v>60</v>
      </c>
      <c r="AF48" s="111">
        <v>30.0</v>
      </c>
      <c r="AG48" s="110">
        <f>32+20</f>
        <v>52</v>
      </c>
      <c r="AH48" s="111">
        <v>30.0</v>
      </c>
      <c r="AI48" s="111">
        <f>22+30</f>
        <v>52</v>
      </c>
      <c r="AJ48" s="110"/>
      <c r="AK48" s="111">
        <v>30.0</v>
      </c>
      <c r="AL48" s="125">
        <v>30.0</v>
      </c>
      <c r="AM48" s="125">
        <f>32+10</f>
        <v>42</v>
      </c>
      <c r="AN48" s="32"/>
    </row>
    <row r="49">
      <c r="A49" s="33"/>
      <c r="B49" s="33"/>
      <c r="C49" s="33"/>
      <c r="D49" s="33"/>
      <c r="E49" s="106"/>
      <c r="F49" s="106"/>
      <c r="G49" s="107"/>
      <c r="H49" s="107"/>
      <c r="I49" s="118"/>
      <c r="J49" s="118"/>
      <c r="K49" s="124"/>
      <c r="L49" s="118"/>
      <c r="M49" s="118"/>
      <c r="N49" s="118"/>
      <c r="O49" s="114"/>
      <c r="P49" s="124"/>
      <c r="Q49" s="118"/>
      <c r="R49" s="120"/>
      <c r="S49" s="119"/>
      <c r="T49" s="120"/>
      <c r="U49" s="127"/>
      <c r="V49" s="110"/>
      <c r="W49" s="120"/>
      <c r="X49" s="120"/>
      <c r="Y49" s="120"/>
      <c r="Z49" s="120"/>
      <c r="AA49" s="120"/>
      <c r="AB49" s="120"/>
      <c r="AC49" s="110"/>
      <c r="AD49" s="120"/>
      <c r="AE49" s="120"/>
      <c r="AF49" s="127"/>
      <c r="AG49" s="120"/>
      <c r="AH49" s="120"/>
      <c r="AI49" s="120"/>
      <c r="AJ49" s="110"/>
      <c r="AK49" s="120"/>
      <c r="AL49" s="120"/>
      <c r="AM49" s="120"/>
      <c r="AN49" s="122"/>
      <c r="AO49" s="53"/>
      <c r="AP49" s="53"/>
    </row>
    <row r="50">
      <c r="A50" s="24" t="s">
        <v>38</v>
      </c>
      <c r="B50" s="17"/>
      <c r="C50" s="17"/>
      <c r="D50" s="18"/>
      <c r="E50" s="106">
        <v>1.0</v>
      </c>
      <c r="F50" s="106" t="s">
        <v>21</v>
      </c>
      <c r="G50" s="107">
        <v>630.0</v>
      </c>
      <c r="H50" s="107" t="s">
        <v>22</v>
      </c>
      <c r="I50" s="108"/>
      <c r="J50" s="109">
        <v>110.0</v>
      </c>
      <c r="K50" s="109"/>
      <c r="L50" s="108"/>
      <c r="M50" s="108"/>
      <c r="N50" s="108"/>
      <c r="O50" s="114"/>
      <c r="P50" s="109">
        <v>100.0</v>
      </c>
      <c r="Q50" s="108"/>
      <c r="R50" s="110"/>
      <c r="S50" s="110"/>
      <c r="T50" s="110"/>
      <c r="U50" s="110"/>
      <c r="V50" s="110"/>
      <c r="W50" s="111">
        <v>150.0</v>
      </c>
      <c r="X50" s="110"/>
      <c r="Y50" s="110"/>
      <c r="Z50" s="110"/>
      <c r="AA50" s="110"/>
      <c r="AB50" s="110"/>
      <c r="AC50" s="110"/>
      <c r="AD50" s="110"/>
      <c r="AE50" s="110"/>
      <c r="AF50" s="111"/>
      <c r="AG50" s="110"/>
      <c r="AH50" s="110"/>
      <c r="AI50" s="110"/>
      <c r="AJ50" s="110"/>
      <c r="AK50" s="110"/>
      <c r="AL50" s="112"/>
      <c r="AM50" s="112"/>
      <c r="AN50" s="113">
        <f>G50+SUM(I50:AL50)-SUM(I51:AL51)</f>
        <v>297</v>
      </c>
      <c r="AO50" s="53">
        <f>ROUNDDOWN((AN50/E50)/$H$4,1)</f>
        <v>9.9</v>
      </c>
      <c r="AP50" s="53">
        <f>$M$3+AO50</f>
        <v>882.9</v>
      </c>
    </row>
    <row r="51">
      <c r="A51" s="31"/>
      <c r="B51" s="17"/>
      <c r="C51" s="17"/>
      <c r="D51" s="17"/>
      <c r="E51" s="17"/>
      <c r="F51" s="18"/>
      <c r="G51" s="114"/>
      <c r="H51" s="107" t="s">
        <v>23</v>
      </c>
      <c r="I51" s="109">
        <v>34.0</v>
      </c>
      <c r="J51" s="109">
        <v>35.0</v>
      </c>
      <c r="K51" s="109">
        <f>20+20</f>
        <v>40</v>
      </c>
      <c r="L51" s="109">
        <f t="shared" ref="L51:N51" si="11">20+15</f>
        <v>35</v>
      </c>
      <c r="M51" s="108">
        <f t="shared" si="11"/>
        <v>35</v>
      </c>
      <c r="N51" s="108">
        <f t="shared" si="11"/>
        <v>35</v>
      </c>
      <c r="O51" s="107"/>
      <c r="P51" s="108">
        <f t="shared" ref="P51:R51" si="12">20+15</f>
        <v>35</v>
      </c>
      <c r="Q51" s="108">
        <f t="shared" si="12"/>
        <v>35</v>
      </c>
      <c r="R51" s="110">
        <f t="shared" si="12"/>
        <v>35</v>
      </c>
      <c r="S51" s="110"/>
      <c r="T51" s="111">
        <v>30.0</v>
      </c>
      <c r="U51" s="111">
        <v>17.0</v>
      </c>
      <c r="V51" s="110"/>
      <c r="W51" s="111">
        <v>27.0</v>
      </c>
      <c r="X51" s="111">
        <v>30.0</v>
      </c>
      <c r="Y51" s="111">
        <v>30.0</v>
      </c>
      <c r="Z51" s="111">
        <v>30.0</v>
      </c>
      <c r="AA51" s="111">
        <v>12.0</v>
      </c>
      <c r="AB51" s="111">
        <v>25.0</v>
      </c>
      <c r="AC51" s="110"/>
      <c r="AD51" s="110">
        <f>15+16</f>
        <v>31</v>
      </c>
      <c r="AE51" s="110">
        <f>15+15</f>
        <v>30</v>
      </c>
      <c r="AF51" s="111">
        <v>15.0</v>
      </c>
      <c r="AG51" s="110">
        <f>16+10</f>
        <v>26</v>
      </c>
      <c r="AH51" s="111">
        <v>15.0</v>
      </c>
      <c r="AI51" s="111">
        <f>11+15</f>
        <v>26</v>
      </c>
      <c r="AJ51" s="110"/>
      <c r="AK51" s="111">
        <v>15.0</v>
      </c>
      <c r="AL51" s="125">
        <v>15.0</v>
      </c>
      <c r="AM51" s="125">
        <f>16+5</f>
        <v>21</v>
      </c>
      <c r="AN51" s="32"/>
    </row>
    <row r="52">
      <c r="A52" s="33"/>
      <c r="B52" s="33"/>
      <c r="C52" s="33"/>
      <c r="D52" s="33"/>
      <c r="E52" s="106"/>
      <c r="F52" s="106"/>
      <c r="G52" s="107"/>
      <c r="H52" s="107"/>
      <c r="I52" s="118"/>
      <c r="J52" s="118"/>
      <c r="K52" s="124"/>
      <c r="L52" s="118"/>
      <c r="M52" s="118"/>
      <c r="N52" s="118"/>
      <c r="O52" s="114"/>
      <c r="P52" s="124"/>
      <c r="Q52" s="118"/>
      <c r="R52" s="120"/>
      <c r="S52" s="119"/>
      <c r="T52" s="120"/>
      <c r="U52" s="120"/>
      <c r="V52" s="110"/>
      <c r="W52" s="127"/>
      <c r="X52" s="120"/>
      <c r="Y52" s="120"/>
      <c r="Z52" s="120"/>
      <c r="AA52" s="120"/>
      <c r="AB52" s="120"/>
      <c r="AC52" s="110"/>
      <c r="AD52" s="120"/>
      <c r="AE52" s="120"/>
      <c r="AF52" s="127"/>
      <c r="AG52" s="120"/>
      <c r="AH52" s="120"/>
      <c r="AI52" s="120"/>
      <c r="AJ52" s="110"/>
      <c r="AK52" s="120"/>
      <c r="AL52" s="120"/>
      <c r="AM52" s="120"/>
      <c r="AN52" s="122"/>
      <c r="AO52" s="53"/>
      <c r="AP52" s="53"/>
    </row>
    <row r="53">
      <c r="A53" s="24" t="s">
        <v>39</v>
      </c>
      <c r="B53" s="17"/>
      <c r="C53" s="17"/>
      <c r="D53" s="18"/>
      <c r="E53" s="106">
        <v>1.0</v>
      </c>
      <c r="F53" s="106" t="s">
        <v>21</v>
      </c>
      <c r="G53" s="107">
        <v>654.0</v>
      </c>
      <c r="H53" s="107" t="s">
        <v>22</v>
      </c>
      <c r="I53" s="109"/>
      <c r="J53" s="109">
        <v>110.0</v>
      </c>
      <c r="K53" s="109"/>
      <c r="L53" s="108"/>
      <c r="M53" s="108"/>
      <c r="N53" s="108"/>
      <c r="O53" s="114"/>
      <c r="P53" s="109">
        <v>100.0</v>
      </c>
      <c r="Q53" s="108"/>
      <c r="R53" s="110"/>
      <c r="S53" s="110"/>
      <c r="T53" s="110"/>
      <c r="U53" s="110"/>
      <c r="V53" s="110"/>
      <c r="W53" s="111">
        <v>150.0</v>
      </c>
      <c r="X53" s="110"/>
      <c r="Y53" s="110"/>
      <c r="Z53" s="110"/>
      <c r="AA53" s="110"/>
      <c r="AB53" s="110"/>
      <c r="AC53" s="110"/>
      <c r="AD53" s="110"/>
      <c r="AE53" s="110"/>
      <c r="AF53" s="111"/>
      <c r="AG53" s="110"/>
      <c r="AH53" s="110"/>
      <c r="AI53" s="110"/>
      <c r="AJ53" s="110"/>
      <c r="AK53" s="110"/>
      <c r="AL53" s="112"/>
      <c r="AM53" s="112"/>
      <c r="AN53" s="113">
        <f>G53+SUM(I53:AL53)-SUM(I54:AL54)</f>
        <v>321</v>
      </c>
      <c r="AO53" s="53">
        <f>ROUNDDOWN((AN53/E53)/$H$4,1)</f>
        <v>10.7</v>
      </c>
      <c r="AP53" s="53">
        <f>$M$3+AO53</f>
        <v>883.7</v>
      </c>
    </row>
    <row r="54">
      <c r="A54" s="31"/>
      <c r="B54" s="17"/>
      <c r="C54" s="17"/>
      <c r="D54" s="17"/>
      <c r="E54" s="17"/>
      <c r="F54" s="18"/>
      <c r="G54" s="114"/>
      <c r="H54" s="107" t="s">
        <v>23</v>
      </c>
      <c r="I54" s="109">
        <v>34.0</v>
      </c>
      <c r="J54" s="109">
        <v>35.0</v>
      </c>
      <c r="K54" s="109">
        <f>20+20</f>
        <v>40</v>
      </c>
      <c r="L54" s="109">
        <f t="shared" ref="L54:N54" si="13">20+15</f>
        <v>35</v>
      </c>
      <c r="M54" s="108">
        <f t="shared" si="13"/>
        <v>35</v>
      </c>
      <c r="N54" s="108">
        <f t="shared" si="13"/>
        <v>35</v>
      </c>
      <c r="O54" s="114"/>
      <c r="P54" s="108">
        <f t="shared" ref="P54:R54" si="14">20+15</f>
        <v>35</v>
      </c>
      <c r="Q54" s="108">
        <f t="shared" si="14"/>
        <v>35</v>
      </c>
      <c r="R54" s="110">
        <f t="shared" si="14"/>
        <v>35</v>
      </c>
      <c r="S54" s="110"/>
      <c r="T54" s="111">
        <v>30.0</v>
      </c>
      <c r="U54" s="111">
        <v>17.0</v>
      </c>
      <c r="V54" s="110"/>
      <c r="W54" s="111">
        <v>27.0</v>
      </c>
      <c r="X54" s="111">
        <v>30.0</v>
      </c>
      <c r="Y54" s="111">
        <v>30.0</v>
      </c>
      <c r="Z54" s="111">
        <v>30.0</v>
      </c>
      <c r="AA54" s="111">
        <v>12.0</v>
      </c>
      <c r="AB54" s="111">
        <v>25.0</v>
      </c>
      <c r="AC54" s="110"/>
      <c r="AD54" s="110">
        <f>15+16</f>
        <v>31</v>
      </c>
      <c r="AE54" s="110">
        <f>15+15</f>
        <v>30</v>
      </c>
      <c r="AF54" s="111">
        <v>15.0</v>
      </c>
      <c r="AG54" s="110">
        <f>16+10</f>
        <v>26</v>
      </c>
      <c r="AH54" s="111">
        <v>15.0</v>
      </c>
      <c r="AI54" s="111">
        <f>11+15</f>
        <v>26</v>
      </c>
      <c r="AJ54" s="110"/>
      <c r="AK54" s="111">
        <v>15.0</v>
      </c>
      <c r="AL54" s="125">
        <v>15.0</v>
      </c>
      <c r="AM54" s="125">
        <f>16+5</f>
        <v>21</v>
      </c>
      <c r="AN54" s="32"/>
    </row>
    <row r="55">
      <c r="A55" s="33"/>
      <c r="B55" s="33"/>
      <c r="C55" s="33"/>
      <c r="D55" s="33"/>
      <c r="E55" s="106"/>
      <c r="F55" s="106"/>
      <c r="G55" s="107"/>
      <c r="H55" s="107"/>
      <c r="I55" s="118"/>
      <c r="J55" s="118"/>
      <c r="K55" s="124"/>
      <c r="L55" s="118"/>
      <c r="M55" s="118"/>
      <c r="N55" s="118"/>
      <c r="O55" s="107"/>
      <c r="P55" s="124"/>
      <c r="Q55" s="118"/>
      <c r="R55" s="120"/>
      <c r="S55" s="119"/>
      <c r="T55" s="120"/>
      <c r="U55" s="120"/>
      <c r="V55" s="110"/>
      <c r="W55" s="120"/>
      <c r="X55" s="120"/>
      <c r="Y55" s="120"/>
      <c r="Z55" s="120"/>
      <c r="AA55" s="120"/>
      <c r="AB55" s="120"/>
      <c r="AC55" s="110"/>
      <c r="AD55" s="120"/>
      <c r="AE55" s="120"/>
      <c r="AF55" s="127"/>
      <c r="AG55" s="120"/>
      <c r="AH55" s="120"/>
      <c r="AI55" s="120"/>
      <c r="AJ55" s="110"/>
      <c r="AK55" s="120"/>
      <c r="AL55" s="120"/>
      <c r="AM55" s="120"/>
      <c r="AN55" s="122"/>
      <c r="AO55" s="53"/>
      <c r="AP55" s="53"/>
    </row>
    <row r="56">
      <c r="A56" s="24" t="s">
        <v>40</v>
      </c>
      <c r="B56" s="17"/>
      <c r="C56" s="17"/>
      <c r="D56" s="18"/>
      <c r="E56" s="106">
        <v>1.0</v>
      </c>
      <c r="F56" s="106" t="s">
        <v>21</v>
      </c>
      <c r="G56" s="107">
        <v>758.0</v>
      </c>
      <c r="H56" s="107" t="s">
        <v>22</v>
      </c>
      <c r="I56" s="108"/>
      <c r="J56" s="109">
        <v>110.0</v>
      </c>
      <c r="K56" s="109"/>
      <c r="L56" s="108"/>
      <c r="M56" s="108"/>
      <c r="N56" s="108"/>
      <c r="O56" s="107"/>
      <c r="P56" s="109">
        <v>100.0</v>
      </c>
      <c r="Q56" s="108"/>
      <c r="R56" s="110"/>
      <c r="S56" s="110"/>
      <c r="T56" s="110"/>
      <c r="U56" s="110"/>
      <c r="V56" s="110"/>
      <c r="W56" s="111">
        <v>150.0</v>
      </c>
      <c r="X56" s="110"/>
      <c r="Y56" s="110"/>
      <c r="Z56" s="110"/>
      <c r="AA56" s="110"/>
      <c r="AB56" s="110"/>
      <c r="AC56" s="110"/>
      <c r="AD56" s="110"/>
      <c r="AE56" s="110"/>
      <c r="AF56" s="111"/>
      <c r="AG56" s="110"/>
      <c r="AH56" s="110"/>
      <c r="AI56" s="110"/>
      <c r="AJ56" s="110"/>
      <c r="AK56" s="110"/>
      <c r="AL56" s="112"/>
      <c r="AM56" s="112"/>
      <c r="AN56" s="113">
        <f>G56+SUM(I56:AL56)-SUM(I57:AL57)</f>
        <v>377</v>
      </c>
      <c r="AO56" s="53">
        <f>ROUNDDOWN((AN56/E56)/$H$4,1)</f>
        <v>12.5</v>
      </c>
      <c r="AP56" s="53">
        <f>$M$5+AO56</f>
        <v>885.5</v>
      </c>
    </row>
    <row r="57">
      <c r="A57" s="31"/>
      <c r="B57" s="17"/>
      <c r="C57" s="17"/>
      <c r="D57" s="17"/>
      <c r="E57" s="17"/>
      <c r="F57" s="18"/>
      <c r="G57" s="114"/>
      <c r="H57" s="107" t="s">
        <v>23</v>
      </c>
      <c r="I57" s="109">
        <v>35.0</v>
      </c>
      <c r="J57" s="109">
        <v>35.0</v>
      </c>
      <c r="K57" s="109">
        <v>35.0</v>
      </c>
      <c r="L57" s="109">
        <f>35+1</f>
        <v>36</v>
      </c>
      <c r="M57" s="109">
        <v>35.0</v>
      </c>
      <c r="N57" s="109">
        <v>35.0</v>
      </c>
      <c r="O57" s="107"/>
      <c r="P57" s="109">
        <v>35.0</v>
      </c>
      <c r="Q57" s="109">
        <v>35.0</v>
      </c>
      <c r="R57" s="111">
        <v>35.0</v>
      </c>
      <c r="S57" s="111">
        <v>35.0</v>
      </c>
      <c r="T57" s="111">
        <v>30.0</v>
      </c>
      <c r="U57" s="111">
        <v>30.0</v>
      </c>
      <c r="V57" s="110"/>
      <c r="W57" s="111">
        <v>30.0</v>
      </c>
      <c r="X57" s="111">
        <v>30.0</v>
      </c>
      <c r="Y57" s="111">
        <v>30.0</v>
      </c>
      <c r="Z57" s="111">
        <v>30.0</v>
      </c>
      <c r="AA57" s="111">
        <v>30.0</v>
      </c>
      <c r="AB57" s="111">
        <v>30.0</v>
      </c>
      <c r="AC57" s="111"/>
      <c r="AD57" s="110"/>
      <c r="AE57" s="111">
        <v>30.0</v>
      </c>
      <c r="AF57" s="111">
        <v>30.0</v>
      </c>
      <c r="AG57" s="111">
        <v>30.0</v>
      </c>
      <c r="AH57" s="111">
        <v>30.0</v>
      </c>
      <c r="AI57" s="111"/>
      <c r="AJ57" s="111"/>
      <c r="AK57" s="111">
        <v>30.0</v>
      </c>
      <c r="AL57" s="112"/>
      <c r="AM57" s="125">
        <v>20.0</v>
      </c>
      <c r="AN57" s="32"/>
    </row>
    <row r="58">
      <c r="A58" s="54"/>
      <c r="B58" s="54"/>
      <c r="C58" s="54"/>
      <c r="D58" s="54"/>
      <c r="E58" s="106"/>
      <c r="F58" s="106"/>
      <c r="G58" s="107"/>
      <c r="H58" s="107"/>
      <c r="I58" s="118"/>
      <c r="J58" s="118"/>
      <c r="K58" s="124"/>
      <c r="L58" s="118"/>
      <c r="M58" s="118"/>
      <c r="N58" s="118"/>
      <c r="O58" s="114"/>
      <c r="P58" s="124"/>
      <c r="Q58" s="118"/>
      <c r="R58" s="120"/>
      <c r="S58" s="120"/>
      <c r="T58" s="120"/>
      <c r="U58" s="120"/>
      <c r="V58" s="110"/>
      <c r="W58" s="127"/>
      <c r="X58" s="120"/>
      <c r="Y58" s="120"/>
      <c r="Z58" s="120"/>
      <c r="AA58" s="120"/>
      <c r="AB58" s="120"/>
      <c r="AC58" s="110"/>
      <c r="AD58" s="119"/>
      <c r="AE58" s="120"/>
      <c r="AF58" s="127"/>
      <c r="AG58" s="120"/>
      <c r="AH58" s="120"/>
      <c r="AI58" s="119"/>
      <c r="AJ58" s="110"/>
      <c r="AK58" s="120"/>
      <c r="AL58" s="119"/>
      <c r="AM58" s="120"/>
      <c r="AN58" s="122"/>
      <c r="AO58" s="53"/>
      <c r="AP58" s="53"/>
    </row>
    <row r="59">
      <c r="A59" s="55" t="s">
        <v>41</v>
      </c>
      <c r="B59" s="17"/>
      <c r="C59" s="17"/>
      <c r="D59" s="18"/>
      <c r="E59" s="106">
        <v>1.0</v>
      </c>
      <c r="F59" s="106" t="s">
        <v>21</v>
      </c>
      <c r="G59" s="107">
        <v>639.0</v>
      </c>
      <c r="H59" s="107" t="s">
        <v>22</v>
      </c>
      <c r="I59" s="108"/>
      <c r="J59" s="109">
        <v>110.0</v>
      </c>
      <c r="K59" s="109"/>
      <c r="L59" s="108"/>
      <c r="M59" s="108"/>
      <c r="N59" s="108"/>
      <c r="O59" s="114"/>
      <c r="P59" s="109">
        <v>100.0</v>
      </c>
      <c r="Q59" s="108"/>
      <c r="R59" s="110"/>
      <c r="S59" s="110"/>
      <c r="T59" s="110"/>
      <c r="U59" s="110"/>
      <c r="V59" s="110"/>
      <c r="W59" s="111">
        <v>150.0</v>
      </c>
      <c r="X59" s="110"/>
      <c r="Y59" s="110"/>
      <c r="Z59" s="110"/>
      <c r="AA59" s="110"/>
      <c r="AB59" s="110"/>
      <c r="AC59" s="110"/>
      <c r="AD59" s="110"/>
      <c r="AE59" s="110"/>
      <c r="AF59" s="111"/>
      <c r="AG59" s="110"/>
      <c r="AH59" s="110"/>
      <c r="AI59" s="110"/>
      <c r="AJ59" s="110"/>
      <c r="AK59" s="110"/>
      <c r="AL59" s="112"/>
      <c r="AM59" s="112"/>
      <c r="AN59" s="113">
        <f>G59+SUM(I59:AL59)-SUM(I60:AL60)</f>
        <v>478</v>
      </c>
      <c r="AO59" s="53">
        <f>ROUNDDOWN((AN59/E59)/$H$4,1)</f>
        <v>15.9</v>
      </c>
      <c r="AP59" s="53">
        <f>$M$3+AO59</f>
        <v>888.9</v>
      </c>
    </row>
    <row r="60">
      <c r="A60" s="31"/>
      <c r="B60" s="17"/>
      <c r="C60" s="17"/>
      <c r="D60" s="17"/>
      <c r="E60" s="17"/>
      <c r="F60" s="18"/>
      <c r="G60" s="114"/>
      <c r="H60" s="107" t="s">
        <v>23</v>
      </c>
      <c r="I60" s="109"/>
      <c r="J60" s="109">
        <v>50.0</v>
      </c>
      <c r="K60" s="109">
        <v>60.0</v>
      </c>
      <c r="L60" s="109">
        <v>20.0</v>
      </c>
      <c r="M60" s="108"/>
      <c r="N60" s="109"/>
      <c r="O60" s="114"/>
      <c r="P60" s="109">
        <v>50.0</v>
      </c>
      <c r="Q60" s="109">
        <v>61.0</v>
      </c>
      <c r="R60" s="111">
        <v>50.0</v>
      </c>
      <c r="S60" s="110"/>
      <c r="T60" s="111">
        <v>60.0</v>
      </c>
      <c r="U60" s="110"/>
      <c r="V60" s="110"/>
      <c r="W60" s="110"/>
      <c r="X60" s="111">
        <v>50.0</v>
      </c>
      <c r="Y60" s="111">
        <v>60.0</v>
      </c>
      <c r="Z60" s="110"/>
      <c r="AA60" s="111">
        <v>60.0</v>
      </c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2"/>
      <c r="AM60" s="112"/>
      <c r="AN60" s="32"/>
    </row>
    <row r="61">
      <c r="A61" s="33"/>
      <c r="B61" s="33"/>
      <c r="C61" s="33"/>
      <c r="D61" s="33"/>
      <c r="E61" s="106"/>
      <c r="F61" s="106"/>
      <c r="G61" s="107"/>
      <c r="H61" s="107"/>
      <c r="I61" s="117"/>
      <c r="J61" s="118"/>
      <c r="K61" s="124"/>
      <c r="L61" s="118"/>
      <c r="M61" s="117"/>
      <c r="N61" s="117"/>
      <c r="O61" s="114"/>
      <c r="P61" s="124"/>
      <c r="Q61" s="118"/>
      <c r="R61" s="127"/>
      <c r="S61" s="119"/>
      <c r="T61" s="120"/>
      <c r="U61" s="119"/>
      <c r="V61" s="110"/>
      <c r="W61" s="119"/>
      <c r="X61" s="120"/>
      <c r="Y61" s="120"/>
      <c r="Z61" s="119"/>
      <c r="AA61" s="120"/>
      <c r="AB61" s="119"/>
      <c r="AC61" s="110"/>
      <c r="AD61" s="119"/>
      <c r="AE61" s="119"/>
      <c r="AF61" s="121"/>
      <c r="AG61" s="119"/>
      <c r="AH61" s="119"/>
      <c r="AI61" s="119"/>
      <c r="AJ61" s="110"/>
      <c r="AK61" s="119"/>
      <c r="AL61" s="119"/>
      <c r="AM61" s="119"/>
      <c r="AN61" s="122"/>
      <c r="AO61" s="53"/>
      <c r="AP61" s="53"/>
    </row>
    <row r="62">
      <c r="A62" s="24" t="s">
        <v>42</v>
      </c>
      <c r="B62" s="17"/>
      <c r="C62" s="17"/>
      <c r="D62" s="18"/>
      <c r="E62" s="106">
        <v>1.0</v>
      </c>
      <c r="F62" s="106" t="s">
        <v>21</v>
      </c>
      <c r="G62" s="107">
        <v>625.0</v>
      </c>
      <c r="H62" s="107" t="s">
        <v>22</v>
      </c>
      <c r="I62" s="108"/>
      <c r="J62" s="109">
        <v>110.0</v>
      </c>
      <c r="K62" s="109"/>
      <c r="L62" s="108"/>
      <c r="M62" s="108"/>
      <c r="N62" s="108"/>
      <c r="O62" s="114"/>
      <c r="P62" s="109">
        <v>100.0</v>
      </c>
      <c r="Q62" s="108"/>
      <c r="R62" s="110"/>
      <c r="S62" s="110"/>
      <c r="T62" s="110"/>
      <c r="U62" s="110"/>
      <c r="V62" s="110"/>
      <c r="W62" s="111">
        <v>150.0</v>
      </c>
      <c r="X62" s="110"/>
      <c r="Y62" s="110"/>
      <c r="Z62" s="110"/>
      <c r="AA62" s="110"/>
      <c r="AB62" s="110"/>
      <c r="AC62" s="110"/>
      <c r="AD62" s="110"/>
      <c r="AE62" s="110"/>
      <c r="AF62" s="111"/>
      <c r="AG62" s="110"/>
      <c r="AH62" s="110"/>
      <c r="AI62" s="110"/>
      <c r="AJ62" s="110"/>
      <c r="AK62" s="110"/>
      <c r="AL62" s="112"/>
      <c r="AM62" s="125"/>
      <c r="AN62" s="113">
        <f>G62+SUM(I62:AL62)-SUM(I63:AL63)</f>
        <v>292</v>
      </c>
      <c r="AO62" s="53">
        <f>ROUNDDOWN((AN62/E62)/$H$4,1)</f>
        <v>9.7</v>
      </c>
      <c r="AP62" s="53">
        <f>$M$3+AO62</f>
        <v>882.7</v>
      </c>
    </row>
    <row r="63">
      <c r="A63" s="31"/>
      <c r="B63" s="17"/>
      <c r="C63" s="17"/>
      <c r="D63" s="17"/>
      <c r="E63" s="17"/>
      <c r="F63" s="18"/>
      <c r="G63" s="114"/>
      <c r="H63" s="107" t="s">
        <v>23</v>
      </c>
      <c r="I63" s="109">
        <v>34.0</v>
      </c>
      <c r="J63" s="109">
        <v>35.0</v>
      </c>
      <c r="K63" s="109">
        <f>20+20</f>
        <v>40</v>
      </c>
      <c r="L63" s="109">
        <f t="shared" ref="L63:N63" si="15">20+15</f>
        <v>35</v>
      </c>
      <c r="M63" s="108">
        <f t="shared" si="15"/>
        <v>35</v>
      </c>
      <c r="N63" s="108">
        <f t="shared" si="15"/>
        <v>35</v>
      </c>
      <c r="O63" s="107"/>
      <c r="P63" s="108">
        <f t="shared" ref="P63:R63" si="16">20+15</f>
        <v>35</v>
      </c>
      <c r="Q63" s="108">
        <f t="shared" si="16"/>
        <v>35</v>
      </c>
      <c r="R63" s="110">
        <f t="shared" si="16"/>
        <v>35</v>
      </c>
      <c r="S63" s="110"/>
      <c r="T63" s="111">
        <v>30.0</v>
      </c>
      <c r="U63" s="111">
        <v>17.0</v>
      </c>
      <c r="V63" s="110"/>
      <c r="W63" s="111">
        <v>27.0</v>
      </c>
      <c r="X63" s="111">
        <v>30.0</v>
      </c>
      <c r="Y63" s="111">
        <v>30.0</v>
      </c>
      <c r="Z63" s="111">
        <v>30.0</v>
      </c>
      <c r="AA63" s="111">
        <v>12.0</v>
      </c>
      <c r="AB63" s="111">
        <v>25.0</v>
      </c>
      <c r="AC63" s="110"/>
      <c r="AD63" s="110">
        <f>15+16</f>
        <v>31</v>
      </c>
      <c r="AE63" s="110">
        <f>15+15</f>
        <v>30</v>
      </c>
      <c r="AF63" s="111">
        <v>15.0</v>
      </c>
      <c r="AG63" s="110">
        <f>16+10</f>
        <v>26</v>
      </c>
      <c r="AH63" s="111">
        <v>15.0</v>
      </c>
      <c r="AI63" s="111">
        <f>11+15</f>
        <v>26</v>
      </c>
      <c r="AJ63" s="110"/>
      <c r="AK63" s="111">
        <v>15.0</v>
      </c>
      <c r="AL63" s="125">
        <v>15.0</v>
      </c>
      <c r="AM63" s="125">
        <f>16+5</f>
        <v>21</v>
      </c>
      <c r="AN63" s="32"/>
    </row>
    <row r="64">
      <c r="A64" s="54"/>
      <c r="B64" s="54"/>
      <c r="C64" s="54"/>
      <c r="D64" s="54"/>
      <c r="E64" s="106"/>
      <c r="F64" s="106"/>
      <c r="G64" s="107"/>
      <c r="H64" s="107"/>
      <c r="I64" s="118"/>
      <c r="J64" s="118"/>
      <c r="K64" s="124"/>
      <c r="L64" s="118"/>
      <c r="M64" s="118"/>
      <c r="N64" s="118"/>
      <c r="O64" s="114"/>
      <c r="P64" s="124"/>
      <c r="Q64" s="118"/>
      <c r="R64" s="120"/>
      <c r="S64" s="119"/>
      <c r="T64" s="120"/>
      <c r="U64" s="120"/>
      <c r="V64" s="110"/>
      <c r="W64" s="127"/>
      <c r="X64" s="120"/>
      <c r="Y64" s="120"/>
      <c r="Z64" s="120"/>
      <c r="AA64" s="120"/>
      <c r="AB64" s="120"/>
      <c r="AC64" s="110"/>
      <c r="AD64" s="120"/>
      <c r="AE64" s="120"/>
      <c r="AF64" s="127"/>
      <c r="AG64" s="120"/>
      <c r="AH64" s="120"/>
      <c r="AI64" s="120"/>
      <c r="AJ64" s="110"/>
      <c r="AK64" s="120"/>
      <c r="AL64" s="120"/>
      <c r="AM64" s="120"/>
      <c r="AN64" s="122"/>
      <c r="AO64" s="53"/>
      <c r="AP64" s="53"/>
    </row>
    <row r="65">
      <c r="A65" s="55" t="s">
        <v>43</v>
      </c>
      <c r="B65" s="17"/>
      <c r="C65" s="17"/>
      <c r="D65" s="18"/>
      <c r="E65" s="106">
        <v>1.0</v>
      </c>
      <c r="F65" s="106" t="s">
        <v>21</v>
      </c>
      <c r="G65" s="107">
        <v>687.0</v>
      </c>
      <c r="H65" s="107" t="s">
        <v>22</v>
      </c>
      <c r="I65" s="108"/>
      <c r="J65" s="109">
        <v>110.0</v>
      </c>
      <c r="K65" s="109"/>
      <c r="L65" s="108"/>
      <c r="M65" s="108"/>
      <c r="N65" s="108"/>
      <c r="O65" s="114"/>
      <c r="P65" s="109">
        <v>100.0</v>
      </c>
      <c r="Q65" s="108"/>
      <c r="R65" s="110"/>
      <c r="S65" s="110"/>
      <c r="T65" s="110"/>
      <c r="U65" s="110"/>
      <c r="V65" s="110"/>
      <c r="W65" s="111">
        <v>150.0</v>
      </c>
      <c r="X65" s="110"/>
      <c r="Y65" s="110"/>
      <c r="Z65" s="110"/>
      <c r="AA65" s="110"/>
      <c r="AB65" s="110"/>
      <c r="AC65" s="110"/>
      <c r="AD65" s="110"/>
      <c r="AE65" s="110"/>
      <c r="AF65" s="111"/>
      <c r="AG65" s="110"/>
      <c r="AH65" s="110"/>
      <c r="AI65" s="112"/>
      <c r="AJ65" s="110"/>
      <c r="AK65" s="110"/>
      <c r="AL65" s="112"/>
      <c r="AM65" s="112"/>
      <c r="AN65" s="113">
        <f>G65+SUM(I65:AL65)-SUM(I66:AL66)</f>
        <v>526</v>
      </c>
      <c r="AO65" s="53">
        <f>ROUNDDOWN((AN65/E65)/$H$4,1)</f>
        <v>17.5</v>
      </c>
      <c r="AP65" s="53">
        <f>$M$3+AO65</f>
        <v>890.5</v>
      </c>
    </row>
    <row r="66">
      <c r="A66" s="31"/>
      <c r="B66" s="17"/>
      <c r="C66" s="17"/>
      <c r="D66" s="17"/>
      <c r="E66" s="17"/>
      <c r="F66" s="18"/>
      <c r="G66" s="114"/>
      <c r="H66" s="107" t="s">
        <v>23</v>
      </c>
      <c r="I66" s="109"/>
      <c r="J66" s="109">
        <v>50.0</v>
      </c>
      <c r="K66" s="109">
        <v>60.0</v>
      </c>
      <c r="L66" s="109">
        <v>20.0</v>
      </c>
      <c r="M66" s="108"/>
      <c r="N66" s="109"/>
      <c r="O66" s="114"/>
      <c r="P66" s="109">
        <v>50.0</v>
      </c>
      <c r="Q66" s="109">
        <v>61.0</v>
      </c>
      <c r="R66" s="111">
        <v>50.0</v>
      </c>
      <c r="S66" s="110"/>
      <c r="T66" s="111">
        <v>60.0</v>
      </c>
      <c r="U66" s="110"/>
      <c r="V66" s="110"/>
      <c r="W66" s="110"/>
      <c r="X66" s="111">
        <v>50.0</v>
      </c>
      <c r="Y66" s="111">
        <v>60.0</v>
      </c>
      <c r="Z66" s="110"/>
      <c r="AA66" s="111">
        <v>60.0</v>
      </c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2"/>
      <c r="AM66" s="112"/>
      <c r="AN66" s="32"/>
    </row>
    <row r="67">
      <c r="A67" s="33"/>
      <c r="B67" s="33"/>
      <c r="C67" s="33"/>
      <c r="D67" s="33"/>
      <c r="E67" s="106"/>
      <c r="F67" s="106"/>
      <c r="G67" s="107"/>
      <c r="H67" s="107"/>
      <c r="I67" s="117"/>
      <c r="J67" s="118"/>
      <c r="K67" s="124"/>
      <c r="L67" s="118"/>
      <c r="M67" s="117"/>
      <c r="N67" s="117"/>
      <c r="O67" s="114"/>
      <c r="P67" s="124"/>
      <c r="Q67" s="118"/>
      <c r="R67" s="127"/>
      <c r="S67" s="119"/>
      <c r="T67" s="120"/>
      <c r="U67" s="119"/>
      <c r="V67" s="110"/>
      <c r="W67" s="119"/>
      <c r="X67" s="120"/>
      <c r="Y67" s="120"/>
      <c r="Z67" s="119"/>
      <c r="AA67" s="120"/>
      <c r="AB67" s="119"/>
      <c r="AC67" s="110"/>
      <c r="AD67" s="119"/>
      <c r="AE67" s="119"/>
      <c r="AF67" s="121"/>
      <c r="AG67" s="119"/>
      <c r="AH67" s="119"/>
      <c r="AI67" s="119"/>
      <c r="AJ67" s="110"/>
      <c r="AK67" s="119"/>
      <c r="AL67" s="119"/>
      <c r="AM67" s="119"/>
      <c r="AN67" s="122"/>
      <c r="AO67" s="53"/>
      <c r="AP67" s="53"/>
    </row>
    <row r="68">
      <c r="A68" s="24" t="s">
        <v>44</v>
      </c>
      <c r="B68" s="17"/>
      <c r="C68" s="17"/>
      <c r="D68" s="18"/>
      <c r="E68" s="106">
        <v>2.0</v>
      </c>
      <c r="F68" s="106" t="s">
        <v>21</v>
      </c>
      <c r="G68" s="107">
        <v>738.0</v>
      </c>
      <c r="H68" s="107" t="s">
        <v>22</v>
      </c>
      <c r="I68" s="108"/>
      <c r="J68" s="109">
        <v>220.0</v>
      </c>
      <c r="K68" s="109"/>
      <c r="L68" s="108"/>
      <c r="M68" s="108"/>
      <c r="N68" s="108"/>
      <c r="O68" s="114"/>
      <c r="P68" s="109">
        <v>200.0</v>
      </c>
      <c r="Q68" s="108"/>
      <c r="R68" s="110"/>
      <c r="S68" s="110"/>
      <c r="T68" s="110"/>
      <c r="U68" s="110"/>
      <c r="V68" s="110"/>
      <c r="W68" s="111">
        <v>300.0</v>
      </c>
      <c r="X68" s="110"/>
      <c r="Y68" s="110"/>
      <c r="Z68" s="110"/>
      <c r="AA68" s="110"/>
      <c r="AB68" s="110"/>
      <c r="AC68" s="110"/>
      <c r="AD68" s="110"/>
      <c r="AE68" s="110"/>
      <c r="AF68" s="111"/>
      <c r="AG68" s="110"/>
      <c r="AH68" s="110"/>
      <c r="AI68" s="110"/>
      <c r="AJ68" s="110"/>
      <c r="AK68" s="110"/>
      <c r="AL68" s="112"/>
      <c r="AM68" s="112"/>
      <c r="AN68" s="113">
        <f>G68+SUM(I68:AL68)-SUM(I69:AL69)</f>
        <v>-22</v>
      </c>
      <c r="AO68" s="53">
        <f>ROUNDDOWN((AN68/E68)/$H$4,1)</f>
        <v>-0.3</v>
      </c>
      <c r="AP68" s="53">
        <f>$M$5+AO68</f>
        <v>872.7</v>
      </c>
    </row>
    <row r="69">
      <c r="A69" s="31"/>
      <c r="B69" s="17"/>
      <c r="C69" s="17"/>
      <c r="D69" s="17"/>
      <c r="E69" s="17"/>
      <c r="F69" s="18"/>
      <c r="G69" s="114"/>
      <c r="H69" s="107" t="s">
        <v>23</v>
      </c>
      <c r="I69" s="109">
        <v>70.0</v>
      </c>
      <c r="J69" s="109">
        <v>70.0</v>
      </c>
      <c r="K69" s="109">
        <v>70.0</v>
      </c>
      <c r="L69" s="109">
        <v>70.0</v>
      </c>
      <c r="M69" s="109">
        <v>70.0</v>
      </c>
      <c r="N69" s="109">
        <v>70.0</v>
      </c>
      <c r="O69" s="107"/>
      <c r="P69" s="109">
        <v>70.0</v>
      </c>
      <c r="Q69" s="109">
        <v>70.0</v>
      </c>
      <c r="R69" s="111">
        <v>70.0</v>
      </c>
      <c r="S69" s="111">
        <v>70.0</v>
      </c>
      <c r="T69" s="111">
        <v>60.0</v>
      </c>
      <c r="U69" s="111">
        <v>60.0</v>
      </c>
      <c r="V69" s="110"/>
      <c r="W69" s="111">
        <v>60.0</v>
      </c>
      <c r="X69" s="111">
        <v>60.0</v>
      </c>
      <c r="Y69" s="111">
        <v>60.0</v>
      </c>
      <c r="Z69" s="111">
        <v>60.0</v>
      </c>
      <c r="AA69" s="111">
        <v>60.0</v>
      </c>
      <c r="AB69" s="111">
        <v>60.0</v>
      </c>
      <c r="AC69" s="111"/>
      <c r="AD69" s="110"/>
      <c r="AE69" s="111">
        <v>60.0</v>
      </c>
      <c r="AF69" s="111">
        <v>60.0</v>
      </c>
      <c r="AG69" s="111">
        <v>60.0</v>
      </c>
      <c r="AH69" s="111">
        <v>60.0</v>
      </c>
      <c r="AI69" s="111"/>
      <c r="AJ69" s="111"/>
      <c r="AK69" s="111">
        <v>60.0</v>
      </c>
      <c r="AL69" s="112"/>
      <c r="AM69" s="125">
        <v>40.0</v>
      </c>
      <c r="AN69" s="32"/>
    </row>
    <row r="70">
      <c r="A70" s="33"/>
      <c r="B70" s="33"/>
      <c r="C70" s="33"/>
      <c r="D70" s="33"/>
      <c r="E70" s="106"/>
      <c r="F70" s="106"/>
      <c r="G70" s="107"/>
      <c r="H70" s="107"/>
      <c r="I70" s="118"/>
      <c r="J70" s="118"/>
      <c r="K70" s="118"/>
      <c r="L70" s="118"/>
      <c r="M70" s="118"/>
      <c r="N70" s="118"/>
      <c r="O70" s="114"/>
      <c r="P70" s="118"/>
      <c r="Q70" s="118"/>
      <c r="R70" s="120"/>
      <c r="S70" s="120"/>
      <c r="T70" s="120"/>
      <c r="U70" s="120"/>
      <c r="V70" s="110"/>
      <c r="W70" s="120"/>
      <c r="X70" s="120"/>
      <c r="Y70" s="120"/>
      <c r="Z70" s="120"/>
      <c r="AA70" s="120"/>
      <c r="AB70" s="120"/>
      <c r="AC70" s="110"/>
      <c r="AD70" s="119"/>
      <c r="AE70" s="120"/>
      <c r="AF70" s="120"/>
      <c r="AG70" s="120"/>
      <c r="AH70" s="120"/>
      <c r="AI70" s="119"/>
      <c r="AJ70" s="110"/>
      <c r="AK70" s="120"/>
      <c r="AL70" s="119"/>
      <c r="AM70" s="120"/>
      <c r="AN70" s="122"/>
      <c r="AO70" s="53"/>
      <c r="AP70" s="53"/>
    </row>
    <row r="71">
      <c r="A71" s="24" t="s">
        <v>45</v>
      </c>
      <c r="B71" s="17"/>
      <c r="C71" s="17"/>
      <c r="D71" s="18"/>
      <c r="E71" s="106">
        <v>2.0</v>
      </c>
      <c r="F71" s="106" t="s">
        <v>46</v>
      </c>
      <c r="G71" s="107">
        <f>1120+1814</f>
        <v>2934</v>
      </c>
      <c r="H71" s="107" t="s">
        <v>22</v>
      </c>
      <c r="I71" s="108"/>
      <c r="J71" s="108"/>
      <c r="K71" s="108"/>
      <c r="L71" s="108"/>
      <c r="M71" s="108"/>
      <c r="N71" s="108"/>
      <c r="O71" s="114"/>
      <c r="P71" s="108"/>
      <c r="Q71" s="108"/>
      <c r="R71" s="110"/>
      <c r="S71" s="110"/>
      <c r="T71" s="110"/>
      <c r="U71" s="110"/>
      <c r="V71" s="110"/>
      <c r="W71" s="110"/>
      <c r="X71" s="111"/>
      <c r="Y71" s="110"/>
      <c r="Z71" s="110"/>
      <c r="AA71" s="110"/>
      <c r="AB71" s="110"/>
      <c r="AC71" s="110"/>
      <c r="AD71" s="110"/>
      <c r="AE71" s="110"/>
      <c r="AF71" s="110"/>
      <c r="AG71" s="110"/>
      <c r="AH71" s="111">
        <v>1620.0</v>
      </c>
      <c r="AI71" s="110"/>
      <c r="AJ71" s="110"/>
      <c r="AK71" s="110"/>
      <c r="AL71" s="112"/>
      <c r="AM71" s="112"/>
      <c r="AN71" s="113">
        <f>G71+SUM(I71:AL71)-SUM(I72:AL72)</f>
        <v>3274</v>
      </c>
      <c r="AO71" s="53">
        <f>ROUNDDOWN((AN71/E71)/$H$4,1)</f>
        <v>54.5</v>
      </c>
      <c r="AP71" s="53">
        <f>$M$5+AO71</f>
        <v>927.5</v>
      </c>
    </row>
    <row r="72">
      <c r="A72" s="31"/>
      <c r="B72" s="17"/>
      <c r="C72" s="17"/>
      <c r="D72" s="17"/>
      <c r="E72" s="17"/>
      <c r="F72" s="18"/>
      <c r="G72" s="114"/>
      <c r="H72" s="107" t="s">
        <v>23</v>
      </c>
      <c r="I72" s="108"/>
      <c r="J72" s="109">
        <v>70.0</v>
      </c>
      <c r="K72" s="109">
        <v>70.0</v>
      </c>
      <c r="L72" s="109">
        <v>70.0</v>
      </c>
      <c r="M72" s="108"/>
      <c r="N72" s="109">
        <v>70.0</v>
      </c>
      <c r="O72" s="114"/>
      <c r="P72" s="109">
        <v>70.0</v>
      </c>
      <c r="Q72" s="109">
        <v>70.0</v>
      </c>
      <c r="R72" s="111">
        <v>70.0</v>
      </c>
      <c r="S72" s="111">
        <v>70.0</v>
      </c>
      <c r="T72" s="111">
        <v>60.0</v>
      </c>
      <c r="U72" s="111">
        <v>60.0</v>
      </c>
      <c r="V72" s="110"/>
      <c r="W72" s="111">
        <v>60.0</v>
      </c>
      <c r="X72" s="111">
        <v>60.0</v>
      </c>
      <c r="Y72" s="111">
        <v>60.0</v>
      </c>
      <c r="Z72" s="111">
        <v>60.0</v>
      </c>
      <c r="AA72" s="111">
        <v>60.0</v>
      </c>
      <c r="AB72" s="111">
        <v>60.0</v>
      </c>
      <c r="AC72" s="110"/>
      <c r="AD72" s="111"/>
      <c r="AE72" s="111">
        <v>60.0</v>
      </c>
      <c r="AF72" s="111"/>
      <c r="AG72" s="111">
        <v>60.0</v>
      </c>
      <c r="AH72" s="111">
        <v>60.0</v>
      </c>
      <c r="AI72" s="111"/>
      <c r="AJ72" s="111"/>
      <c r="AK72" s="111">
        <v>60.0</v>
      </c>
      <c r="AL72" s="112"/>
      <c r="AM72" s="125">
        <v>40.0</v>
      </c>
      <c r="AN72" s="32"/>
    </row>
    <row r="73">
      <c r="A73" s="33"/>
      <c r="B73" s="33"/>
      <c r="C73" s="33"/>
      <c r="D73" s="33"/>
      <c r="E73" s="106"/>
      <c r="F73" s="106"/>
      <c r="G73" s="107"/>
      <c r="H73" s="107"/>
      <c r="I73" s="117"/>
      <c r="J73" s="118"/>
      <c r="K73" s="118"/>
      <c r="L73" s="118"/>
      <c r="M73" s="117"/>
      <c r="N73" s="118"/>
      <c r="O73" s="114"/>
      <c r="P73" s="118"/>
      <c r="Q73" s="118"/>
      <c r="R73" s="120"/>
      <c r="S73" s="120"/>
      <c r="T73" s="120"/>
      <c r="U73" s="120"/>
      <c r="V73" s="110"/>
      <c r="W73" s="120"/>
      <c r="X73" s="120"/>
      <c r="Y73" s="120"/>
      <c r="Z73" s="120"/>
      <c r="AA73" s="120"/>
      <c r="AB73" s="120"/>
      <c r="AC73" s="110"/>
      <c r="AD73" s="119"/>
      <c r="AE73" s="120"/>
      <c r="AF73" s="119"/>
      <c r="AG73" s="120"/>
      <c r="AH73" s="120"/>
      <c r="AI73" s="119"/>
      <c r="AJ73" s="110"/>
      <c r="AK73" s="120"/>
      <c r="AL73" s="119"/>
      <c r="AM73" s="120"/>
      <c r="AN73" s="122"/>
      <c r="AO73" s="53"/>
      <c r="AP73" s="53"/>
    </row>
    <row r="74">
      <c r="A74" s="24" t="s">
        <v>47</v>
      </c>
      <c r="B74" s="17"/>
      <c r="C74" s="17"/>
      <c r="D74" s="18"/>
      <c r="E74" s="106">
        <v>1.0</v>
      </c>
      <c r="F74" s="106" t="s">
        <v>21</v>
      </c>
      <c r="G74" s="107">
        <v>177.0</v>
      </c>
      <c r="H74" s="107" t="s">
        <v>22</v>
      </c>
      <c r="I74" s="108"/>
      <c r="J74" s="108"/>
      <c r="K74" s="108"/>
      <c r="L74" s="108"/>
      <c r="M74" s="109">
        <v>524.0</v>
      </c>
      <c r="N74" s="108"/>
      <c r="O74" s="114"/>
      <c r="P74" s="108"/>
      <c r="Q74" s="108"/>
      <c r="R74" s="110"/>
      <c r="S74" s="110"/>
      <c r="T74" s="111">
        <f>496+1020</f>
        <v>1516</v>
      </c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2"/>
      <c r="AM74" s="112"/>
      <c r="AN74" s="113">
        <f>G74+SUM(I74:AL74)-SUM(I75:AL75)</f>
        <v>1477</v>
      </c>
      <c r="AO74" s="53">
        <f>ROUNDDOWN((AN74/E74)/$H$4,1)</f>
        <v>49.2</v>
      </c>
      <c r="AP74" s="53">
        <f>$M$5+AO74</f>
        <v>922.2</v>
      </c>
    </row>
    <row r="75">
      <c r="A75" s="31"/>
      <c r="B75" s="17"/>
      <c r="C75" s="17"/>
      <c r="D75" s="17"/>
      <c r="E75" s="17"/>
      <c r="F75" s="18"/>
      <c r="G75" s="114"/>
      <c r="H75" s="107" t="s">
        <v>23</v>
      </c>
      <c r="I75" s="109">
        <v>35.0</v>
      </c>
      <c r="J75" s="109">
        <v>35.0</v>
      </c>
      <c r="K75" s="109">
        <v>35.0</v>
      </c>
      <c r="L75" s="109">
        <v>35.0</v>
      </c>
      <c r="M75" s="109">
        <v>35.0</v>
      </c>
      <c r="N75" s="109">
        <f>35</f>
        <v>35</v>
      </c>
      <c r="O75" s="107"/>
      <c r="P75" s="109">
        <v>35.0</v>
      </c>
      <c r="Q75" s="109">
        <v>35.0</v>
      </c>
      <c r="R75" s="111">
        <v>35.0</v>
      </c>
      <c r="S75" s="111">
        <v>35.0</v>
      </c>
      <c r="T75" s="111">
        <v>30.0</v>
      </c>
      <c r="U75" s="111">
        <v>30.0</v>
      </c>
      <c r="V75" s="110"/>
      <c r="W75" s="111">
        <v>30.0</v>
      </c>
      <c r="X75" s="111">
        <v>30.0</v>
      </c>
      <c r="Y75" s="111">
        <v>30.0</v>
      </c>
      <c r="Z75" s="111">
        <v>30.0</v>
      </c>
      <c r="AA75" s="111">
        <v>30.0</v>
      </c>
      <c r="AB75" s="111">
        <v>30.0</v>
      </c>
      <c r="AC75" s="111"/>
      <c r="AD75" s="110"/>
      <c r="AE75" s="111">
        <v>30.0</v>
      </c>
      <c r="AF75" s="111">
        <v>30.0</v>
      </c>
      <c r="AG75" s="111">
        <v>30.0</v>
      </c>
      <c r="AH75" s="111">
        <v>30.0</v>
      </c>
      <c r="AI75" s="111"/>
      <c r="AJ75" s="111"/>
      <c r="AK75" s="111">
        <v>30.0</v>
      </c>
      <c r="AL75" s="112"/>
      <c r="AM75" s="125">
        <v>8.0</v>
      </c>
      <c r="AN75" s="32"/>
    </row>
    <row r="76">
      <c r="A76" s="33"/>
      <c r="B76" s="33"/>
      <c r="C76" s="33"/>
      <c r="D76" s="33"/>
      <c r="E76" s="106"/>
      <c r="F76" s="106"/>
      <c r="G76" s="107"/>
      <c r="H76" s="107"/>
      <c r="I76" s="118"/>
      <c r="J76" s="118"/>
      <c r="K76" s="124"/>
      <c r="L76" s="124"/>
      <c r="M76" s="118"/>
      <c r="N76" s="118"/>
      <c r="O76" s="114"/>
      <c r="P76" s="118"/>
      <c r="Q76" s="118"/>
      <c r="R76" s="120"/>
      <c r="S76" s="120"/>
      <c r="T76" s="120"/>
      <c r="U76" s="127"/>
      <c r="V76" s="110"/>
      <c r="W76" s="120"/>
      <c r="X76" s="120"/>
      <c r="Y76" s="120"/>
      <c r="Z76" s="127"/>
      <c r="AA76" s="127"/>
      <c r="AB76" s="120"/>
      <c r="AC76" s="111"/>
      <c r="AD76" s="121"/>
      <c r="AE76" s="120"/>
      <c r="AF76" s="120"/>
      <c r="AG76" s="120"/>
      <c r="AH76" s="120"/>
      <c r="AI76" s="119"/>
      <c r="AJ76" s="110"/>
      <c r="AK76" s="120"/>
      <c r="AL76" s="119"/>
      <c r="AM76" s="120"/>
      <c r="AN76" s="122"/>
      <c r="AO76" s="53"/>
      <c r="AP76" s="53"/>
    </row>
    <row r="77">
      <c r="A77" s="24" t="s">
        <v>48</v>
      </c>
      <c r="B77" s="17"/>
      <c r="C77" s="17"/>
      <c r="D77" s="18"/>
      <c r="E77" s="106">
        <v>2.0</v>
      </c>
      <c r="F77" s="106" t="s">
        <v>21</v>
      </c>
      <c r="G77" s="107">
        <v>378.0</v>
      </c>
      <c r="H77" s="107" t="s">
        <v>22</v>
      </c>
      <c r="I77" s="109">
        <v>180.0</v>
      </c>
      <c r="J77" s="108"/>
      <c r="K77" s="109"/>
      <c r="L77" s="109"/>
      <c r="M77" s="108"/>
      <c r="N77" s="108"/>
      <c r="O77" s="114"/>
      <c r="P77" s="109">
        <v>180.0</v>
      </c>
      <c r="Q77" s="108"/>
      <c r="R77" s="111">
        <v>240.0</v>
      </c>
      <c r="S77" s="110"/>
      <c r="T77" s="110"/>
      <c r="U77" s="111">
        <v>180.0</v>
      </c>
      <c r="V77" s="110"/>
      <c r="W77" s="110"/>
      <c r="X77" s="110"/>
      <c r="Y77" s="110"/>
      <c r="Z77" s="111">
        <v>60.0</v>
      </c>
      <c r="AA77" s="111"/>
      <c r="AB77" s="110"/>
      <c r="AC77" s="111"/>
      <c r="AD77" s="111">
        <v>120.0</v>
      </c>
      <c r="AE77" s="110"/>
      <c r="AF77" s="110"/>
      <c r="AG77" s="110"/>
      <c r="AH77" s="110"/>
      <c r="AI77" s="110"/>
      <c r="AJ77" s="110"/>
      <c r="AK77" s="111">
        <v>120.0</v>
      </c>
      <c r="AL77" s="125">
        <v>120.0</v>
      </c>
      <c r="AM77" s="112"/>
      <c r="AN77" s="113">
        <f>G77+SUM(I77:AL77)-SUM(I78:AL78)</f>
        <v>148</v>
      </c>
      <c r="AO77" s="53">
        <f>ROUNDDOWN((AN77/E77)/$H$4,1)</f>
        <v>2.4</v>
      </c>
      <c r="AP77" s="53">
        <f>$M$3+AO77</f>
        <v>875.4</v>
      </c>
    </row>
    <row r="78">
      <c r="A78" s="31"/>
      <c r="B78" s="17"/>
      <c r="C78" s="17"/>
      <c r="D78" s="17"/>
      <c r="E78" s="17"/>
      <c r="F78" s="18"/>
      <c r="G78" s="114"/>
      <c r="H78" s="107" t="s">
        <v>23</v>
      </c>
      <c r="I78" s="109">
        <v>70.0</v>
      </c>
      <c r="J78" s="109">
        <v>66.0</v>
      </c>
      <c r="K78" s="109">
        <f>40+34</f>
        <v>74</v>
      </c>
      <c r="L78" s="109">
        <f t="shared" ref="L78:N78" si="17">40+30</f>
        <v>70</v>
      </c>
      <c r="M78" s="109">
        <f t="shared" si="17"/>
        <v>70</v>
      </c>
      <c r="N78" s="109">
        <f t="shared" si="17"/>
        <v>70</v>
      </c>
      <c r="O78" s="107"/>
      <c r="P78" s="108">
        <f>30+40</f>
        <v>70</v>
      </c>
      <c r="Q78" s="108">
        <f>30+20</f>
        <v>50</v>
      </c>
      <c r="R78" s="110">
        <f>30+30</f>
        <v>60</v>
      </c>
      <c r="S78" s="111">
        <v>30.0</v>
      </c>
      <c r="T78" s="110">
        <f t="shared" ref="T78:U78" si="18">30+30</f>
        <v>60</v>
      </c>
      <c r="U78" s="110">
        <f t="shared" si="18"/>
        <v>60</v>
      </c>
      <c r="V78" s="110"/>
      <c r="W78" s="111">
        <f t="shared" ref="W78:AB78" si="19">30+30</f>
        <v>60</v>
      </c>
      <c r="X78" s="111">
        <f t="shared" si="19"/>
        <v>60</v>
      </c>
      <c r="Y78" s="110">
        <f t="shared" si="19"/>
        <v>60</v>
      </c>
      <c r="Z78" s="111">
        <f t="shared" si="19"/>
        <v>60</v>
      </c>
      <c r="AA78" s="110">
        <f t="shared" si="19"/>
        <v>60</v>
      </c>
      <c r="AB78" s="111">
        <f t="shared" si="19"/>
        <v>60</v>
      </c>
      <c r="AC78" s="110"/>
      <c r="AD78" s="110">
        <f>30+26</f>
        <v>56</v>
      </c>
      <c r="AE78" s="111">
        <f>30+30</f>
        <v>60</v>
      </c>
      <c r="AF78" s="111">
        <v>40.0</v>
      </c>
      <c r="AG78" s="110">
        <f>30+16</f>
        <v>46</v>
      </c>
      <c r="AH78" s="111">
        <v>30.0</v>
      </c>
      <c r="AI78" s="110"/>
      <c r="AJ78" s="110"/>
      <c r="AK78" s="111">
        <v>50.0</v>
      </c>
      <c r="AL78" s="125">
        <v>38.0</v>
      </c>
      <c r="AM78" s="125">
        <v>34.0</v>
      </c>
      <c r="AN78" s="32"/>
    </row>
    <row r="79">
      <c r="A79" s="33"/>
      <c r="B79" s="33"/>
      <c r="C79" s="33"/>
      <c r="D79" s="33"/>
      <c r="E79" s="106"/>
      <c r="F79" s="106"/>
      <c r="G79" s="107"/>
      <c r="H79" s="107"/>
      <c r="I79" s="118"/>
      <c r="J79" s="118"/>
      <c r="K79" s="124"/>
      <c r="L79" s="124"/>
      <c r="M79" s="118"/>
      <c r="N79" s="118"/>
      <c r="O79" s="114"/>
      <c r="P79" s="118"/>
      <c r="Q79" s="118"/>
      <c r="R79" s="120"/>
      <c r="S79" s="120"/>
      <c r="T79" s="120"/>
      <c r="U79" s="127"/>
      <c r="V79" s="110"/>
      <c r="W79" s="120"/>
      <c r="X79" s="120"/>
      <c r="Y79" s="120"/>
      <c r="Z79" s="127"/>
      <c r="AA79" s="127"/>
      <c r="AB79" s="120"/>
      <c r="AC79" s="111"/>
      <c r="AD79" s="127"/>
      <c r="AE79" s="127"/>
      <c r="AF79" s="120"/>
      <c r="AG79" s="120"/>
      <c r="AH79" s="120"/>
      <c r="AI79" s="119"/>
      <c r="AJ79" s="110"/>
      <c r="AK79" s="120"/>
      <c r="AL79" s="120"/>
      <c r="AM79" s="120"/>
      <c r="AN79" s="122"/>
      <c r="AO79" s="53"/>
      <c r="AP79" s="53"/>
    </row>
    <row r="80">
      <c r="A80" s="24" t="s">
        <v>49</v>
      </c>
      <c r="B80" s="17"/>
      <c r="C80" s="17"/>
      <c r="D80" s="18"/>
      <c r="E80" s="106">
        <v>3.0</v>
      </c>
      <c r="F80" s="106" t="s">
        <v>21</v>
      </c>
      <c r="G80" s="107">
        <v>720.0</v>
      </c>
      <c r="H80" s="107" t="s">
        <v>22</v>
      </c>
      <c r="I80" s="109">
        <v>270.0</v>
      </c>
      <c r="J80" s="108"/>
      <c r="K80" s="109"/>
      <c r="L80" s="109"/>
      <c r="M80" s="108"/>
      <c r="N80" s="108"/>
      <c r="O80" s="114"/>
      <c r="P80" s="109">
        <v>270.0</v>
      </c>
      <c r="Q80" s="108"/>
      <c r="R80" s="111">
        <v>360.0</v>
      </c>
      <c r="S80" s="110"/>
      <c r="T80" s="110"/>
      <c r="U80" s="111">
        <v>270.0</v>
      </c>
      <c r="V80" s="110"/>
      <c r="W80" s="110"/>
      <c r="X80" s="110"/>
      <c r="Y80" s="110"/>
      <c r="Z80" s="111">
        <v>90.0</v>
      </c>
      <c r="AA80" s="111"/>
      <c r="AB80" s="110"/>
      <c r="AC80" s="111"/>
      <c r="AD80" s="111">
        <v>180.0</v>
      </c>
      <c r="AE80" s="110"/>
      <c r="AF80" s="110"/>
      <c r="AG80" s="110"/>
      <c r="AH80" s="110"/>
      <c r="AI80" s="110"/>
      <c r="AJ80" s="110"/>
      <c r="AK80" s="111">
        <v>180.0</v>
      </c>
      <c r="AL80" s="125">
        <v>180.0</v>
      </c>
      <c r="AM80" s="112"/>
      <c r="AN80" s="113">
        <f>G80+SUM(I80:AL80)-SUM(I81:AL81)</f>
        <v>375</v>
      </c>
      <c r="AO80" s="53">
        <f>ROUNDDOWN((AN80/E80)/$H$4,1)</f>
        <v>4.1</v>
      </c>
      <c r="AP80" s="53">
        <f>$M$3+AO80</f>
        <v>877.1</v>
      </c>
    </row>
    <row r="81">
      <c r="A81" s="136"/>
      <c r="B81" s="137"/>
      <c r="C81" s="137"/>
      <c r="D81" s="137"/>
      <c r="E81" s="138"/>
      <c r="F81" s="138"/>
      <c r="G81" s="114"/>
      <c r="H81" s="107" t="s">
        <v>23</v>
      </c>
      <c r="I81" s="109">
        <f>45+60</f>
        <v>105</v>
      </c>
      <c r="J81" s="109">
        <f>45+54</f>
        <v>99</v>
      </c>
      <c r="K81" s="109">
        <f>60+51</f>
        <v>111</v>
      </c>
      <c r="L81" s="109">
        <f t="shared" ref="L81:N81" si="20">45+60</f>
        <v>105</v>
      </c>
      <c r="M81" s="109">
        <f t="shared" si="20"/>
        <v>105</v>
      </c>
      <c r="N81" s="109">
        <f t="shared" si="20"/>
        <v>105</v>
      </c>
      <c r="O81" s="107"/>
      <c r="P81" s="108">
        <f>45+60</f>
        <v>105</v>
      </c>
      <c r="Q81" s="108">
        <f>45+30</f>
        <v>75</v>
      </c>
      <c r="R81" s="110">
        <f>45+45</f>
        <v>90</v>
      </c>
      <c r="S81" s="111">
        <v>45.0</v>
      </c>
      <c r="T81" s="111">
        <f t="shared" ref="T81:U81" si="21">45+45</f>
        <v>90</v>
      </c>
      <c r="U81" s="110">
        <f t="shared" si="21"/>
        <v>90</v>
      </c>
      <c r="V81" s="110"/>
      <c r="W81" s="111">
        <f t="shared" ref="W81:AB81" si="22">45+45</f>
        <v>90</v>
      </c>
      <c r="X81" s="111">
        <f t="shared" si="22"/>
        <v>90</v>
      </c>
      <c r="Y81" s="110">
        <f t="shared" si="22"/>
        <v>90</v>
      </c>
      <c r="Z81" s="111">
        <f t="shared" si="22"/>
        <v>90</v>
      </c>
      <c r="AA81" s="110">
        <f t="shared" si="22"/>
        <v>90</v>
      </c>
      <c r="AB81" s="111">
        <f t="shared" si="22"/>
        <v>90</v>
      </c>
      <c r="AC81" s="110"/>
      <c r="AD81" s="111">
        <f>45+39</f>
        <v>84</v>
      </c>
      <c r="AE81" s="111">
        <f>45+45</f>
        <v>90</v>
      </c>
      <c r="AF81" s="111">
        <v>60.0</v>
      </c>
      <c r="AG81" s="110">
        <f>45+24</f>
        <v>69</v>
      </c>
      <c r="AH81" s="111">
        <v>45.0</v>
      </c>
      <c r="AI81" s="110"/>
      <c r="AJ81" s="110"/>
      <c r="AK81" s="111">
        <v>75.0</v>
      </c>
      <c r="AL81" s="125">
        <v>57.0</v>
      </c>
      <c r="AM81" s="125">
        <v>51.0</v>
      </c>
      <c r="AN81" s="32"/>
    </row>
    <row r="82">
      <c r="A82" s="139"/>
      <c r="B82" s="140"/>
      <c r="C82" s="140"/>
      <c r="D82" s="140"/>
      <c r="E82" s="140"/>
      <c r="F82" s="140"/>
      <c r="G82" s="141"/>
      <c r="H82" s="141"/>
      <c r="I82" s="142"/>
      <c r="J82" s="142"/>
      <c r="K82" s="142"/>
      <c r="L82" s="142"/>
      <c r="M82" s="142"/>
      <c r="N82" s="142"/>
      <c r="O82" s="143"/>
      <c r="P82" s="142"/>
      <c r="Q82" s="142"/>
      <c r="R82" s="144"/>
      <c r="S82" s="144"/>
      <c r="T82" s="144"/>
      <c r="U82" s="144"/>
      <c r="V82" s="145"/>
      <c r="W82" s="144"/>
      <c r="X82" s="144"/>
      <c r="Y82" s="144"/>
      <c r="Z82" s="144"/>
      <c r="AA82" s="144"/>
      <c r="AB82" s="144"/>
      <c r="AC82" s="145"/>
      <c r="AD82" s="144"/>
      <c r="AE82" s="144"/>
      <c r="AF82" s="144"/>
      <c r="AG82" s="144"/>
      <c r="AH82" s="144"/>
      <c r="AI82" s="146"/>
      <c r="AJ82" s="145"/>
      <c r="AK82" s="144"/>
      <c r="AL82" s="144"/>
      <c r="AM82" s="144"/>
      <c r="AN82" s="145"/>
      <c r="AO82" s="64"/>
      <c r="AP82" s="64"/>
    </row>
    <row r="83">
      <c r="A83" s="16" t="s">
        <v>50</v>
      </c>
      <c r="B83" s="17"/>
      <c r="C83" s="17"/>
      <c r="D83" s="17"/>
      <c r="E83" s="17"/>
      <c r="F83" s="17"/>
      <c r="G83" s="147"/>
      <c r="H83" s="147"/>
      <c r="I83" s="148"/>
      <c r="J83" s="148"/>
      <c r="K83" s="148"/>
      <c r="L83" s="148"/>
      <c r="M83" s="148"/>
      <c r="N83" s="148"/>
      <c r="O83" s="148"/>
      <c r="P83" s="148"/>
      <c r="Q83" s="148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50"/>
      <c r="AM83" s="150"/>
      <c r="AN83" s="150"/>
      <c r="AO83" s="67"/>
      <c r="AP83" s="67"/>
    </row>
    <row r="84">
      <c r="A84" s="24" t="s">
        <v>51</v>
      </c>
      <c r="B84" s="17"/>
      <c r="C84" s="17"/>
      <c r="D84" s="18"/>
      <c r="E84" s="106">
        <v>1.0</v>
      </c>
      <c r="F84" s="106" t="s">
        <v>21</v>
      </c>
      <c r="G84" s="107">
        <v>690.0</v>
      </c>
      <c r="H84" s="107" t="s">
        <v>22</v>
      </c>
      <c r="I84" s="108"/>
      <c r="J84" s="108"/>
      <c r="K84" s="108"/>
      <c r="L84" s="108"/>
      <c r="M84" s="108"/>
      <c r="N84" s="108"/>
      <c r="O84" s="107"/>
      <c r="P84" s="108"/>
      <c r="Q84" s="108"/>
      <c r="R84" s="110"/>
      <c r="S84" s="110"/>
      <c r="T84" s="110"/>
      <c r="U84" s="110"/>
      <c r="V84" s="110"/>
      <c r="W84" s="110"/>
      <c r="X84" s="110"/>
      <c r="Y84" s="110"/>
      <c r="Z84" s="111"/>
      <c r="AA84" s="110"/>
      <c r="AB84" s="110"/>
      <c r="AC84" s="110"/>
      <c r="AD84" s="110"/>
      <c r="AE84" s="111">
        <f>200+435</f>
        <v>635</v>
      </c>
      <c r="AF84" s="110"/>
      <c r="AG84" s="111">
        <v>75.0</v>
      </c>
      <c r="AH84" s="110"/>
      <c r="AI84" s="110"/>
      <c r="AJ84" s="110"/>
      <c r="AK84" s="110"/>
      <c r="AL84" s="112"/>
      <c r="AM84" s="112"/>
      <c r="AN84" s="113">
        <f>G84+SUM(I84:AL84)-SUM(I85:AL85)</f>
        <v>707</v>
      </c>
      <c r="AO84" s="53">
        <f>ROUNDDOWN((AN84/E84)/$H$4,1)</f>
        <v>23.5</v>
      </c>
      <c r="AP84" s="53">
        <f>$M$3+AO84</f>
        <v>896.5</v>
      </c>
    </row>
    <row r="85">
      <c r="A85" s="31"/>
      <c r="B85" s="17"/>
      <c r="C85" s="17"/>
      <c r="D85" s="17"/>
      <c r="E85" s="17"/>
      <c r="F85" s="18"/>
      <c r="G85" s="114"/>
      <c r="H85" s="107" t="s">
        <v>23</v>
      </c>
      <c r="I85" s="109">
        <v>34.0</v>
      </c>
      <c r="J85" s="109">
        <v>35.0</v>
      </c>
      <c r="K85" s="109">
        <f>20+20</f>
        <v>40</v>
      </c>
      <c r="L85" s="109">
        <f>15+20</f>
        <v>35</v>
      </c>
      <c r="M85" s="108">
        <f t="shared" ref="M85:N85" si="23">20+15</f>
        <v>35</v>
      </c>
      <c r="N85" s="108">
        <f t="shared" si="23"/>
        <v>35</v>
      </c>
      <c r="O85" s="107"/>
      <c r="P85" s="108">
        <f t="shared" ref="P85:R85" si="24">20+15</f>
        <v>35</v>
      </c>
      <c r="Q85" s="108">
        <f t="shared" si="24"/>
        <v>35</v>
      </c>
      <c r="R85" s="110">
        <f t="shared" si="24"/>
        <v>35</v>
      </c>
      <c r="S85" s="110"/>
      <c r="T85" s="111">
        <v>30.0</v>
      </c>
      <c r="U85" s="111">
        <v>17.0</v>
      </c>
      <c r="V85" s="110"/>
      <c r="W85" s="111">
        <v>27.0</v>
      </c>
      <c r="X85" s="111">
        <v>30.0</v>
      </c>
      <c r="Y85" s="111">
        <v>30.0</v>
      </c>
      <c r="Z85" s="111">
        <v>30.0</v>
      </c>
      <c r="AA85" s="111">
        <v>12.0</v>
      </c>
      <c r="AB85" s="111">
        <v>25.0</v>
      </c>
      <c r="AC85" s="110"/>
      <c r="AD85" s="110">
        <f>15+16</f>
        <v>31</v>
      </c>
      <c r="AE85" s="110">
        <f>15+15</f>
        <v>30</v>
      </c>
      <c r="AF85" s="111">
        <v>15.0</v>
      </c>
      <c r="AG85" s="110">
        <f>16+10</f>
        <v>26</v>
      </c>
      <c r="AH85" s="111">
        <v>15.0</v>
      </c>
      <c r="AI85" s="125">
        <f>11+15</f>
        <v>26</v>
      </c>
      <c r="AJ85" s="110"/>
      <c r="AK85" s="111">
        <v>15.0</v>
      </c>
      <c r="AL85" s="125">
        <v>15.0</v>
      </c>
      <c r="AM85" s="125">
        <f>16+5</f>
        <v>21</v>
      </c>
      <c r="AN85" s="32"/>
    </row>
    <row r="86">
      <c r="A86" s="33"/>
      <c r="B86" s="33"/>
      <c r="C86" s="33"/>
      <c r="D86" s="33"/>
      <c r="E86" s="106"/>
      <c r="F86" s="106"/>
      <c r="G86" s="107"/>
      <c r="H86" s="107"/>
      <c r="I86" s="118"/>
      <c r="J86" s="118"/>
      <c r="K86" s="118"/>
      <c r="L86" s="118"/>
      <c r="M86" s="118"/>
      <c r="N86" s="118"/>
      <c r="O86" s="114"/>
      <c r="P86" s="118"/>
      <c r="Q86" s="118"/>
      <c r="R86" s="120"/>
      <c r="S86" s="119"/>
      <c r="T86" s="120"/>
      <c r="U86" s="120"/>
      <c r="V86" s="110"/>
      <c r="W86" s="120"/>
      <c r="X86" s="120"/>
      <c r="Y86" s="120"/>
      <c r="Z86" s="120"/>
      <c r="AA86" s="120"/>
      <c r="AB86" s="120"/>
      <c r="AC86" s="110"/>
      <c r="AD86" s="120"/>
      <c r="AE86" s="120"/>
      <c r="AF86" s="120"/>
      <c r="AG86" s="120"/>
      <c r="AH86" s="120"/>
      <c r="AI86" s="120"/>
      <c r="AJ86" s="110"/>
      <c r="AK86" s="120"/>
      <c r="AL86" s="120"/>
      <c r="AM86" s="120"/>
      <c r="AN86" s="122"/>
      <c r="AO86" s="53"/>
      <c r="AP86" s="53"/>
    </row>
    <row r="87">
      <c r="A87" s="24" t="s">
        <v>52</v>
      </c>
      <c r="B87" s="17"/>
      <c r="C87" s="17"/>
      <c r="D87" s="18"/>
      <c r="E87" s="106">
        <v>1.0</v>
      </c>
      <c r="F87" s="106" t="s">
        <v>21</v>
      </c>
      <c r="G87" s="107">
        <v>150.0</v>
      </c>
      <c r="H87" s="107" t="s">
        <v>22</v>
      </c>
      <c r="I87" s="108"/>
      <c r="J87" s="108"/>
      <c r="K87" s="109">
        <v>120.0</v>
      </c>
      <c r="L87" s="108"/>
      <c r="M87" s="108"/>
      <c r="N87" s="109">
        <v>120.0</v>
      </c>
      <c r="O87" s="114"/>
      <c r="P87" s="108"/>
      <c r="Q87" s="108"/>
      <c r="R87" s="111">
        <v>120.0</v>
      </c>
      <c r="S87" s="110"/>
      <c r="T87" s="111">
        <v>180.0</v>
      </c>
      <c r="U87" s="110"/>
      <c r="V87" s="110"/>
      <c r="W87" s="110"/>
      <c r="X87" s="110"/>
      <c r="Y87" s="110"/>
      <c r="Z87" s="110"/>
      <c r="AA87" s="111">
        <v>180.0</v>
      </c>
      <c r="AB87" s="110"/>
      <c r="AC87" s="110"/>
      <c r="AD87" s="111">
        <v>180.0</v>
      </c>
      <c r="AE87" s="110"/>
      <c r="AF87" s="110"/>
      <c r="AG87" s="110"/>
      <c r="AH87" s="110"/>
      <c r="AI87" s="110"/>
      <c r="AJ87" s="110"/>
      <c r="AK87" s="110"/>
      <c r="AL87" s="112"/>
      <c r="AM87" s="125">
        <v>240.0</v>
      </c>
      <c r="AN87" s="113">
        <f>G87+SUM(I87:AL87)-SUM(I88:AL88)</f>
        <v>335</v>
      </c>
      <c r="AO87" s="53">
        <f>ROUNDDOWN((AN87/E87)/$H$4,1)</f>
        <v>11.1</v>
      </c>
      <c r="AP87" s="53">
        <f>$M$3+AO87</f>
        <v>884.1</v>
      </c>
    </row>
    <row r="88">
      <c r="A88" s="31"/>
      <c r="B88" s="17"/>
      <c r="C88" s="17"/>
      <c r="D88" s="17"/>
      <c r="E88" s="17"/>
      <c r="F88" s="18"/>
      <c r="G88" s="114"/>
      <c r="H88" s="107" t="s">
        <v>23</v>
      </c>
      <c r="I88" s="109">
        <v>35.0</v>
      </c>
      <c r="J88" s="109">
        <v>33.0</v>
      </c>
      <c r="K88" s="109">
        <f>20+17</f>
        <v>37</v>
      </c>
      <c r="L88" s="109">
        <f>15+20</f>
        <v>35</v>
      </c>
      <c r="M88" s="109">
        <f t="shared" ref="M88:N88" si="25">20+15</f>
        <v>35</v>
      </c>
      <c r="N88" s="109">
        <f t="shared" si="25"/>
        <v>35</v>
      </c>
      <c r="O88" s="107"/>
      <c r="P88" s="108">
        <f>15+20</f>
        <v>35</v>
      </c>
      <c r="Q88" s="108">
        <f>15+10</f>
        <v>25</v>
      </c>
      <c r="R88" s="110">
        <f>15+15</f>
        <v>30</v>
      </c>
      <c r="S88" s="111">
        <v>15.0</v>
      </c>
      <c r="T88" s="110">
        <f t="shared" ref="T88:U88" si="26">15+15</f>
        <v>30</v>
      </c>
      <c r="U88" s="110">
        <f t="shared" si="26"/>
        <v>30</v>
      </c>
      <c r="V88" s="110"/>
      <c r="W88" s="111">
        <f t="shared" ref="W88:AB88" si="27">15+15</f>
        <v>30</v>
      </c>
      <c r="X88" s="111">
        <f t="shared" si="27"/>
        <v>30</v>
      </c>
      <c r="Y88" s="110">
        <f t="shared" si="27"/>
        <v>30</v>
      </c>
      <c r="Z88" s="111">
        <f t="shared" si="27"/>
        <v>30</v>
      </c>
      <c r="AA88" s="110">
        <f t="shared" si="27"/>
        <v>30</v>
      </c>
      <c r="AB88" s="111">
        <f t="shared" si="27"/>
        <v>30</v>
      </c>
      <c r="AC88" s="110"/>
      <c r="AD88" s="110">
        <f>15+13</f>
        <v>28</v>
      </c>
      <c r="AE88" s="111">
        <f>15+15</f>
        <v>30</v>
      </c>
      <c r="AF88" s="111">
        <v>20.0</v>
      </c>
      <c r="AG88" s="110">
        <f>15+8</f>
        <v>23</v>
      </c>
      <c r="AH88" s="111">
        <v>15.0</v>
      </c>
      <c r="AI88" s="110"/>
      <c r="AJ88" s="110"/>
      <c r="AK88" s="111">
        <v>25.0</v>
      </c>
      <c r="AL88" s="125">
        <v>19.0</v>
      </c>
      <c r="AM88" s="125">
        <v>17.0</v>
      </c>
      <c r="AN88" s="32"/>
    </row>
    <row r="89">
      <c r="A89" s="33"/>
      <c r="B89" s="33"/>
      <c r="C89" s="33"/>
      <c r="D89" s="33"/>
      <c r="E89" s="106"/>
      <c r="F89" s="106"/>
      <c r="G89" s="107"/>
      <c r="H89" s="107"/>
      <c r="I89" s="118"/>
      <c r="J89" s="118"/>
      <c r="K89" s="118"/>
      <c r="L89" s="118"/>
      <c r="M89" s="124"/>
      <c r="N89" s="118"/>
      <c r="O89" s="114"/>
      <c r="P89" s="118"/>
      <c r="Q89" s="118"/>
      <c r="R89" s="120"/>
      <c r="S89" s="120"/>
      <c r="T89" s="120"/>
      <c r="U89" s="120"/>
      <c r="V89" s="110"/>
      <c r="W89" s="120"/>
      <c r="X89" s="120"/>
      <c r="Y89" s="120"/>
      <c r="Z89" s="120"/>
      <c r="AA89" s="120"/>
      <c r="AB89" s="120"/>
      <c r="AC89" s="110"/>
      <c r="AD89" s="120"/>
      <c r="AE89" s="120"/>
      <c r="AF89" s="120"/>
      <c r="AG89" s="120"/>
      <c r="AH89" s="127"/>
      <c r="AI89" s="119"/>
      <c r="AJ89" s="110"/>
      <c r="AK89" s="120"/>
      <c r="AL89" s="120"/>
      <c r="AM89" s="120"/>
      <c r="AN89" s="122"/>
      <c r="AO89" s="53"/>
      <c r="AP89" s="53"/>
    </row>
    <row r="90">
      <c r="A90" s="24" t="s">
        <v>53</v>
      </c>
      <c r="B90" s="17"/>
      <c r="C90" s="17"/>
      <c r="D90" s="18"/>
      <c r="E90" s="106">
        <v>1.0</v>
      </c>
      <c r="F90" s="106" t="s">
        <v>30</v>
      </c>
      <c r="G90" s="107">
        <v>27.0</v>
      </c>
      <c r="H90" s="107" t="s">
        <v>22</v>
      </c>
      <c r="I90" s="109">
        <v>60.0</v>
      </c>
      <c r="J90" s="108"/>
      <c r="K90" s="109">
        <v>120.0</v>
      </c>
      <c r="L90" s="108"/>
      <c r="M90" s="109">
        <v>120.0</v>
      </c>
      <c r="N90" s="108"/>
      <c r="O90" s="114"/>
      <c r="P90" s="109">
        <v>120.0</v>
      </c>
      <c r="Q90" s="108"/>
      <c r="R90" s="110"/>
      <c r="S90" s="111">
        <v>90.0</v>
      </c>
      <c r="T90" s="111">
        <v>60.0</v>
      </c>
      <c r="U90" s="110"/>
      <c r="V90" s="110"/>
      <c r="W90" s="110"/>
      <c r="X90" s="110"/>
      <c r="Y90" s="111">
        <v>120.0</v>
      </c>
      <c r="Z90" s="110"/>
      <c r="AA90" s="111">
        <v>120.0</v>
      </c>
      <c r="AB90" s="110"/>
      <c r="AC90" s="110"/>
      <c r="AD90" s="110"/>
      <c r="AE90" s="110"/>
      <c r="AF90" s="111">
        <v>90.0</v>
      </c>
      <c r="AG90" s="110"/>
      <c r="AH90" s="111">
        <v>120.0</v>
      </c>
      <c r="AI90" s="110"/>
      <c r="AJ90" s="110"/>
      <c r="AK90" s="111">
        <v>90.0</v>
      </c>
      <c r="AL90" s="112"/>
      <c r="AM90" s="125">
        <v>60.0</v>
      </c>
      <c r="AN90" s="113">
        <f>G90+SUM(I90:AL90)-SUM(I91:AL91)</f>
        <v>444</v>
      </c>
      <c r="AO90" s="53">
        <f>ROUNDDOWN((AN90/E90)/$H$4,1)</f>
        <v>14.8</v>
      </c>
      <c r="AP90" s="53">
        <f>$M$3+AO90</f>
        <v>887.8</v>
      </c>
    </row>
    <row r="91">
      <c r="A91" s="136"/>
      <c r="B91" s="137"/>
      <c r="C91" s="137"/>
      <c r="D91" s="137"/>
      <c r="E91" s="138"/>
      <c r="F91" s="138"/>
      <c r="G91" s="114"/>
      <c r="H91" s="107" t="s">
        <v>23</v>
      </c>
      <c r="I91" s="109">
        <v>34.0</v>
      </c>
      <c r="J91" s="109">
        <v>35.0</v>
      </c>
      <c r="K91" s="109">
        <f>20+20</f>
        <v>40</v>
      </c>
      <c r="L91" s="109">
        <f t="shared" ref="L91:N91" si="28">20+15</f>
        <v>35</v>
      </c>
      <c r="M91" s="108">
        <f t="shared" si="28"/>
        <v>35</v>
      </c>
      <c r="N91" s="108">
        <f t="shared" si="28"/>
        <v>35</v>
      </c>
      <c r="O91" s="107"/>
      <c r="P91" s="108">
        <f t="shared" ref="P91:R91" si="29">20+15</f>
        <v>35</v>
      </c>
      <c r="Q91" s="108">
        <f t="shared" si="29"/>
        <v>35</v>
      </c>
      <c r="R91" s="110">
        <f t="shared" si="29"/>
        <v>35</v>
      </c>
      <c r="S91" s="110"/>
      <c r="T91" s="111">
        <v>30.0</v>
      </c>
      <c r="U91" s="111">
        <v>17.0</v>
      </c>
      <c r="V91" s="110"/>
      <c r="W91" s="111">
        <v>27.0</v>
      </c>
      <c r="X91" s="111">
        <v>30.0</v>
      </c>
      <c r="Y91" s="111">
        <v>30.0</v>
      </c>
      <c r="Z91" s="111">
        <v>30.0</v>
      </c>
      <c r="AA91" s="111">
        <v>12.0</v>
      </c>
      <c r="AB91" s="111">
        <v>25.0</v>
      </c>
      <c r="AC91" s="110"/>
      <c r="AD91" s="110">
        <f>15+16</f>
        <v>31</v>
      </c>
      <c r="AE91" s="110">
        <f>15+15</f>
        <v>30</v>
      </c>
      <c r="AF91" s="111">
        <v>15.0</v>
      </c>
      <c r="AG91" s="110">
        <f>16+10</f>
        <v>26</v>
      </c>
      <c r="AH91" s="111">
        <v>15.0</v>
      </c>
      <c r="AI91" s="111">
        <f>11+15</f>
        <v>26</v>
      </c>
      <c r="AJ91" s="110"/>
      <c r="AK91" s="111">
        <v>15.0</v>
      </c>
      <c r="AL91" s="125">
        <v>15.0</v>
      </c>
      <c r="AM91" s="125">
        <f>16+5</f>
        <v>21</v>
      </c>
      <c r="AN91" s="32"/>
    </row>
    <row r="92">
      <c r="A92" s="139"/>
      <c r="B92" s="140"/>
      <c r="C92" s="140"/>
      <c r="D92" s="140"/>
      <c r="E92" s="140"/>
      <c r="F92" s="140"/>
      <c r="G92" s="151"/>
      <c r="H92" s="110"/>
      <c r="I92" s="120"/>
      <c r="J92" s="120"/>
      <c r="K92" s="120"/>
      <c r="L92" s="120"/>
      <c r="M92" s="120"/>
      <c r="N92" s="120"/>
      <c r="O92" s="112"/>
      <c r="P92" s="120"/>
      <c r="Q92" s="120"/>
      <c r="R92" s="120"/>
      <c r="S92" s="120"/>
      <c r="T92" s="120"/>
      <c r="U92" s="120"/>
      <c r="V92" s="110"/>
      <c r="W92" s="120"/>
      <c r="X92" s="120"/>
      <c r="Y92" s="120"/>
      <c r="Z92" s="120"/>
      <c r="AA92" s="120"/>
      <c r="AB92" s="120"/>
      <c r="AC92" s="110"/>
      <c r="AD92" s="120"/>
      <c r="AE92" s="120"/>
      <c r="AF92" s="120"/>
      <c r="AG92" s="120"/>
      <c r="AH92" s="120"/>
      <c r="AI92" s="120"/>
      <c r="AJ92" s="110"/>
      <c r="AK92" s="120"/>
      <c r="AL92" s="120"/>
      <c r="AM92" s="120"/>
      <c r="AN92" s="110"/>
      <c r="AO92" s="49"/>
      <c r="AP92" s="49"/>
    </row>
    <row r="93">
      <c r="A93" s="16" t="s">
        <v>54</v>
      </c>
      <c r="B93" s="17"/>
      <c r="C93" s="17"/>
      <c r="D93" s="17"/>
      <c r="E93" s="17"/>
      <c r="F93" s="17"/>
      <c r="G93" s="152"/>
      <c r="H93" s="135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5"/>
      <c r="AM93" s="135"/>
      <c r="AN93" s="135"/>
      <c r="AO93" s="52"/>
      <c r="AP93" s="52"/>
    </row>
    <row r="94">
      <c r="A94" s="24" t="s">
        <v>55</v>
      </c>
      <c r="B94" s="17"/>
      <c r="C94" s="17"/>
      <c r="D94" s="18"/>
      <c r="E94" s="106">
        <v>1.0</v>
      </c>
      <c r="F94" s="106" t="s">
        <v>21</v>
      </c>
      <c r="G94" s="107">
        <v>1213.0</v>
      </c>
      <c r="H94" s="107" t="s">
        <v>22</v>
      </c>
      <c r="I94" s="108"/>
      <c r="J94" s="108"/>
      <c r="K94" s="108"/>
      <c r="L94" s="108"/>
      <c r="M94" s="108"/>
      <c r="N94" s="108"/>
      <c r="O94" s="114"/>
      <c r="P94" s="108"/>
      <c r="Q94" s="108"/>
      <c r="R94" s="110"/>
      <c r="S94" s="111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1">
        <v>1000.0</v>
      </c>
      <c r="AE94" s="110"/>
      <c r="AF94" s="110"/>
      <c r="AG94" s="110"/>
      <c r="AH94" s="110"/>
      <c r="AI94" s="110"/>
      <c r="AJ94" s="110"/>
      <c r="AK94" s="110"/>
      <c r="AL94" s="112"/>
      <c r="AM94" s="112"/>
      <c r="AN94" s="113">
        <f>G94+SUM(I94:AL94)-SUM(I95:AL95)</f>
        <v>1520</v>
      </c>
      <c r="AO94" s="53">
        <f>ROUNDDOWN((AN94/E94)/$H$4,1)</f>
        <v>50.6</v>
      </c>
      <c r="AP94" s="53">
        <f>$M$3+AO94</f>
        <v>923.6</v>
      </c>
    </row>
    <row r="95">
      <c r="A95" s="31"/>
      <c r="B95" s="17"/>
      <c r="C95" s="17"/>
      <c r="D95" s="17"/>
      <c r="E95" s="17"/>
      <c r="F95" s="18"/>
      <c r="G95" s="114"/>
      <c r="H95" s="107" t="s">
        <v>23</v>
      </c>
      <c r="I95" s="109">
        <v>34.0</v>
      </c>
      <c r="J95" s="109">
        <v>35.0</v>
      </c>
      <c r="K95" s="109">
        <f>20+20</f>
        <v>40</v>
      </c>
      <c r="L95" s="109">
        <f t="shared" ref="L95:N95" si="30">20+15</f>
        <v>35</v>
      </c>
      <c r="M95" s="108">
        <f t="shared" si="30"/>
        <v>35</v>
      </c>
      <c r="N95" s="108">
        <f t="shared" si="30"/>
        <v>35</v>
      </c>
      <c r="O95" s="107"/>
      <c r="P95" s="108">
        <f t="shared" ref="P95:R95" si="31">20+15</f>
        <v>35</v>
      </c>
      <c r="Q95" s="108">
        <f t="shared" si="31"/>
        <v>35</v>
      </c>
      <c r="R95" s="110">
        <f t="shared" si="31"/>
        <v>35</v>
      </c>
      <c r="S95" s="110"/>
      <c r="T95" s="111">
        <v>30.0</v>
      </c>
      <c r="U95" s="111">
        <v>17.0</v>
      </c>
      <c r="V95" s="110"/>
      <c r="W95" s="111">
        <v>27.0</v>
      </c>
      <c r="X95" s="111">
        <v>30.0</v>
      </c>
      <c r="Y95" s="111">
        <v>30.0</v>
      </c>
      <c r="Z95" s="111">
        <v>30.0</v>
      </c>
      <c r="AA95" s="111">
        <v>12.0</v>
      </c>
      <c r="AB95" s="111">
        <v>25.0</v>
      </c>
      <c r="AC95" s="110"/>
      <c r="AD95" s="110">
        <f>15+16</f>
        <v>31</v>
      </c>
      <c r="AE95" s="112">
        <f>15+15</f>
        <v>30</v>
      </c>
      <c r="AF95" s="111">
        <v>15.0</v>
      </c>
      <c r="AG95" s="110">
        <f>16+10</f>
        <v>26</v>
      </c>
      <c r="AH95" s="125">
        <v>15.0</v>
      </c>
      <c r="AI95" s="111">
        <f>11+15</f>
        <v>26</v>
      </c>
      <c r="AJ95" s="110"/>
      <c r="AK95" s="111">
        <v>15.0</v>
      </c>
      <c r="AL95" s="125">
        <v>15.0</v>
      </c>
      <c r="AM95" s="125">
        <f>16+5</f>
        <v>21</v>
      </c>
      <c r="AN95" s="32"/>
    </row>
    <row r="96">
      <c r="A96" s="33"/>
      <c r="B96" s="33"/>
      <c r="C96" s="33"/>
      <c r="D96" s="33"/>
      <c r="E96" s="106"/>
      <c r="F96" s="106"/>
      <c r="G96" s="107"/>
      <c r="H96" s="107"/>
      <c r="I96" s="118"/>
      <c r="J96" s="118"/>
      <c r="K96" s="118"/>
      <c r="L96" s="118"/>
      <c r="M96" s="118"/>
      <c r="N96" s="118"/>
      <c r="O96" s="114"/>
      <c r="P96" s="118"/>
      <c r="Q96" s="118"/>
      <c r="R96" s="120"/>
      <c r="S96" s="119"/>
      <c r="T96" s="120"/>
      <c r="U96" s="120"/>
      <c r="V96" s="110"/>
      <c r="W96" s="120"/>
      <c r="X96" s="120"/>
      <c r="Y96" s="120"/>
      <c r="Z96" s="120"/>
      <c r="AA96" s="120"/>
      <c r="AB96" s="120"/>
      <c r="AC96" s="110"/>
      <c r="AD96" s="120"/>
      <c r="AE96" s="120"/>
      <c r="AF96" s="120"/>
      <c r="AG96" s="120"/>
      <c r="AH96" s="120"/>
      <c r="AI96" s="120"/>
      <c r="AJ96" s="110"/>
      <c r="AK96" s="120"/>
      <c r="AL96" s="120"/>
      <c r="AM96" s="120"/>
      <c r="AN96" s="122"/>
      <c r="AO96" s="53"/>
      <c r="AP96" s="53"/>
    </row>
    <row r="97">
      <c r="A97" s="24" t="s">
        <v>56</v>
      </c>
      <c r="B97" s="17"/>
      <c r="C97" s="17"/>
      <c r="D97" s="18"/>
      <c r="E97" s="106">
        <v>1.0</v>
      </c>
      <c r="F97" s="106" t="s">
        <v>21</v>
      </c>
      <c r="G97" s="107">
        <v>1017.0</v>
      </c>
      <c r="H97" s="107" t="s">
        <v>22</v>
      </c>
      <c r="I97" s="108"/>
      <c r="J97" s="108"/>
      <c r="K97" s="108"/>
      <c r="L97" s="108"/>
      <c r="M97" s="108"/>
      <c r="N97" s="108"/>
      <c r="O97" s="114"/>
      <c r="P97" s="108"/>
      <c r="Q97" s="108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1">
        <v>1020.0</v>
      </c>
      <c r="AE97" s="110"/>
      <c r="AF97" s="110"/>
      <c r="AG97" s="110"/>
      <c r="AH97" s="112"/>
      <c r="AI97" s="110"/>
      <c r="AJ97" s="110"/>
      <c r="AK97" s="110"/>
      <c r="AL97" s="112"/>
      <c r="AM97" s="112"/>
      <c r="AN97" s="113">
        <f>G97+SUM(I97:AL97)-SUM(I98:AL98)</f>
        <v>1359</v>
      </c>
      <c r="AO97" s="53">
        <f>ROUNDDOWN((AN97/E97)/$H$4,1)</f>
        <v>45.3</v>
      </c>
      <c r="AP97" s="53">
        <f>$M$3+AO97</f>
        <v>918.3</v>
      </c>
    </row>
    <row r="98">
      <c r="A98" s="136"/>
      <c r="B98" s="137"/>
      <c r="C98" s="137"/>
      <c r="D98" s="137"/>
      <c r="E98" s="138"/>
      <c r="F98" s="138"/>
      <c r="G98" s="114"/>
      <c r="H98" s="107" t="s">
        <v>23</v>
      </c>
      <c r="I98" s="109">
        <v>34.0</v>
      </c>
      <c r="J98" s="109">
        <v>35.0</v>
      </c>
      <c r="K98" s="109">
        <f>20+20</f>
        <v>40</v>
      </c>
      <c r="L98" s="109">
        <f t="shared" ref="L98:N98" si="32">20+15</f>
        <v>35</v>
      </c>
      <c r="M98" s="108">
        <f t="shared" si="32"/>
        <v>35</v>
      </c>
      <c r="N98" s="108">
        <f t="shared" si="32"/>
        <v>35</v>
      </c>
      <c r="O98" s="107"/>
      <c r="P98" s="108">
        <f t="shared" ref="P98:R98" si="33">20+15</f>
        <v>35</v>
      </c>
      <c r="Q98" s="108">
        <f t="shared" si="33"/>
        <v>35</v>
      </c>
      <c r="R98" s="110">
        <f t="shared" si="33"/>
        <v>35</v>
      </c>
      <c r="S98" s="110"/>
      <c r="T98" s="111">
        <v>30.0</v>
      </c>
      <c r="U98" s="111">
        <v>17.0</v>
      </c>
      <c r="V98" s="110"/>
      <c r="W98" s="111">
        <v>27.0</v>
      </c>
      <c r="X98" s="111">
        <v>30.0</v>
      </c>
      <c r="Y98" s="111">
        <v>30.0</v>
      </c>
      <c r="Z98" s="111">
        <v>30.0</v>
      </c>
      <c r="AA98" s="111">
        <v>12.0</v>
      </c>
      <c r="AB98" s="111">
        <v>25.0</v>
      </c>
      <c r="AC98" s="110"/>
      <c r="AD98" s="110">
        <f>15+16</f>
        <v>31</v>
      </c>
      <c r="AE98" s="110">
        <f>15+15</f>
        <v>30</v>
      </c>
      <c r="AF98" s="110"/>
      <c r="AG98" s="110">
        <f>16+10</f>
        <v>26</v>
      </c>
      <c r="AH98" s="111">
        <v>15.0</v>
      </c>
      <c r="AI98" s="111">
        <f>11+15</f>
        <v>26</v>
      </c>
      <c r="AJ98" s="110"/>
      <c r="AK98" s="111">
        <v>15.0</v>
      </c>
      <c r="AL98" s="125">
        <v>15.0</v>
      </c>
      <c r="AM98" s="125">
        <f>16+5</f>
        <v>21</v>
      </c>
      <c r="AN98" s="32"/>
    </row>
    <row r="99">
      <c r="A99" s="139"/>
      <c r="B99" s="140"/>
      <c r="C99" s="140"/>
      <c r="D99" s="140"/>
      <c r="E99" s="140"/>
      <c r="F99" s="140"/>
      <c r="G99" s="151"/>
      <c r="H99" s="108"/>
      <c r="I99" s="118"/>
      <c r="J99" s="118"/>
      <c r="K99" s="118"/>
      <c r="L99" s="118"/>
      <c r="M99" s="118"/>
      <c r="N99" s="118"/>
      <c r="O99" s="114"/>
      <c r="P99" s="118"/>
      <c r="Q99" s="118"/>
      <c r="R99" s="120"/>
      <c r="S99" s="119"/>
      <c r="T99" s="120"/>
      <c r="U99" s="120"/>
      <c r="V99" s="110"/>
      <c r="W99" s="120"/>
      <c r="X99" s="120"/>
      <c r="Y99" s="120"/>
      <c r="Z99" s="120"/>
      <c r="AA99" s="120"/>
      <c r="AB99" s="120"/>
      <c r="AC99" s="110"/>
      <c r="AD99" s="120"/>
      <c r="AE99" s="120"/>
      <c r="AF99" s="119"/>
      <c r="AG99" s="120"/>
      <c r="AH99" s="120"/>
      <c r="AI99" s="120"/>
      <c r="AJ99" s="110"/>
      <c r="AK99" s="120"/>
      <c r="AL99" s="120"/>
      <c r="AM99" s="120"/>
      <c r="AN99" s="110"/>
      <c r="AO99" s="49"/>
      <c r="AP99" s="49"/>
    </row>
    <row r="100">
      <c r="A100" s="16" t="s">
        <v>57</v>
      </c>
      <c r="B100" s="17"/>
      <c r="C100" s="17"/>
      <c r="D100" s="17"/>
      <c r="E100" s="17"/>
      <c r="F100" s="17"/>
      <c r="G100" s="152"/>
      <c r="H100" s="153"/>
      <c r="I100" s="154"/>
      <c r="J100" s="154"/>
      <c r="K100" s="154"/>
      <c r="L100" s="154"/>
      <c r="M100" s="154"/>
      <c r="N100" s="154"/>
      <c r="O100" s="154"/>
      <c r="P100" s="154"/>
      <c r="Q100" s="15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5"/>
      <c r="AM100" s="135"/>
      <c r="AN100" s="135"/>
      <c r="AO100" s="52"/>
      <c r="AP100" s="52"/>
    </row>
    <row r="101">
      <c r="A101" s="55" t="s">
        <v>58</v>
      </c>
      <c r="B101" s="17"/>
      <c r="C101" s="17"/>
      <c r="D101" s="18"/>
      <c r="E101" s="106">
        <v>2.0</v>
      </c>
      <c r="F101" s="106" t="s">
        <v>21</v>
      </c>
      <c r="G101" s="107">
        <v>2570.0</v>
      </c>
      <c r="H101" s="107" t="s">
        <v>22</v>
      </c>
      <c r="I101" s="108"/>
      <c r="J101" s="108"/>
      <c r="K101" s="108"/>
      <c r="L101" s="108"/>
      <c r="M101" s="108"/>
      <c r="N101" s="108"/>
      <c r="O101" s="114"/>
      <c r="P101" s="108"/>
      <c r="Q101" s="108"/>
      <c r="R101" s="110"/>
      <c r="S101" s="111"/>
      <c r="T101" s="110"/>
      <c r="U101" s="110"/>
      <c r="V101" s="110"/>
      <c r="W101" s="110"/>
      <c r="X101" s="110"/>
      <c r="Y101" s="110"/>
      <c r="Z101" s="111">
        <v>2040.0</v>
      </c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2"/>
      <c r="AM101" s="112"/>
      <c r="AN101" s="113">
        <f>G101+SUM(I101:AL101)-SUM(I102:AL102)</f>
        <v>3224</v>
      </c>
      <c r="AO101" s="53">
        <f>ROUNDDOWN((AN101/E101)/$H$4,1)</f>
        <v>53.7</v>
      </c>
      <c r="AP101" s="53">
        <f>$M$3+AO101</f>
        <v>926.7</v>
      </c>
    </row>
    <row r="102">
      <c r="A102" s="70"/>
      <c r="B102" s="17"/>
      <c r="C102" s="17"/>
      <c r="D102" s="17"/>
      <c r="E102" s="17"/>
      <c r="F102" s="18"/>
      <c r="G102" s="114"/>
      <c r="H102" s="107" t="s">
        <v>23</v>
      </c>
      <c r="I102" s="109">
        <v>68.0</v>
      </c>
      <c r="J102" s="109">
        <v>70.0</v>
      </c>
      <c r="K102" s="109">
        <f>40+40</f>
        <v>80</v>
      </c>
      <c r="L102" s="109">
        <f>30+40</f>
        <v>70</v>
      </c>
      <c r="M102" s="108">
        <f t="shared" ref="M102:N102" si="34">40+30</f>
        <v>70</v>
      </c>
      <c r="N102" s="108">
        <f t="shared" si="34"/>
        <v>70</v>
      </c>
      <c r="O102" s="107"/>
      <c r="P102" s="108">
        <f t="shared" ref="P102:R102" si="35">40+30</f>
        <v>70</v>
      </c>
      <c r="Q102" s="108">
        <f t="shared" si="35"/>
        <v>70</v>
      </c>
      <c r="R102" s="110">
        <f t="shared" si="35"/>
        <v>70</v>
      </c>
      <c r="S102" s="110"/>
      <c r="T102" s="111">
        <v>60.0</v>
      </c>
      <c r="U102" s="111">
        <v>34.0</v>
      </c>
      <c r="V102" s="110"/>
      <c r="W102" s="111">
        <v>54.0</v>
      </c>
      <c r="X102" s="111">
        <v>60.0</v>
      </c>
      <c r="Y102" s="111">
        <v>60.0</v>
      </c>
      <c r="Z102" s="111">
        <v>60.0</v>
      </c>
      <c r="AA102" s="111">
        <v>24.0</v>
      </c>
      <c r="AB102" s="111">
        <v>50.0</v>
      </c>
      <c r="AC102" s="110"/>
      <c r="AD102" s="110">
        <f>30+32</f>
        <v>62</v>
      </c>
      <c r="AE102" s="110">
        <f>30+30</f>
        <v>60</v>
      </c>
      <c r="AF102" s="111">
        <v>30.0</v>
      </c>
      <c r="AG102" s="110">
        <f>32+20</f>
        <v>52</v>
      </c>
      <c r="AH102" s="111">
        <v>30.0</v>
      </c>
      <c r="AI102" s="111">
        <f>22+30</f>
        <v>52</v>
      </c>
      <c r="AJ102" s="110"/>
      <c r="AK102" s="111">
        <v>30.0</v>
      </c>
      <c r="AL102" s="125">
        <v>30.0</v>
      </c>
      <c r="AM102" s="155">
        <f>32+10</f>
        <v>42</v>
      </c>
      <c r="AN102" s="32"/>
    </row>
    <row r="103">
      <c r="A103" s="54"/>
      <c r="B103" s="54"/>
      <c r="C103" s="54"/>
      <c r="D103" s="54"/>
      <c r="E103" s="106"/>
      <c r="F103" s="106"/>
      <c r="G103" s="107"/>
      <c r="H103" s="107"/>
      <c r="I103" s="118"/>
      <c r="J103" s="118"/>
      <c r="K103" s="118"/>
      <c r="L103" s="118"/>
      <c r="M103" s="118"/>
      <c r="N103" s="118"/>
      <c r="O103" s="114"/>
      <c r="P103" s="118"/>
      <c r="Q103" s="118"/>
      <c r="R103" s="120"/>
      <c r="S103" s="121"/>
      <c r="T103" s="120"/>
      <c r="U103" s="120"/>
      <c r="V103" s="110"/>
      <c r="W103" s="120"/>
      <c r="X103" s="120"/>
      <c r="Y103" s="120"/>
      <c r="Z103" s="120"/>
      <c r="AA103" s="120"/>
      <c r="AB103" s="120"/>
      <c r="AC103" s="110"/>
      <c r="AD103" s="120"/>
      <c r="AE103" s="120"/>
      <c r="AF103" s="120"/>
      <c r="AG103" s="120"/>
      <c r="AH103" s="120"/>
      <c r="AI103" s="120"/>
      <c r="AJ103" s="110"/>
      <c r="AK103" s="120"/>
      <c r="AL103" s="120"/>
      <c r="AM103" s="120"/>
      <c r="AN103" s="122"/>
      <c r="AO103" s="53"/>
      <c r="AP103" s="53"/>
    </row>
    <row r="104">
      <c r="A104" s="55" t="s">
        <v>59</v>
      </c>
      <c r="B104" s="17"/>
      <c r="C104" s="17"/>
      <c r="D104" s="18"/>
      <c r="E104" s="106">
        <v>2.0</v>
      </c>
      <c r="F104" s="106" t="s">
        <v>21</v>
      </c>
      <c r="G104" s="107">
        <v>2602.0</v>
      </c>
      <c r="H104" s="107" t="s">
        <v>22</v>
      </c>
      <c r="I104" s="108"/>
      <c r="J104" s="108"/>
      <c r="K104" s="108"/>
      <c r="L104" s="108"/>
      <c r="M104" s="108"/>
      <c r="N104" s="108"/>
      <c r="O104" s="114"/>
      <c r="P104" s="108"/>
      <c r="Q104" s="108"/>
      <c r="R104" s="110"/>
      <c r="S104" s="111"/>
      <c r="T104" s="110"/>
      <c r="U104" s="110"/>
      <c r="V104" s="110"/>
      <c r="W104" s="110"/>
      <c r="X104" s="110"/>
      <c r="Y104" s="110"/>
      <c r="Z104" s="111">
        <v>2040.0</v>
      </c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2"/>
      <c r="AM104" s="112"/>
      <c r="AN104" s="113">
        <f>G104+SUM(I104:AL104)-SUM(I105:AL105)</f>
        <v>3256</v>
      </c>
      <c r="AO104" s="53">
        <f>ROUNDDOWN((AN104/E104)/$H$4,1)</f>
        <v>54.2</v>
      </c>
      <c r="AP104" s="53">
        <f>$M$3+AO104</f>
        <v>927.2</v>
      </c>
    </row>
    <row r="105">
      <c r="A105" s="70"/>
      <c r="B105" s="17"/>
      <c r="C105" s="17"/>
      <c r="D105" s="17"/>
      <c r="E105" s="17"/>
      <c r="F105" s="18"/>
      <c r="G105" s="114"/>
      <c r="H105" s="107" t="s">
        <v>23</v>
      </c>
      <c r="I105" s="109">
        <v>68.0</v>
      </c>
      <c r="J105" s="109">
        <v>70.0</v>
      </c>
      <c r="K105" s="109">
        <f>40+40</f>
        <v>80</v>
      </c>
      <c r="L105" s="109">
        <f>30+40</f>
        <v>70</v>
      </c>
      <c r="M105" s="108">
        <f t="shared" ref="M105:N105" si="36">40+30</f>
        <v>70</v>
      </c>
      <c r="N105" s="108">
        <f t="shared" si="36"/>
        <v>70</v>
      </c>
      <c r="O105" s="107"/>
      <c r="P105" s="108">
        <f t="shared" ref="P105:R105" si="37">40+30</f>
        <v>70</v>
      </c>
      <c r="Q105" s="108">
        <f t="shared" si="37"/>
        <v>70</v>
      </c>
      <c r="R105" s="110">
        <f t="shared" si="37"/>
        <v>70</v>
      </c>
      <c r="S105" s="110"/>
      <c r="T105" s="111">
        <v>60.0</v>
      </c>
      <c r="U105" s="111">
        <v>34.0</v>
      </c>
      <c r="V105" s="110"/>
      <c r="W105" s="111">
        <v>54.0</v>
      </c>
      <c r="X105" s="111">
        <v>60.0</v>
      </c>
      <c r="Y105" s="111">
        <v>60.0</v>
      </c>
      <c r="Z105" s="111">
        <v>60.0</v>
      </c>
      <c r="AA105" s="111">
        <v>24.0</v>
      </c>
      <c r="AB105" s="111">
        <v>50.0</v>
      </c>
      <c r="AC105" s="110"/>
      <c r="AD105" s="110">
        <f>30+32</f>
        <v>62</v>
      </c>
      <c r="AE105" s="110">
        <f>30+30</f>
        <v>60</v>
      </c>
      <c r="AF105" s="111">
        <v>30.0</v>
      </c>
      <c r="AG105" s="110">
        <f>32+20</f>
        <v>52</v>
      </c>
      <c r="AH105" s="111">
        <v>30.0</v>
      </c>
      <c r="AI105" s="111">
        <f>22+30</f>
        <v>52</v>
      </c>
      <c r="AJ105" s="110"/>
      <c r="AK105" s="111">
        <v>30.0</v>
      </c>
      <c r="AL105" s="125">
        <v>30.0</v>
      </c>
      <c r="AM105" s="125">
        <f>32+10</f>
        <v>42</v>
      </c>
      <c r="AN105" s="32"/>
    </row>
    <row r="106">
      <c r="A106" s="54"/>
      <c r="B106" s="54"/>
      <c r="C106" s="54"/>
      <c r="D106" s="54"/>
      <c r="E106" s="106"/>
      <c r="F106" s="106"/>
      <c r="G106" s="107"/>
      <c r="H106" s="107"/>
      <c r="I106" s="118"/>
      <c r="J106" s="118"/>
      <c r="K106" s="118"/>
      <c r="L106" s="118"/>
      <c r="M106" s="118"/>
      <c r="N106" s="118"/>
      <c r="O106" s="114"/>
      <c r="P106" s="118"/>
      <c r="Q106" s="118"/>
      <c r="R106" s="120"/>
      <c r="S106" s="119"/>
      <c r="T106" s="120"/>
      <c r="U106" s="120"/>
      <c r="V106" s="110"/>
      <c r="W106" s="120"/>
      <c r="X106" s="120"/>
      <c r="Y106" s="120"/>
      <c r="Z106" s="120"/>
      <c r="AA106" s="120"/>
      <c r="AB106" s="120"/>
      <c r="AC106" s="110"/>
      <c r="AD106" s="120"/>
      <c r="AE106" s="120"/>
      <c r="AF106" s="120"/>
      <c r="AG106" s="120"/>
      <c r="AH106" s="127"/>
      <c r="AI106" s="120"/>
      <c r="AJ106" s="110"/>
      <c r="AK106" s="120"/>
      <c r="AL106" s="120"/>
      <c r="AM106" s="120"/>
      <c r="AN106" s="122"/>
      <c r="AO106" s="53"/>
      <c r="AP106" s="53"/>
    </row>
    <row r="107">
      <c r="A107" s="55" t="s">
        <v>60</v>
      </c>
      <c r="B107" s="17"/>
      <c r="C107" s="17"/>
      <c r="D107" s="18"/>
      <c r="E107" s="106">
        <v>1.0</v>
      </c>
      <c r="F107" s="106" t="s">
        <v>21</v>
      </c>
      <c r="G107" s="107">
        <v>1240.0</v>
      </c>
      <c r="H107" s="107" t="s">
        <v>22</v>
      </c>
      <c r="I107" s="108"/>
      <c r="J107" s="108"/>
      <c r="K107" s="108"/>
      <c r="L107" s="108"/>
      <c r="M107" s="108"/>
      <c r="N107" s="108"/>
      <c r="O107" s="114"/>
      <c r="P107" s="108"/>
      <c r="Q107" s="108"/>
      <c r="R107" s="110"/>
      <c r="S107" s="110"/>
      <c r="T107" s="110"/>
      <c r="U107" s="110"/>
      <c r="V107" s="110"/>
      <c r="W107" s="110"/>
      <c r="X107" s="111">
        <v>1020.0</v>
      </c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1"/>
      <c r="AI107" s="110"/>
      <c r="AJ107" s="110"/>
      <c r="AK107" s="110"/>
      <c r="AL107" s="112"/>
      <c r="AM107" s="112"/>
      <c r="AN107" s="113">
        <f>G107+SUM(I107:AL107)-SUM(I108:AL108)</f>
        <v>1760</v>
      </c>
      <c r="AO107" s="53">
        <f>ROUNDDOWN((AN107/E107)/$H$4,1)</f>
        <v>58.6</v>
      </c>
      <c r="AP107" s="53">
        <f>$M$3+AO107</f>
        <v>931.6</v>
      </c>
    </row>
    <row r="108">
      <c r="A108" s="70"/>
      <c r="B108" s="17"/>
      <c r="C108" s="17"/>
      <c r="D108" s="17"/>
      <c r="E108" s="17"/>
      <c r="F108" s="18"/>
      <c r="G108" s="114"/>
      <c r="H108" s="107" t="s">
        <v>23</v>
      </c>
      <c r="I108" s="109"/>
      <c r="J108" s="109">
        <v>100.0</v>
      </c>
      <c r="K108" s="108"/>
      <c r="L108" s="109">
        <v>100.0</v>
      </c>
      <c r="M108" s="108"/>
      <c r="N108" s="108"/>
      <c r="O108" s="107"/>
      <c r="P108" s="108"/>
      <c r="Q108" s="108"/>
      <c r="R108" s="110"/>
      <c r="S108" s="110"/>
      <c r="T108" s="110"/>
      <c r="U108" s="111">
        <v>100.0</v>
      </c>
      <c r="V108" s="110"/>
      <c r="W108" s="110"/>
      <c r="X108" s="110"/>
      <c r="Y108" s="110"/>
      <c r="Z108" s="110"/>
      <c r="AA108" s="110"/>
      <c r="AB108" s="110"/>
      <c r="AC108" s="110"/>
      <c r="AD108" s="111">
        <v>100.0</v>
      </c>
      <c r="AE108" s="110"/>
      <c r="AF108" s="111"/>
      <c r="AG108" s="110"/>
      <c r="AH108" s="111">
        <v>100.0</v>
      </c>
      <c r="AI108" s="111"/>
      <c r="AJ108" s="110"/>
      <c r="AK108" s="110"/>
      <c r="AL108" s="112"/>
      <c r="AM108" s="112"/>
      <c r="AN108" s="32"/>
    </row>
    <row r="109">
      <c r="A109" s="33"/>
      <c r="B109" s="33"/>
      <c r="C109" s="33"/>
      <c r="D109" s="33"/>
      <c r="E109" s="106"/>
      <c r="F109" s="106"/>
      <c r="G109" s="107"/>
      <c r="H109" s="107"/>
      <c r="I109" s="116"/>
      <c r="J109" s="118"/>
      <c r="K109" s="116"/>
      <c r="L109" s="118"/>
      <c r="M109" s="117"/>
      <c r="N109" s="117"/>
      <c r="O109" s="114"/>
      <c r="P109" s="117"/>
      <c r="Q109" s="117"/>
      <c r="R109" s="119"/>
      <c r="S109" s="119"/>
      <c r="T109" s="119"/>
      <c r="U109" s="120"/>
      <c r="V109" s="110"/>
      <c r="W109" s="119"/>
      <c r="X109" s="119"/>
      <c r="Y109" s="119"/>
      <c r="Z109" s="119"/>
      <c r="AA109" s="119"/>
      <c r="AB109" s="119"/>
      <c r="AC109" s="110"/>
      <c r="AD109" s="120"/>
      <c r="AE109" s="119"/>
      <c r="AF109" s="119"/>
      <c r="AG109" s="119"/>
      <c r="AH109" s="127"/>
      <c r="AI109" s="119"/>
      <c r="AJ109" s="110"/>
      <c r="AK109" s="119"/>
      <c r="AL109" s="119"/>
      <c r="AM109" s="119"/>
      <c r="AN109" s="122"/>
      <c r="AO109" s="53"/>
      <c r="AP109" s="53"/>
    </row>
    <row r="110">
      <c r="A110" s="24" t="s">
        <v>61</v>
      </c>
      <c r="B110" s="17"/>
      <c r="C110" s="17"/>
      <c r="D110" s="18"/>
      <c r="E110" s="106">
        <v>1.0</v>
      </c>
      <c r="F110" s="106" t="s">
        <v>21</v>
      </c>
      <c r="G110" s="107">
        <v>1224.0</v>
      </c>
      <c r="H110" s="107" t="s">
        <v>22</v>
      </c>
      <c r="I110" s="109"/>
      <c r="J110" s="108"/>
      <c r="K110" s="109"/>
      <c r="L110" s="108"/>
      <c r="M110" s="108"/>
      <c r="N110" s="108"/>
      <c r="O110" s="114"/>
      <c r="P110" s="108"/>
      <c r="Q110" s="108"/>
      <c r="R110" s="110"/>
      <c r="S110" s="110"/>
      <c r="T110" s="110"/>
      <c r="U110" s="110"/>
      <c r="V110" s="110"/>
      <c r="W110" s="110"/>
      <c r="X110" s="111">
        <v>1020.0</v>
      </c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1"/>
      <c r="AI110" s="110"/>
      <c r="AJ110" s="110"/>
      <c r="AK110" s="110"/>
      <c r="AL110" s="112"/>
      <c r="AM110" s="112"/>
      <c r="AN110" s="113">
        <f>G110+SUM(I110:AL110)-SUM(I111:AL111)</f>
        <v>1512</v>
      </c>
      <c r="AO110" s="53">
        <f>ROUNDDOWN((AN110/E110)/$H$4,1)</f>
        <v>50.4</v>
      </c>
      <c r="AP110" s="53">
        <f>M6+AO110</f>
        <v>923.4</v>
      </c>
    </row>
    <row r="111">
      <c r="A111" s="31"/>
      <c r="B111" s="17"/>
      <c r="C111" s="17"/>
      <c r="D111" s="17"/>
      <c r="E111" s="17"/>
      <c r="F111" s="17"/>
      <c r="G111" s="114"/>
      <c r="H111" s="107" t="s">
        <v>23</v>
      </c>
      <c r="I111" s="109">
        <f>24+24</f>
        <v>48</v>
      </c>
      <c r="J111" s="109">
        <v>24.0</v>
      </c>
      <c r="K111" s="109"/>
      <c r="L111" s="109">
        <v>24.0</v>
      </c>
      <c r="M111" s="109">
        <v>24.0</v>
      </c>
      <c r="N111" s="109"/>
      <c r="O111" s="114"/>
      <c r="P111" s="109">
        <f>24+24+12</f>
        <v>60</v>
      </c>
      <c r="Q111" s="108">
        <f>24+24</f>
        <v>48</v>
      </c>
      <c r="R111" s="111">
        <v>24.0</v>
      </c>
      <c r="S111" s="111">
        <f t="shared" ref="S111:T111" si="38">24+24</f>
        <v>48</v>
      </c>
      <c r="T111" s="110">
        <f t="shared" si="38"/>
        <v>48</v>
      </c>
      <c r="U111" s="111">
        <v>24.0</v>
      </c>
      <c r="V111" s="110"/>
      <c r="W111" s="111">
        <f>24+24</f>
        <v>48</v>
      </c>
      <c r="X111" s="110">
        <f>24</f>
        <v>24</v>
      </c>
      <c r="Y111" s="110">
        <f>24+24</f>
        <v>48</v>
      </c>
      <c r="Z111" s="111">
        <v>12.0</v>
      </c>
      <c r="AA111" s="111">
        <v>24.0</v>
      </c>
      <c r="AB111" s="111">
        <v>12.0</v>
      </c>
      <c r="AC111" s="110"/>
      <c r="AD111" s="110">
        <f>24+24</f>
        <v>48</v>
      </c>
      <c r="AE111" s="111">
        <v>12.0</v>
      </c>
      <c r="AF111" s="111">
        <f>24+12</f>
        <v>36</v>
      </c>
      <c r="AG111" s="111"/>
      <c r="AH111" s="111">
        <v>24.0</v>
      </c>
      <c r="AI111" s="111">
        <v>24.0</v>
      </c>
      <c r="AJ111" s="111"/>
      <c r="AK111" s="110"/>
      <c r="AL111" s="112">
        <f>24+24</f>
        <v>48</v>
      </c>
      <c r="AM111" s="125">
        <v>48.0</v>
      </c>
      <c r="AN111" s="32"/>
    </row>
    <row r="112">
      <c r="A112" s="156"/>
      <c r="B112" s="156"/>
      <c r="C112" s="156"/>
      <c r="D112" s="156"/>
      <c r="E112" s="156"/>
      <c r="F112" s="156"/>
      <c r="G112" s="108"/>
      <c r="H112" s="110"/>
      <c r="I112" s="120"/>
      <c r="J112" s="120"/>
      <c r="K112" s="119"/>
      <c r="L112" s="120"/>
      <c r="M112" s="120"/>
      <c r="N112" s="119"/>
      <c r="O112" s="112"/>
      <c r="P112" s="120"/>
      <c r="Q112" s="120"/>
      <c r="R112" s="120"/>
      <c r="S112" s="120"/>
      <c r="T112" s="120"/>
      <c r="U112" s="120"/>
      <c r="V112" s="110"/>
      <c r="W112" s="120"/>
      <c r="X112" s="120"/>
      <c r="Y112" s="120"/>
      <c r="Z112" s="120"/>
      <c r="AA112" s="120"/>
      <c r="AB112" s="120"/>
      <c r="AC112" s="110"/>
      <c r="AD112" s="120"/>
      <c r="AE112" s="120"/>
      <c r="AF112" s="120"/>
      <c r="AG112" s="119"/>
      <c r="AH112" s="120"/>
      <c r="AI112" s="120"/>
      <c r="AJ112" s="110"/>
      <c r="AK112" s="119"/>
      <c r="AL112" s="120"/>
      <c r="AM112" s="120"/>
      <c r="AN112" s="110"/>
      <c r="AO112" s="49"/>
      <c r="AP112" s="49"/>
    </row>
    <row r="113">
      <c r="A113" s="73" t="s">
        <v>62</v>
      </c>
      <c r="B113" s="17"/>
      <c r="C113" s="17"/>
      <c r="D113" s="17"/>
      <c r="E113" s="17"/>
      <c r="F113" s="17"/>
      <c r="G113" s="153"/>
      <c r="H113" s="135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5"/>
      <c r="AM113" s="135"/>
      <c r="AN113" s="135"/>
      <c r="AO113" s="52"/>
      <c r="AP113" s="52"/>
    </row>
    <row r="114">
      <c r="A114" s="24" t="s">
        <v>131</v>
      </c>
      <c r="B114" s="17"/>
      <c r="C114" s="17"/>
      <c r="D114" s="18"/>
      <c r="E114" s="106">
        <v>8.0</v>
      </c>
      <c r="F114" s="106" t="s">
        <v>21</v>
      </c>
      <c r="G114" s="107">
        <v>10280.0</v>
      </c>
      <c r="H114" s="107" t="s">
        <v>22</v>
      </c>
      <c r="I114" s="108"/>
      <c r="J114" s="108"/>
      <c r="K114" s="108"/>
      <c r="L114" s="108"/>
      <c r="M114" s="108"/>
      <c r="N114" s="108"/>
      <c r="O114" s="114"/>
      <c r="P114" s="108"/>
      <c r="Q114" s="108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1">
        <v>8160.0</v>
      </c>
      <c r="AI114" s="110"/>
      <c r="AJ114" s="110"/>
      <c r="AK114" s="110"/>
      <c r="AL114" s="112"/>
      <c r="AM114" s="112"/>
      <c r="AN114" s="113">
        <f>G114+SUM(I114:AL114)-SUM(I115:AM115)</f>
        <v>12860</v>
      </c>
      <c r="AO114" s="53">
        <f>ROUNDDOWN((AN114/E114)/$H$4,1)</f>
        <v>53.5</v>
      </c>
      <c r="AP114" s="53">
        <f>$M$3+AO114</f>
        <v>926.5</v>
      </c>
    </row>
    <row r="115">
      <c r="A115" s="31"/>
      <c r="B115" s="17"/>
      <c r="C115" s="17"/>
      <c r="D115" s="17"/>
      <c r="E115" s="17"/>
      <c r="F115" s="18"/>
      <c r="G115" s="114"/>
      <c r="H115" s="107" t="s">
        <v>23</v>
      </c>
      <c r="I115" s="109">
        <v>280.0</v>
      </c>
      <c r="J115" s="109">
        <v>264.0</v>
      </c>
      <c r="K115" s="109">
        <f>160+136</f>
        <v>296</v>
      </c>
      <c r="L115" s="109">
        <f>120+160</f>
        <v>280</v>
      </c>
      <c r="M115" s="109">
        <f>160+120</f>
        <v>280</v>
      </c>
      <c r="N115" s="109"/>
      <c r="O115" s="107"/>
      <c r="P115" s="108">
        <f>120+160</f>
        <v>280</v>
      </c>
      <c r="Q115" s="108">
        <f>120+80</f>
        <v>200</v>
      </c>
      <c r="R115" s="110">
        <f>120+120</f>
        <v>240</v>
      </c>
      <c r="S115" s="111">
        <v>120.0</v>
      </c>
      <c r="T115" s="110">
        <f t="shared" ref="T115:U115" si="39">120+120</f>
        <v>240</v>
      </c>
      <c r="U115" s="110">
        <f t="shared" si="39"/>
        <v>240</v>
      </c>
      <c r="V115" s="110"/>
      <c r="W115" s="111">
        <f t="shared" ref="W115:AB115" si="40">120+120</f>
        <v>240</v>
      </c>
      <c r="X115" s="111">
        <f t="shared" si="40"/>
        <v>240</v>
      </c>
      <c r="Y115" s="110">
        <f t="shared" si="40"/>
        <v>240</v>
      </c>
      <c r="Z115" s="111">
        <f t="shared" si="40"/>
        <v>240</v>
      </c>
      <c r="AA115" s="110">
        <f t="shared" si="40"/>
        <v>240</v>
      </c>
      <c r="AB115" s="111">
        <f t="shared" si="40"/>
        <v>240</v>
      </c>
      <c r="AC115" s="110"/>
      <c r="AD115" s="110">
        <f>120+108</f>
        <v>228</v>
      </c>
      <c r="AE115" s="111">
        <f>120+120</f>
        <v>240</v>
      </c>
      <c r="AF115" s="111">
        <v>160.0</v>
      </c>
      <c r="AG115" s="110">
        <f>120+64</f>
        <v>184</v>
      </c>
      <c r="AH115" s="111">
        <v>120.0</v>
      </c>
      <c r="AI115" s="110"/>
      <c r="AJ115" s="110"/>
      <c r="AK115" s="111">
        <v>200.0</v>
      </c>
      <c r="AL115" s="125">
        <v>152.0</v>
      </c>
      <c r="AM115" s="125">
        <v>136.0</v>
      </c>
      <c r="AN115" s="32"/>
    </row>
    <row r="116">
      <c r="A116" s="33"/>
      <c r="B116" s="33"/>
      <c r="C116" s="33"/>
      <c r="D116" s="33"/>
      <c r="E116" s="106"/>
      <c r="F116" s="106"/>
      <c r="G116" s="107"/>
      <c r="H116" s="107"/>
      <c r="I116" s="118"/>
      <c r="J116" s="118"/>
      <c r="K116" s="118"/>
      <c r="L116" s="118"/>
      <c r="M116" s="118"/>
      <c r="N116" s="117"/>
      <c r="O116" s="114"/>
      <c r="P116" s="118"/>
      <c r="Q116" s="118"/>
      <c r="R116" s="120"/>
      <c r="S116" s="120"/>
      <c r="T116" s="120"/>
      <c r="U116" s="120"/>
      <c r="V116" s="110"/>
      <c r="W116" s="120"/>
      <c r="X116" s="120"/>
      <c r="Y116" s="120"/>
      <c r="Z116" s="120"/>
      <c r="AA116" s="120"/>
      <c r="AB116" s="120"/>
      <c r="AC116" s="110"/>
      <c r="AD116" s="120"/>
      <c r="AE116" s="120"/>
      <c r="AF116" s="120"/>
      <c r="AG116" s="120"/>
      <c r="AH116" s="120"/>
      <c r="AI116" s="121"/>
      <c r="AJ116" s="110"/>
      <c r="AK116" s="120"/>
      <c r="AL116" s="120"/>
      <c r="AM116" s="120"/>
      <c r="AN116" s="122"/>
      <c r="AO116" s="53"/>
      <c r="AP116" s="53"/>
    </row>
    <row r="117">
      <c r="A117" s="24" t="s">
        <v>64</v>
      </c>
      <c r="B117" s="17"/>
      <c r="C117" s="17"/>
      <c r="D117" s="18"/>
      <c r="E117" s="106">
        <v>26.0</v>
      </c>
      <c r="F117" s="106" t="s">
        <v>21</v>
      </c>
      <c r="G117" s="107">
        <v>35200.0</v>
      </c>
      <c r="H117" s="107" t="s">
        <v>22</v>
      </c>
      <c r="I117" s="108"/>
      <c r="J117" s="108"/>
      <c r="K117" s="108"/>
      <c r="L117" s="108"/>
      <c r="M117" s="108"/>
      <c r="N117" s="108"/>
      <c r="O117" s="114"/>
      <c r="P117" s="108"/>
      <c r="Q117" s="108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1"/>
      <c r="AJ117" s="110"/>
      <c r="AK117" s="111">
        <v>23400.0</v>
      </c>
      <c r="AL117" s="112"/>
      <c r="AM117" s="112"/>
      <c r="AN117" s="113">
        <f>G117+SUM(I117:AL117)-SUM(I118:AM118)</f>
        <v>40032</v>
      </c>
      <c r="AO117" s="53">
        <f>ROUNDDOWN((AN117/E117)/$H$4,1)</f>
        <v>51.3</v>
      </c>
      <c r="AP117" s="53">
        <f>$M$3+AO117</f>
        <v>924.3</v>
      </c>
    </row>
    <row r="118">
      <c r="A118" s="31"/>
      <c r="B118" s="17"/>
      <c r="C118" s="17"/>
      <c r="D118" s="17"/>
      <c r="E118" s="17"/>
      <c r="F118" s="18"/>
      <c r="G118" s="114"/>
      <c r="H118" s="107" t="s">
        <v>23</v>
      </c>
      <c r="I118" s="109">
        <v>884.0</v>
      </c>
      <c r="J118" s="109">
        <v>910.0</v>
      </c>
      <c r="K118" s="109">
        <f>520+520</f>
        <v>1040</v>
      </c>
      <c r="L118" s="109">
        <f t="shared" ref="L118:N118" si="41">520+390</f>
        <v>910</v>
      </c>
      <c r="M118" s="108">
        <f t="shared" si="41"/>
        <v>910</v>
      </c>
      <c r="N118" s="108">
        <f t="shared" si="41"/>
        <v>910</v>
      </c>
      <c r="O118" s="107"/>
      <c r="P118" s="108">
        <f t="shared" ref="P118:R118" si="42">520+390</f>
        <v>910</v>
      </c>
      <c r="Q118" s="108">
        <f t="shared" si="42"/>
        <v>910</v>
      </c>
      <c r="R118" s="110">
        <f t="shared" si="42"/>
        <v>910</v>
      </c>
      <c r="S118" s="110"/>
      <c r="T118" s="111">
        <v>780.0</v>
      </c>
      <c r="U118" s="111">
        <v>442.0</v>
      </c>
      <c r="V118" s="110"/>
      <c r="W118" s="111">
        <v>702.0</v>
      </c>
      <c r="X118" s="111">
        <v>780.0</v>
      </c>
      <c r="Y118" s="111">
        <v>780.0</v>
      </c>
      <c r="Z118" s="111">
        <v>780.0</v>
      </c>
      <c r="AA118" s="111">
        <v>312.0</v>
      </c>
      <c r="AB118" s="111">
        <v>650.0</v>
      </c>
      <c r="AC118" s="110"/>
      <c r="AD118" s="110">
        <f>390+416</f>
        <v>806</v>
      </c>
      <c r="AE118" s="110">
        <f>390+390</f>
        <v>780</v>
      </c>
      <c r="AF118" s="111">
        <v>390.0</v>
      </c>
      <c r="AG118" s="111">
        <f>416+260</f>
        <v>676</v>
      </c>
      <c r="AH118" s="111">
        <v>390.0</v>
      </c>
      <c r="AI118" s="111">
        <f>286+390</f>
        <v>676</v>
      </c>
      <c r="AJ118" s="110"/>
      <c r="AK118" s="111">
        <f>390+4</f>
        <v>394</v>
      </c>
      <c r="AL118" s="125">
        <v>390.0</v>
      </c>
      <c r="AM118" s="125">
        <f>416+130</f>
        <v>546</v>
      </c>
      <c r="AN118" s="32"/>
    </row>
    <row r="119">
      <c r="A119" s="33"/>
      <c r="B119" s="33"/>
      <c r="C119" s="33"/>
      <c r="D119" s="33"/>
      <c r="E119" s="106"/>
      <c r="F119" s="106"/>
      <c r="G119" s="107"/>
      <c r="H119" s="107"/>
      <c r="I119" s="118"/>
      <c r="J119" s="118"/>
      <c r="K119" s="118"/>
      <c r="L119" s="118"/>
      <c r="M119" s="118"/>
      <c r="N119" s="118"/>
      <c r="O119" s="114"/>
      <c r="P119" s="118"/>
      <c r="Q119" s="118"/>
      <c r="R119" s="120"/>
      <c r="S119" s="119"/>
      <c r="T119" s="120"/>
      <c r="U119" s="120"/>
      <c r="V119" s="110"/>
      <c r="W119" s="120"/>
      <c r="X119" s="120"/>
      <c r="Y119" s="120"/>
      <c r="Z119" s="120"/>
      <c r="AA119" s="120"/>
      <c r="AB119" s="120"/>
      <c r="AC119" s="110"/>
      <c r="AD119" s="120"/>
      <c r="AE119" s="120"/>
      <c r="AF119" s="120"/>
      <c r="AG119" s="120"/>
      <c r="AH119" s="120"/>
      <c r="AI119" s="120"/>
      <c r="AJ119" s="110"/>
      <c r="AK119" s="120"/>
      <c r="AL119" s="120"/>
      <c r="AM119" s="120"/>
      <c r="AN119" s="122"/>
      <c r="AO119" s="53"/>
      <c r="AP119" s="53"/>
    </row>
    <row r="120">
      <c r="A120" s="24" t="s">
        <v>65</v>
      </c>
      <c r="B120" s="17"/>
      <c r="C120" s="17"/>
      <c r="D120" s="18"/>
      <c r="E120" s="106">
        <v>2.0</v>
      </c>
      <c r="F120" s="106" t="s">
        <v>21</v>
      </c>
      <c r="G120" s="107">
        <v>41860.0</v>
      </c>
      <c r="H120" s="107" t="s">
        <v>22</v>
      </c>
      <c r="I120" s="108"/>
      <c r="J120" s="108"/>
      <c r="K120" s="108"/>
      <c r="L120" s="108"/>
      <c r="M120" s="108"/>
      <c r="N120" s="108"/>
      <c r="O120" s="114"/>
      <c r="P120" s="108"/>
      <c r="Q120" s="108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2"/>
      <c r="AM120" s="112"/>
      <c r="AN120" s="113">
        <f>G120+SUM(I120:AL120)-SUM(I121:AM121)</f>
        <v>40527</v>
      </c>
      <c r="AO120" s="53">
        <f>ROUNDDOWN((AN120/E120)/$H$4,1)</f>
        <v>675.4</v>
      </c>
      <c r="AP120" s="53">
        <f>$M$3+AO120</f>
        <v>1548.4</v>
      </c>
    </row>
    <row r="121">
      <c r="A121" s="31"/>
      <c r="B121" s="17"/>
      <c r="C121" s="17"/>
      <c r="D121" s="17"/>
      <c r="E121" s="17"/>
      <c r="F121" s="18"/>
      <c r="G121" s="114"/>
      <c r="H121" s="107" t="s">
        <v>23</v>
      </c>
      <c r="I121" s="109">
        <v>68.0</v>
      </c>
      <c r="J121" s="109">
        <v>70.0</v>
      </c>
      <c r="K121" s="109">
        <f>40+40</f>
        <v>80</v>
      </c>
      <c r="L121" s="109">
        <f>30+40</f>
        <v>70</v>
      </c>
      <c r="M121" s="108">
        <f t="shared" ref="M121:N121" si="43">40+30</f>
        <v>70</v>
      </c>
      <c r="N121" s="108">
        <f t="shared" si="43"/>
        <v>70</v>
      </c>
      <c r="O121" s="107"/>
      <c r="P121" s="108">
        <f t="shared" ref="P121:R121" si="44">40+30</f>
        <v>70</v>
      </c>
      <c r="Q121" s="108">
        <f t="shared" si="44"/>
        <v>70</v>
      </c>
      <c r="R121" s="110">
        <f t="shared" si="44"/>
        <v>70</v>
      </c>
      <c r="S121" s="110"/>
      <c r="T121" s="110"/>
      <c r="U121" s="111">
        <v>34.0</v>
      </c>
      <c r="V121" s="110"/>
      <c r="W121" s="111">
        <v>54.0</v>
      </c>
      <c r="X121" s="111">
        <v>60.0</v>
      </c>
      <c r="Y121" s="111">
        <v>60.0</v>
      </c>
      <c r="Z121" s="111">
        <v>60.0</v>
      </c>
      <c r="AA121" s="111">
        <v>24.0</v>
      </c>
      <c r="AB121" s="111">
        <v>50.0</v>
      </c>
      <c r="AC121" s="110"/>
      <c r="AD121" s="110">
        <f>30+32</f>
        <v>62</v>
      </c>
      <c r="AE121" s="110">
        <f>30+30</f>
        <v>60</v>
      </c>
      <c r="AF121" s="111">
        <v>30.0</v>
      </c>
      <c r="AG121" s="111">
        <f>32+20</f>
        <v>52</v>
      </c>
      <c r="AH121" s="111">
        <v>30.0</v>
      </c>
      <c r="AI121" s="111">
        <v>22.0</v>
      </c>
      <c r="AJ121" s="110"/>
      <c r="AK121" s="111">
        <v>30.0</v>
      </c>
      <c r="AL121" s="125">
        <v>30.0</v>
      </c>
      <c r="AM121" s="125">
        <f>32+5</f>
        <v>37</v>
      </c>
      <c r="AN121" s="32"/>
    </row>
    <row r="122">
      <c r="A122" s="33"/>
      <c r="B122" s="33"/>
      <c r="C122" s="33"/>
      <c r="D122" s="33"/>
      <c r="E122" s="106"/>
      <c r="F122" s="106"/>
      <c r="G122" s="126"/>
      <c r="H122" s="107"/>
      <c r="I122" s="118"/>
      <c r="J122" s="118"/>
      <c r="K122" s="118"/>
      <c r="L122" s="118"/>
      <c r="M122" s="118"/>
      <c r="N122" s="118"/>
      <c r="O122" s="114"/>
      <c r="P122" s="118"/>
      <c r="Q122" s="118"/>
      <c r="R122" s="120"/>
      <c r="S122" s="119"/>
      <c r="T122" s="119"/>
      <c r="U122" s="120"/>
      <c r="V122" s="110"/>
      <c r="W122" s="120"/>
      <c r="X122" s="120"/>
      <c r="Y122" s="120"/>
      <c r="Z122" s="120"/>
      <c r="AA122" s="120"/>
      <c r="AB122" s="120"/>
      <c r="AC122" s="110"/>
      <c r="AD122" s="120"/>
      <c r="AE122" s="120"/>
      <c r="AF122" s="120"/>
      <c r="AG122" s="120"/>
      <c r="AH122" s="120"/>
      <c r="AI122" s="120"/>
      <c r="AJ122" s="110"/>
      <c r="AK122" s="120"/>
      <c r="AL122" s="120"/>
      <c r="AM122" s="120"/>
      <c r="AN122" s="122"/>
      <c r="AO122" s="53"/>
      <c r="AP122" s="53"/>
    </row>
    <row r="123">
      <c r="A123" s="24" t="s">
        <v>66</v>
      </c>
      <c r="B123" s="17"/>
      <c r="C123" s="17"/>
      <c r="D123" s="18"/>
      <c r="E123" s="106">
        <v>10.0</v>
      </c>
      <c r="F123" s="106" t="s">
        <v>21</v>
      </c>
      <c r="G123" s="126">
        <v>17644.0</v>
      </c>
      <c r="H123" s="107" t="s">
        <v>22</v>
      </c>
      <c r="I123" s="108"/>
      <c r="J123" s="108"/>
      <c r="K123" s="108"/>
      <c r="L123" s="108"/>
      <c r="M123" s="108"/>
      <c r="N123" s="108"/>
      <c r="O123" s="114"/>
      <c r="P123" s="108"/>
      <c r="Q123" s="108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2"/>
      <c r="AM123" s="112"/>
      <c r="AN123" s="113">
        <f>G123+SUM(I123:AL123)-SUM(I124:AM124)</f>
        <v>10320</v>
      </c>
      <c r="AO123" s="53">
        <f>ROUNDDOWN((AN123/E123)/$H$4,1)</f>
        <v>34.4</v>
      </c>
      <c r="AP123" s="53">
        <f>$M$3+AO123</f>
        <v>907.4</v>
      </c>
    </row>
    <row r="124">
      <c r="A124" s="31"/>
      <c r="B124" s="17"/>
      <c r="C124" s="17"/>
      <c r="D124" s="17"/>
      <c r="E124" s="17"/>
      <c r="F124" s="18"/>
      <c r="G124" s="114"/>
      <c r="H124" s="107" t="s">
        <v>23</v>
      </c>
      <c r="I124" s="109">
        <v>414.0</v>
      </c>
      <c r="J124" s="109">
        <v>210.0</v>
      </c>
      <c r="K124" s="109">
        <f>120+120+140</f>
        <v>380</v>
      </c>
      <c r="L124" s="109">
        <f>90+120+140</f>
        <v>350</v>
      </c>
      <c r="M124" s="109">
        <f t="shared" ref="M124:N124" si="45">120+90+140</f>
        <v>350</v>
      </c>
      <c r="N124" s="109">
        <f t="shared" si="45"/>
        <v>350</v>
      </c>
      <c r="O124" s="107"/>
      <c r="P124" s="108">
        <f t="shared" ref="P124:R124" si="46">120+90+140</f>
        <v>350</v>
      </c>
      <c r="Q124" s="108">
        <f t="shared" si="46"/>
        <v>350</v>
      </c>
      <c r="R124" s="110">
        <f t="shared" si="46"/>
        <v>350</v>
      </c>
      <c r="S124" s="111">
        <v>210.0</v>
      </c>
      <c r="T124" s="111">
        <f>180+120</f>
        <v>300</v>
      </c>
      <c r="U124" s="111">
        <f>102+120</f>
        <v>222</v>
      </c>
      <c r="V124" s="110"/>
      <c r="W124" s="111">
        <f>162+120</f>
        <v>282</v>
      </c>
      <c r="X124" s="111">
        <f t="shared" ref="X124:Z124" si="47">180+120</f>
        <v>300</v>
      </c>
      <c r="Y124" s="111">
        <f t="shared" si="47"/>
        <v>300</v>
      </c>
      <c r="Z124" s="111">
        <f t="shared" si="47"/>
        <v>300</v>
      </c>
      <c r="AA124" s="111">
        <f>72+120</f>
        <v>192</v>
      </c>
      <c r="AB124" s="111">
        <f>150+120</f>
        <v>270</v>
      </c>
      <c r="AC124" s="110"/>
      <c r="AD124" s="110">
        <f>90+96</f>
        <v>186</v>
      </c>
      <c r="AE124" s="110">
        <f>90+90+120</f>
        <v>300</v>
      </c>
      <c r="AF124" s="111">
        <f>90+120</f>
        <v>210</v>
      </c>
      <c r="AG124" s="110">
        <f>96+60+120</f>
        <v>276</v>
      </c>
      <c r="AH124" s="111">
        <f>90+120</f>
        <v>210</v>
      </c>
      <c r="AI124" s="111">
        <f>66+90</f>
        <v>156</v>
      </c>
      <c r="AJ124" s="110"/>
      <c r="AK124" s="111">
        <f>90+120</f>
        <v>210</v>
      </c>
      <c r="AL124" s="125">
        <v>90.0</v>
      </c>
      <c r="AM124" s="125">
        <f>96+30+80</f>
        <v>206</v>
      </c>
      <c r="AN124" s="32"/>
    </row>
    <row r="125">
      <c r="A125" s="33"/>
      <c r="B125" s="33"/>
      <c r="C125" s="33"/>
      <c r="D125" s="33"/>
      <c r="E125" s="106"/>
      <c r="F125" s="106"/>
      <c r="G125" s="107"/>
      <c r="H125" s="107"/>
      <c r="I125" s="118"/>
      <c r="J125" s="118"/>
      <c r="K125" s="118"/>
      <c r="L125" s="118"/>
      <c r="M125" s="118"/>
      <c r="N125" s="118"/>
      <c r="O125" s="114"/>
      <c r="P125" s="118"/>
      <c r="Q125" s="118"/>
      <c r="R125" s="120"/>
      <c r="S125" s="120"/>
      <c r="T125" s="120"/>
      <c r="U125" s="120"/>
      <c r="V125" s="110"/>
      <c r="W125" s="120"/>
      <c r="X125" s="120"/>
      <c r="Y125" s="120"/>
      <c r="Z125" s="120"/>
      <c r="AA125" s="120"/>
      <c r="AB125" s="120"/>
      <c r="AC125" s="110"/>
      <c r="AD125" s="120"/>
      <c r="AE125" s="120"/>
      <c r="AF125" s="120"/>
      <c r="AG125" s="120"/>
      <c r="AH125" s="120"/>
      <c r="AI125" s="120"/>
      <c r="AJ125" s="110"/>
      <c r="AK125" s="120"/>
      <c r="AL125" s="120"/>
      <c r="AM125" s="120"/>
      <c r="AN125" s="122"/>
      <c r="AO125" s="53"/>
      <c r="AP125" s="53"/>
    </row>
    <row r="126">
      <c r="A126" s="24" t="s">
        <v>67</v>
      </c>
      <c r="B126" s="17"/>
      <c r="C126" s="17"/>
      <c r="D126" s="18"/>
      <c r="E126" s="106">
        <v>6.0</v>
      </c>
      <c r="F126" s="106" t="s">
        <v>21</v>
      </c>
      <c r="G126" s="107">
        <v>28960.0</v>
      </c>
      <c r="H126" s="107" t="s">
        <v>22</v>
      </c>
      <c r="I126" s="108"/>
      <c r="J126" s="108"/>
      <c r="K126" s="108"/>
      <c r="L126" s="108"/>
      <c r="M126" s="108"/>
      <c r="N126" s="108"/>
      <c r="O126" s="114"/>
      <c r="P126" s="108"/>
      <c r="Q126" s="108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2"/>
      <c r="AM126" s="112"/>
      <c r="AN126" s="113">
        <f>G126+SUM(I126:AL126)-SUM(I127:AM127)</f>
        <v>24540</v>
      </c>
      <c r="AO126" s="53">
        <f>ROUNDDOWN((AN126/E126)/$H$4,1)</f>
        <v>136.3</v>
      </c>
      <c r="AP126" s="53">
        <f>$M$3+AO126</f>
        <v>1009.3</v>
      </c>
    </row>
    <row r="127">
      <c r="A127" s="31"/>
      <c r="B127" s="17"/>
      <c r="C127" s="17"/>
      <c r="D127" s="17"/>
      <c r="E127" s="17"/>
      <c r="F127" s="18"/>
      <c r="G127" s="114"/>
      <c r="H127" s="107" t="s">
        <v>23</v>
      </c>
      <c r="I127" s="109">
        <v>140.0</v>
      </c>
      <c r="J127" s="109">
        <v>140.0</v>
      </c>
      <c r="K127" s="109">
        <v>210.0</v>
      </c>
      <c r="L127" s="109">
        <v>210.0</v>
      </c>
      <c r="M127" s="109">
        <v>210.0</v>
      </c>
      <c r="N127" s="109">
        <v>210.0</v>
      </c>
      <c r="O127" s="114"/>
      <c r="P127" s="109">
        <v>210.0</v>
      </c>
      <c r="Q127" s="109">
        <v>210.0</v>
      </c>
      <c r="R127" s="111">
        <v>210.0</v>
      </c>
      <c r="S127" s="111">
        <v>210.0</v>
      </c>
      <c r="T127" s="111">
        <v>180.0</v>
      </c>
      <c r="U127" s="111">
        <v>180.0</v>
      </c>
      <c r="V127" s="110"/>
      <c r="W127" s="111">
        <v>180.0</v>
      </c>
      <c r="X127" s="111">
        <v>180.0</v>
      </c>
      <c r="Y127" s="111">
        <v>180.0</v>
      </c>
      <c r="Z127" s="111">
        <v>180.0</v>
      </c>
      <c r="AA127" s="111">
        <v>180.0</v>
      </c>
      <c r="AB127" s="111">
        <v>180.0</v>
      </c>
      <c r="AC127" s="111"/>
      <c r="AD127" s="111"/>
      <c r="AE127" s="111">
        <v>180.0</v>
      </c>
      <c r="AF127" s="111">
        <v>180.0</v>
      </c>
      <c r="AG127" s="111">
        <v>180.0</v>
      </c>
      <c r="AH127" s="111">
        <v>180.0</v>
      </c>
      <c r="AI127" s="111"/>
      <c r="AJ127" s="111"/>
      <c r="AK127" s="111">
        <v>180.0</v>
      </c>
      <c r="AL127" s="112"/>
      <c r="AM127" s="125">
        <v>120.0</v>
      </c>
      <c r="AN127" s="32"/>
    </row>
    <row r="128">
      <c r="A128" s="33"/>
      <c r="B128" s="33"/>
      <c r="C128" s="33"/>
      <c r="D128" s="33"/>
      <c r="E128" s="106"/>
      <c r="F128" s="106"/>
      <c r="G128" s="107"/>
      <c r="H128" s="107"/>
      <c r="I128" s="118"/>
      <c r="J128" s="118"/>
      <c r="K128" s="118"/>
      <c r="L128" s="118"/>
      <c r="M128" s="118"/>
      <c r="N128" s="118"/>
      <c r="O128" s="114"/>
      <c r="P128" s="118"/>
      <c r="Q128" s="118"/>
      <c r="R128" s="120"/>
      <c r="S128" s="120"/>
      <c r="T128" s="120"/>
      <c r="U128" s="120"/>
      <c r="V128" s="110"/>
      <c r="W128" s="120"/>
      <c r="X128" s="120"/>
      <c r="Y128" s="120"/>
      <c r="Z128" s="120"/>
      <c r="AA128" s="120"/>
      <c r="AB128" s="120"/>
      <c r="AC128" s="110"/>
      <c r="AD128" s="119"/>
      <c r="AE128" s="120"/>
      <c r="AF128" s="120"/>
      <c r="AG128" s="120"/>
      <c r="AH128" s="120"/>
      <c r="AI128" s="121"/>
      <c r="AJ128" s="110"/>
      <c r="AK128" s="120"/>
      <c r="AL128" s="119"/>
      <c r="AM128" s="120"/>
      <c r="AN128" s="122"/>
      <c r="AO128" s="53"/>
      <c r="AP128" s="53"/>
    </row>
    <row r="129">
      <c r="A129" s="24" t="s">
        <v>68</v>
      </c>
      <c r="B129" s="17"/>
      <c r="C129" s="17"/>
      <c r="D129" s="18"/>
      <c r="E129" s="106">
        <v>12.0</v>
      </c>
      <c r="F129" s="106" t="s">
        <v>21</v>
      </c>
      <c r="G129" s="107">
        <v>14684.0</v>
      </c>
      <c r="H129" s="107" t="s">
        <v>22</v>
      </c>
      <c r="I129" s="108"/>
      <c r="J129" s="108"/>
      <c r="K129" s="108"/>
      <c r="L129" s="108"/>
      <c r="M129" s="108"/>
      <c r="N129" s="108"/>
      <c r="O129" s="114"/>
      <c r="P129" s="108"/>
      <c r="Q129" s="108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1"/>
      <c r="AJ129" s="110"/>
      <c r="AK129" s="111">
        <v>12240.0</v>
      </c>
      <c r="AL129" s="112"/>
      <c r="AM129" s="112"/>
      <c r="AN129" s="113">
        <f>G129+SUM(I129:AL129)-SUM(I130:AM130)</f>
        <v>18080</v>
      </c>
      <c r="AO129" s="53">
        <f>ROUNDDOWN((AN129/E129)/$H$4,1)</f>
        <v>50.2</v>
      </c>
      <c r="AP129" s="53">
        <f>$M$3+AO129</f>
        <v>923.2</v>
      </c>
    </row>
    <row r="130">
      <c r="A130" s="31"/>
      <c r="B130" s="17"/>
      <c r="C130" s="17"/>
      <c r="D130" s="17"/>
      <c r="E130" s="17"/>
      <c r="F130" s="18"/>
      <c r="G130" s="114"/>
      <c r="H130" s="107" t="s">
        <v>23</v>
      </c>
      <c r="I130" s="109">
        <v>414.0</v>
      </c>
      <c r="J130" s="109">
        <v>420.0</v>
      </c>
      <c r="K130" s="109">
        <f>120+120+210</f>
        <v>450</v>
      </c>
      <c r="L130" s="109">
        <f>90+120+210</f>
        <v>420</v>
      </c>
      <c r="M130" s="109">
        <f t="shared" ref="M130:N130" si="48">120+90+210</f>
        <v>420</v>
      </c>
      <c r="N130" s="108">
        <f t="shared" si="48"/>
        <v>420</v>
      </c>
      <c r="O130" s="107"/>
      <c r="P130" s="108">
        <f t="shared" ref="P130:R130" si="49">120+90+210</f>
        <v>420</v>
      </c>
      <c r="Q130" s="108">
        <f t="shared" si="49"/>
        <v>420</v>
      </c>
      <c r="R130" s="110">
        <f t="shared" si="49"/>
        <v>420</v>
      </c>
      <c r="S130" s="111">
        <v>210.0</v>
      </c>
      <c r="T130" s="111">
        <f>180+180</f>
        <v>360</v>
      </c>
      <c r="U130" s="111">
        <f>102+180</f>
        <v>282</v>
      </c>
      <c r="V130" s="110"/>
      <c r="W130" s="111">
        <f>162+180</f>
        <v>342</v>
      </c>
      <c r="X130" s="111">
        <f t="shared" ref="X130:Z130" si="50">180+180</f>
        <v>360</v>
      </c>
      <c r="Y130" s="111">
        <f t="shared" si="50"/>
        <v>360</v>
      </c>
      <c r="Z130" s="111">
        <f t="shared" si="50"/>
        <v>360</v>
      </c>
      <c r="AA130" s="111">
        <f>72+180</f>
        <v>252</v>
      </c>
      <c r="AB130" s="111">
        <f>150+180</f>
        <v>330</v>
      </c>
      <c r="AC130" s="110"/>
      <c r="AD130" s="110">
        <f>90+96</f>
        <v>186</v>
      </c>
      <c r="AE130" s="110">
        <f>90+90+180</f>
        <v>360</v>
      </c>
      <c r="AF130" s="111">
        <f>90+180</f>
        <v>270</v>
      </c>
      <c r="AG130" s="110">
        <f>96+60+180</f>
        <v>336</v>
      </c>
      <c r="AH130" s="111">
        <f>90+180</f>
        <v>270</v>
      </c>
      <c r="AI130" s="111">
        <f>66+90</f>
        <v>156</v>
      </c>
      <c r="AJ130" s="110"/>
      <c r="AK130" s="111">
        <f>90+180</f>
        <v>270</v>
      </c>
      <c r="AL130" s="125">
        <v>90.0</v>
      </c>
      <c r="AM130" s="125">
        <f>96+30+120</f>
        <v>246</v>
      </c>
      <c r="AN130" s="32"/>
    </row>
    <row r="131">
      <c r="A131" s="33"/>
      <c r="B131" s="33"/>
      <c r="C131" s="33"/>
      <c r="D131" s="33"/>
      <c r="E131" s="106"/>
      <c r="F131" s="106"/>
      <c r="G131" s="107"/>
      <c r="H131" s="107"/>
      <c r="I131" s="118"/>
      <c r="J131" s="118"/>
      <c r="K131" s="118"/>
      <c r="L131" s="118"/>
      <c r="M131" s="118"/>
      <c r="N131" s="118"/>
      <c r="O131" s="114"/>
      <c r="P131" s="118"/>
      <c r="Q131" s="118"/>
      <c r="R131" s="120"/>
      <c r="S131" s="120"/>
      <c r="T131" s="120"/>
      <c r="U131" s="120"/>
      <c r="V131" s="110"/>
      <c r="W131" s="120"/>
      <c r="X131" s="120"/>
      <c r="Y131" s="120"/>
      <c r="Z131" s="120"/>
      <c r="AA131" s="120"/>
      <c r="AB131" s="120"/>
      <c r="AC131" s="110"/>
      <c r="AD131" s="120"/>
      <c r="AE131" s="120"/>
      <c r="AF131" s="120"/>
      <c r="AG131" s="120"/>
      <c r="AH131" s="120"/>
      <c r="AI131" s="120"/>
      <c r="AJ131" s="110"/>
      <c r="AK131" s="120"/>
      <c r="AL131" s="120"/>
      <c r="AM131" s="120"/>
      <c r="AN131" s="122"/>
      <c r="AO131" s="53"/>
      <c r="AP131" s="53"/>
    </row>
    <row r="132">
      <c r="A132" s="24" t="s">
        <v>132</v>
      </c>
      <c r="B132" s="17"/>
      <c r="C132" s="17"/>
      <c r="D132" s="18"/>
      <c r="E132" s="106">
        <v>6.0</v>
      </c>
      <c r="F132" s="106" t="s">
        <v>21</v>
      </c>
      <c r="G132" s="107">
        <v>41411.0</v>
      </c>
      <c r="H132" s="107" t="s">
        <v>22</v>
      </c>
      <c r="I132" s="108"/>
      <c r="J132" s="108"/>
      <c r="K132" s="108"/>
      <c r="L132" s="108"/>
      <c r="M132" s="108"/>
      <c r="N132" s="108"/>
      <c r="O132" s="114"/>
      <c r="P132" s="108"/>
      <c r="Q132" s="108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2"/>
      <c r="AM132" s="112"/>
      <c r="AN132" s="113">
        <f>G132+SUM(I132:AL132)-SUM(I133:AM133)</f>
        <v>37301</v>
      </c>
      <c r="AO132" s="53">
        <f>ROUNDDOWN((AN132/E132)/$H$4,1)</f>
        <v>207.2</v>
      </c>
      <c r="AP132" s="53">
        <f>$M$3+AO132</f>
        <v>1080.2</v>
      </c>
    </row>
    <row r="133">
      <c r="A133" s="31"/>
      <c r="B133" s="17"/>
      <c r="C133" s="17"/>
      <c r="D133" s="17"/>
      <c r="E133" s="17"/>
      <c r="F133" s="18"/>
      <c r="G133" s="114"/>
      <c r="H133" s="107" t="s">
        <v>23</v>
      </c>
      <c r="I133" s="109">
        <v>216.0</v>
      </c>
      <c r="J133" s="109">
        <v>420.0</v>
      </c>
      <c r="K133" s="109">
        <v>210.0</v>
      </c>
      <c r="L133" s="109"/>
      <c r="M133" s="109">
        <v>210.0</v>
      </c>
      <c r="N133" s="109">
        <v>210.0</v>
      </c>
      <c r="O133" s="107"/>
      <c r="P133" s="109">
        <v>210.0</v>
      </c>
      <c r="Q133" s="109">
        <v>210.0</v>
      </c>
      <c r="R133" s="111">
        <v>210.0</v>
      </c>
      <c r="S133" s="111"/>
      <c r="T133" s="110"/>
      <c r="U133" s="111">
        <v>180.0</v>
      </c>
      <c r="V133" s="110"/>
      <c r="W133" s="111">
        <v>120.0</v>
      </c>
      <c r="X133" s="111">
        <v>180.0</v>
      </c>
      <c r="Y133" s="111">
        <v>180.0</v>
      </c>
      <c r="Z133" s="111">
        <v>120.0</v>
      </c>
      <c r="AA133" s="111">
        <v>120.0</v>
      </c>
      <c r="AB133" s="111">
        <v>180.0</v>
      </c>
      <c r="AC133" s="111"/>
      <c r="AD133" s="111">
        <v>180.0</v>
      </c>
      <c r="AE133" s="111">
        <v>120.0</v>
      </c>
      <c r="AF133" s="111">
        <v>120.0</v>
      </c>
      <c r="AG133" s="111">
        <v>180.0</v>
      </c>
      <c r="AH133" s="111">
        <v>120.0</v>
      </c>
      <c r="AI133" s="111">
        <v>60.0</v>
      </c>
      <c r="AJ133" s="111"/>
      <c r="AK133" s="111">
        <v>114.0</v>
      </c>
      <c r="AL133" s="125">
        <v>120.0</v>
      </c>
      <c r="AM133" s="125">
        <v>120.0</v>
      </c>
      <c r="AN133" s="32"/>
    </row>
    <row r="134">
      <c r="A134" s="33"/>
      <c r="B134" s="33"/>
      <c r="C134" s="33"/>
      <c r="D134" s="33"/>
      <c r="E134" s="106"/>
      <c r="F134" s="106"/>
      <c r="G134" s="107"/>
      <c r="H134" s="107"/>
      <c r="I134" s="118"/>
      <c r="J134" s="118"/>
      <c r="K134" s="118"/>
      <c r="L134" s="117"/>
      <c r="M134" s="118"/>
      <c r="N134" s="118"/>
      <c r="O134" s="114"/>
      <c r="P134" s="118"/>
      <c r="Q134" s="118"/>
      <c r="R134" s="120"/>
      <c r="S134" s="119"/>
      <c r="T134" s="119"/>
      <c r="U134" s="120"/>
      <c r="V134" s="110"/>
      <c r="W134" s="120"/>
      <c r="X134" s="120"/>
      <c r="Y134" s="120"/>
      <c r="Z134" s="120"/>
      <c r="AA134" s="120"/>
      <c r="AB134" s="120"/>
      <c r="AC134" s="110"/>
      <c r="AD134" s="120"/>
      <c r="AE134" s="120"/>
      <c r="AF134" s="120"/>
      <c r="AG134" s="120"/>
      <c r="AH134" s="120"/>
      <c r="AI134" s="120"/>
      <c r="AJ134" s="110"/>
      <c r="AK134" s="120"/>
      <c r="AL134" s="120"/>
      <c r="AM134" s="120"/>
      <c r="AN134" s="122"/>
      <c r="AO134" s="53"/>
      <c r="AP134" s="53"/>
    </row>
    <row r="135">
      <c r="A135" s="24" t="s">
        <v>70</v>
      </c>
      <c r="B135" s="17"/>
      <c r="C135" s="17"/>
      <c r="D135" s="18"/>
      <c r="E135" s="106">
        <v>8.0</v>
      </c>
      <c r="F135" s="106" t="s">
        <v>21</v>
      </c>
      <c r="G135" s="107">
        <v>10981.0</v>
      </c>
      <c r="H135" s="107" t="s">
        <v>22</v>
      </c>
      <c r="I135" s="108"/>
      <c r="J135" s="108"/>
      <c r="K135" s="108"/>
      <c r="L135" s="108"/>
      <c r="M135" s="108"/>
      <c r="N135" s="108"/>
      <c r="O135" s="114"/>
      <c r="P135" s="108"/>
      <c r="Q135" s="108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2"/>
      <c r="AM135" s="112"/>
      <c r="AN135" s="113">
        <f>G135+SUM(I135:AL135)-SUM(I136:AM136)</f>
        <v>5653</v>
      </c>
      <c r="AO135" s="53">
        <f>ROUNDDOWN((AN135/E135)/$H$4,1)</f>
        <v>23.5</v>
      </c>
      <c r="AP135" s="53">
        <f>$M$3+AO135</f>
        <v>896.5</v>
      </c>
    </row>
    <row r="136">
      <c r="A136" s="31"/>
      <c r="B136" s="17"/>
      <c r="C136" s="17"/>
      <c r="D136" s="17"/>
      <c r="E136" s="17"/>
      <c r="F136" s="18"/>
      <c r="G136" s="114"/>
      <c r="H136" s="107" t="s">
        <v>23</v>
      </c>
      <c r="I136" s="109">
        <v>284.0</v>
      </c>
      <c r="J136" s="109">
        <v>280.0</v>
      </c>
      <c r="K136" s="109">
        <f>40+40+210</f>
        <v>290</v>
      </c>
      <c r="L136" s="109">
        <f>30+40</f>
        <v>70</v>
      </c>
      <c r="M136" s="109">
        <f t="shared" ref="M136:N136" si="51">40+30+210</f>
        <v>280</v>
      </c>
      <c r="N136" s="109">
        <f t="shared" si="51"/>
        <v>280</v>
      </c>
      <c r="O136" s="107"/>
      <c r="P136" s="108">
        <f t="shared" ref="P136:R136" si="52">40+30+210</f>
        <v>280</v>
      </c>
      <c r="Q136" s="108">
        <f t="shared" si="52"/>
        <v>280</v>
      </c>
      <c r="R136" s="110">
        <f t="shared" si="52"/>
        <v>280</v>
      </c>
      <c r="S136" s="110"/>
      <c r="T136" s="111">
        <v>60.0</v>
      </c>
      <c r="U136" s="111">
        <f>34+180</f>
        <v>214</v>
      </c>
      <c r="V136" s="110"/>
      <c r="W136" s="111">
        <f>54+120</f>
        <v>174</v>
      </c>
      <c r="X136" s="111">
        <f t="shared" ref="X136:Y136" si="53">60+180</f>
        <v>240</v>
      </c>
      <c r="Y136" s="111">
        <f t="shared" si="53"/>
        <v>240</v>
      </c>
      <c r="Z136" s="111">
        <f>60+120</f>
        <v>180</v>
      </c>
      <c r="AA136" s="111">
        <f>24+120</f>
        <v>144</v>
      </c>
      <c r="AB136" s="111">
        <f>50+180</f>
        <v>230</v>
      </c>
      <c r="AC136" s="110"/>
      <c r="AD136" s="110">
        <f>30+32+180</f>
        <v>242</v>
      </c>
      <c r="AE136" s="110">
        <f>30+30+120</f>
        <v>180</v>
      </c>
      <c r="AF136" s="111">
        <f>30+120</f>
        <v>150</v>
      </c>
      <c r="AG136" s="110">
        <f>32+20+180</f>
        <v>232</v>
      </c>
      <c r="AH136" s="111">
        <f>30+120</f>
        <v>150</v>
      </c>
      <c r="AI136" s="111">
        <f>22+30+60</f>
        <v>112</v>
      </c>
      <c r="AJ136" s="110"/>
      <c r="AK136" s="111">
        <f>30+114</f>
        <v>144</v>
      </c>
      <c r="AL136" s="125">
        <f>30+120</f>
        <v>150</v>
      </c>
      <c r="AM136" s="125">
        <f>32+10+120</f>
        <v>162</v>
      </c>
      <c r="AN136" s="32"/>
    </row>
    <row r="137">
      <c r="A137" s="33"/>
      <c r="B137" s="33"/>
      <c r="C137" s="33"/>
      <c r="D137" s="33"/>
      <c r="E137" s="106"/>
      <c r="F137" s="106"/>
      <c r="G137" s="107"/>
      <c r="H137" s="107"/>
      <c r="I137" s="118"/>
      <c r="J137" s="118"/>
      <c r="K137" s="118"/>
      <c r="L137" s="118"/>
      <c r="M137" s="118"/>
      <c r="N137" s="118"/>
      <c r="O137" s="114"/>
      <c r="P137" s="118"/>
      <c r="Q137" s="120"/>
      <c r="R137" s="120"/>
      <c r="S137" s="119"/>
      <c r="T137" s="120"/>
      <c r="U137" s="120"/>
      <c r="V137" s="110"/>
      <c r="W137" s="120"/>
      <c r="X137" s="120"/>
      <c r="Y137" s="120"/>
      <c r="Z137" s="120"/>
      <c r="AA137" s="120"/>
      <c r="AB137" s="120"/>
      <c r="AC137" s="110"/>
      <c r="AD137" s="120"/>
      <c r="AE137" s="120"/>
      <c r="AF137" s="120"/>
      <c r="AG137" s="120"/>
      <c r="AH137" s="120"/>
      <c r="AI137" s="127"/>
      <c r="AJ137" s="110"/>
      <c r="AK137" s="120"/>
      <c r="AL137" s="120"/>
      <c r="AM137" s="120"/>
      <c r="AN137" s="122"/>
      <c r="AO137" s="53"/>
      <c r="AP137" s="53"/>
    </row>
    <row r="138">
      <c r="A138" s="24" t="s">
        <v>71</v>
      </c>
      <c r="B138" s="17"/>
      <c r="C138" s="17"/>
      <c r="D138" s="18"/>
      <c r="E138" s="106">
        <v>8.0</v>
      </c>
      <c r="F138" s="106" t="s">
        <v>21</v>
      </c>
      <c r="G138" s="107">
        <v>8833.0</v>
      </c>
      <c r="H138" s="107" t="s">
        <v>22</v>
      </c>
      <c r="I138" s="108"/>
      <c r="J138" s="108"/>
      <c r="K138" s="108"/>
      <c r="L138" s="108"/>
      <c r="M138" s="108"/>
      <c r="N138" s="108"/>
      <c r="O138" s="114"/>
      <c r="P138" s="108"/>
      <c r="Q138" s="108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1"/>
      <c r="AJ138" s="110"/>
      <c r="AK138" s="111">
        <v>8160.0</v>
      </c>
      <c r="AL138" s="112"/>
      <c r="AM138" s="112"/>
      <c r="AN138" s="113">
        <f>G138+SUM(I138:AL138)-SUM(I139:AM139)</f>
        <v>11665</v>
      </c>
      <c r="AO138" s="53">
        <f>ROUNDDOWN((AN138/E138)/$H$4,1)</f>
        <v>48.6</v>
      </c>
      <c r="AP138" s="53">
        <f>$M$3+AO138</f>
        <v>921.6</v>
      </c>
    </row>
    <row r="139">
      <c r="A139" s="31"/>
      <c r="B139" s="17"/>
      <c r="C139" s="17"/>
      <c r="D139" s="17"/>
      <c r="E139" s="17"/>
      <c r="F139" s="18"/>
      <c r="G139" s="114"/>
      <c r="H139" s="107" t="s">
        <v>23</v>
      </c>
      <c r="I139" s="109">
        <v>284.0</v>
      </c>
      <c r="J139" s="109">
        <v>280.0</v>
      </c>
      <c r="K139" s="109">
        <f>40+40+210</f>
        <v>290</v>
      </c>
      <c r="L139" s="109">
        <f>30+40</f>
        <v>70</v>
      </c>
      <c r="M139" s="109">
        <f t="shared" ref="M139:N139" si="54">40+30+210</f>
        <v>280</v>
      </c>
      <c r="N139" s="109">
        <f t="shared" si="54"/>
        <v>280</v>
      </c>
      <c r="O139" s="107"/>
      <c r="P139" s="108">
        <f t="shared" ref="P139:R139" si="55">40+30+210</f>
        <v>280</v>
      </c>
      <c r="Q139" s="108">
        <f t="shared" si="55"/>
        <v>280</v>
      </c>
      <c r="R139" s="110">
        <f t="shared" si="55"/>
        <v>280</v>
      </c>
      <c r="S139" s="110"/>
      <c r="T139" s="111">
        <v>60.0</v>
      </c>
      <c r="U139" s="111">
        <f>34+180</f>
        <v>214</v>
      </c>
      <c r="V139" s="110"/>
      <c r="W139" s="111">
        <f>54+120</f>
        <v>174</v>
      </c>
      <c r="X139" s="111">
        <f t="shared" ref="X139:Y139" si="56">60+180</f>
        <v>240</v>
      </c>
      <c r="Y139" s="111">
        <f t="shared" si="56"/>
        <v>240</v>
      </c>
      <c r="Z139" s="111">
        <f>60+120</f>
        <v>180</v>
      </c>
      <c r="AA139" s="111">
        <f>24+120</f>
        <v>144</v>
      </c>
      <c r="AB139" s="111">
        <f>50+180</f>
        <v>230</v>
      </c>
      <c r="AC139" s="110"/>
      <c r="AD139" s="110">
        <f>30+32+180</f>
        <v>242</v>
      </c>
      <c r="AE139" s="110">
        <f>30+30+120</f>
        <v>180</v>
      </c>
      <c r="AF139" s="111">
        <f>30+120</f>
        <v>150</v>
      </c>
      <c r="AG139" s="110">
        <f>32+20+180</f>
        <v>232</v>
      </c>
      <c r="AH139" s="111">
        <f>30+120</f>
        <v>150</v>
      </c>
      <c r="AI139" s="111">
        <f>22+30+60</f>
        <v>112</v>
      </c>
      <c r="AJ139" s="110"/>
      <c r="AK139" s="111">
        <f>30+114</f>
        <v>144</v>
      </c>
      <c r="AL139" s="125">
        <f>30+120</f>
        <v>150</v>
      </c>
      <c r="AM139" s="125">
        <f>32+10+120</f>
        <v>162</v>
      </c>
      <c r="AN139" s="32"/>
    </row>
    <row r="140">
      <c r="A140" s="33"/>
      <c r="B140" s="33"/>
      <c r="C140" s="33"/>
      <c r="D140" s="33"/>
      <c r="E140" s="106"/>
      <c r="F140" s="106"/>
      <c r="G140" s="107"/>
      <c r="H140" s="107"/>
      <c r="I140" s="118"/>
      <c r="J140" s="118"/>
      <c r="K140" s="118"/>
      <c r="L140" s="118"/>
      <c r="M140" s="118"/>
      <c r="N140" s="118"/>
      <c r="O140" s="114"/>
      <c r="P140" s="118"/>
      <c r="Q140" s="118"/>
      <c r="R140" s="120"/>
      <c r="S140" s="119"/>
      <c r="T140" s="120"/>
      <c r="U140" s="120"/>
      <c r="V140" s="110"/>
      <c r="W140" s="120"/>
      <c r="X140" s="120"/>
      <c r="Y140" s="120"/>
      <c r="Z140" s="120"/>
      <c r="AA140" s="120"/>
      <c r="AB140" s="120"/>
      <c r="AC140" s="110"/>
      <c r="AD140" s="120"/>
      <c r="AE140" s="120"/>
      <c r="AF140" s="120"/>
      <c r="AG140" s="120"/>
      <c r="AH140" s="120"/>
      <c r="AI140" s="127"/>
      <c r="AJ140" s="110"/>
      <c r="AK140" s="120"/>
      <c r="AL140" s="120"/>
      <c r="AM140" s="120"/>
      <c r="AN140" s="122"/>
      <c r="AO140" s="53"/>
      <c r="AP140" s="53"/>
    </row>
    <row r="141">
      <c r="A141" s="24" t="s">
        <v>72</v>
      </c>
      <c r="B141" s="17"/>
      <c r="C141" s="17"/>
      <c r="D141" s="18"/>
      <c r="E141" s="106">
        <v>12.0</v>
      </c>
      <c r="F141" s="106" t="s">
        <v>21</v>
      </c>
      <c r="G141" s="107">
        <v>13753.0</v>
      </c>
      <c r="H141" s="107" t="s">
        <v>22</v>
      </c>
      <c r="I141" s="108"/>
      <c r="J141" s="108"/>
      <c r="K141" s="108"/>
      <c r="L141" s="108"/>
      <c r="M141" s="108"/>
      <c r="N141" s="108"/>
      <c r="O141" s="114"/>
      <c r="P141" s="108"/>
      <c r="Q141" s="108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1"/>
      <c r="AJ141" s="110"/>
      <c r="AK141" s="111">
        <v>12240.0</v>
      </c>
      <c r="AL141" s="112"/>
      <c r="AM141" s="112"/>
      <c r="AN141" s="113">
        <f>G141+SUM(I141:AL141)-SUM(I142:AM142)</f>
        <v>17233</v>
      </c>
      <c r="AO141" s="53">
        <f>ROUNDDOWN((AN141/E141)/$H$4,1)</f>
        <v>47.8</v>
      </c>
      <c r="AP141" s="53">
        <f>$M$5+AO141</f>
        <v>920.8</v>
      </c>
    </row>
    <row r="142">
      <c r="A142" s="31"/>
      <c r="B142" s="17"/>
      <c r="C142" s="17"/>
      <c r="D142" s="17"/>
      <c r="E142" s="17"/>
      <c r="F142" s="18"/>
      <c r="G142" s="114"/>
      <c r="H142" s="107" t="s">
        <v>23</v>
      </c>
      <c r="I142" s="109">
        <v>420.0</v>
      </c>
      <c r="J142" s="109">
        <v>420.0</v>
      </c>
      <c r="K142" s="109">
        <v>420.0</v>
      </c>
      <c r="L142" s="109">
        <v>420.0</v>
      </c>
      <c r="M142" s="109">
        <v>420.0</v>
      </c>
      <c r="N142" s="109">
        <v>420.0</v>
      </c>
      <c r="O142" s="107"/>
      <c r="P142" s="109">
        <v>420.0</v>
      </c>
      <c r="Q142" s="109">
        <v>420.0</v>
      </c>
      <c r="R142" s="111">
        <v>420.0</v>
      </c>
      <c r="S142" s="111">
        <v>420.0</v>
      </c>
      <c r="T142" s="110"/>
      <c r="U142" s="111">
        <v>360.0</v>
      </c>
      <c r="V142" s="110"/>
      <c r="W142" s="111">
        <v>360.0</v>
      </c>
      <c r="X142" s="111">
        <v>360.0</v>
      </c>
      <c r="Y142" s="111">
        <v>360.0</v>
      </c>
      <c r="Z142" s="111">
        <v>360.0</v>
      </c>
      <c r="AA142" s="111">
        <v>360.0</v>
      </c>
      <c r="AB142" s="111">
        <v>360.0</v>
      </c>
      <c r="AC142" s="111"/>
      <c r="AD142" s="110"/>
      <c r="AE142" s="111">
        <v>360.0</v>
      </c>
      <c r="AF142" s="111">
        <v>360.0</v>
      </c>
      <c r="AG142" s="111">
        <v>360.0</v>
      </c>
      <c r="AH142" s="111">
        <v>360.0</v>
      </c>
      <c r="AI142" s="111"/>
      <c r="AJ142" s="111"/>
      <c r="AK142" s="111">
        <v>360.0</v>
      </c>
      <c r="AL142" s="112"/>
      <c r="AM142" s="125">
        <v>240.0</v>
      </c>
      <c r="AN142" s="32"/>
    </row>
    <row r="143">
      <c r="A143" s="33"/>
      <c r="B143" s="33"/>
      <c r="C143" s="33"/>
      <c r="D143" s="33"/>
      <c r="E143" s="106"/>
      <c r="F143" s="106"/>
      <c r="G143" s="107"/>
      <c r="H143" s="107"/>
      <c r="I143" s="118"/>
      <c r="J143" s="118"/>
      <c r="K143" s="118"/>
      <c r="L143" s="118"/>
      <c r="M143" s="118"/>
      <c r="N143" s="118"/>
      <c r="O143" s="114"/>
      <c r="P143" s="118"/>
      <c r="Q143" s="118"/>
      <c r="R143" s="120"/>
      <c r="S143" s="120"/>
      <c r="T143" s="119"/>
      <c r="U143" s="120"/>
      <c r="V143" s="110"/>
      <c r="W143" s="120"/>
      <c r="X143" s="120"/>
      <c r="Y143" s="120"/>
      <c r="Z143" s="120"/>
      <c r="AA143" s="120"/>
      <c r="AB143" s="120"/>
      <c r="AC143" s="110"/>
      <c r="AD143" s="119"/>
      <c r="AE143" s="120"/>
      <c r="AF143" s="120"/>
      <c r="AG143" s="120"/>
      <c r="AH143" s="120"/>
      <c r="AI143" s="121"/>
      <c r="AJ143" s="110"/>
      <c r="AK143" s="120"/>
      <c r="AL143" s="119"/>
      <c r="AM143" s="120"/>
      <c r="AN143" s="122"/>
      <c r="AO143" s="53"/>
      <c r="AP143" s="53"/>
    </row>
    <row r="144">
      <c r="A144" s="24" t="s">
        <v>73</v>
      </c>
      <c r="B144" s="17"/>
      <c r="C144" s="17"/>
      <c r="D144" s="18"/>
      <c r="E144" s="106">
        <v>12.0</v>
      </c>
      <c r="F144" s="106" t="s">
        <v>21</v>
      </c>
      <c r="G144" s="107">
        <v>13207.0</v>
      </c>
      <c r="H144" s="107" t="s">
        <v>22</v>
      </c>
      <c r="I144" s="108"/>
      <c r="J144" s="108"/>
      <c r="K144" s="108"/>
      <c r="L144" s="108"/>
      <c r="M144" s="108"/>
      <c r="N144" s="108"/>
      <c r="O144" s="114"/>
      <c r="P144" s="108"/>
      <c r="Q144" s="108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1"/>
      <c r="AJ144" s="110"/>
      <c r="AK144" s="111">
        <v>12240.0</v>
      </c>
      <c r="AL144" s="112"/>
      <c r="AM144" s="112"/>
      <c r="AN144" s="113">
        <f>G144+SUM(I144:AL144)-SUM(I145:AM145)</f>
        <v>16327</v>
      </c>
      <c r="AO144" s="53">
        <f>ROUNDDOWN((AN144/E144)/$H$4,1)</f>
        <v>45.3</v>
      </c>
      <c r="AP144" s="53">
        <f>$M$5+AO144</f>
        <v>918.3</v>
      </c>
    </row>
    <row r="145">
      <c r="A145" s="31"/>
      <c r="B145" s="17"/>
      <c r="C145" s="17"/>
      <c r="D145" s="17"/>
      <c r="E145" s="17"/>
      <c r="F145" s="18"/>
      <c r="G145" s="114"/>
      <c r="H145" s="107" t="s">
        <v>23</v>
      </c>
      <c r="I145" s="109">
        <v>420.0</v>
      </c>
      <c r="J145" s="109">
        <v>420.0</v>
      </c>
      <c r="K145" s="109">
        <v>420.0</v>
      </c>
      <c r="L145" s="109">
        <v>420.0</v>
      </c>
      <c r="M145" s="109">
        <v>420.0</v>
      </c>
      <c r="N145" s="109">
        <v>420.0</v>
      </c>
      <c r="O145" s="107"/>
      <c r="P145" s="109">
        <v>420.0</v>
      </c>
      <c r="Q145" s="109">
        <v>420.0</v>
      </c>
      <c r="R145" s="111">
        <v>420.0</v>
      </c>
      <c r="S145" s="111">
        <v>420.0</v>
      </c>
      <c r="T145" s="111">
        <v>360.0</v>
      </c>
      <c r="U145" s="111">
        <v>360.0</v>
      </c>
      <c r="V145" s="110"/>
      <c r="W145" s="111">
        <v>360.0</v>
      </c>
      <c r="X145" s="111">
        <v>360.0</v>
      </c>
      <c r="Y145" s="111">
        <v>360.0</v>
      </c>
      <c r="Z145" s="111">
        <v>360.0</v>
      </c>
      <c r="AA145" s="111">
        <v>360.0</v>
      </c>
      <c r="AB145" s="111">
        <v>360.0</v>
      </c>
      <c r="AC145" s="111"/>
      <c r="AD145" s="110"/>
      <c r="AE145" s="111">
        <v>360.0</v>
      </c>
      <c r="AF145" s="111">
        <v>360.0</v>
      </c>
      <c r="AG145" s="111">
        <v>360.0</v>
      </c>
      <c r="AH145" s="111">
        <v>360.0</v>
      </c>
      <c r="AI145" s="111"/>
      <c r="AJ145" s="111"/>
      <c r="AK145" s="111">
        <v>360.0</v>
      </c>
      <c r="AL145" s="112"/>
      <c r="AM145" s="125">
        <v>240.0</v>
      </c>
      <c r="AN145" s="32"/>
    </row>
    <row r="146">
      <c r="A146" s="33"/>
      <c r="B146" s="33"/>
      <c r="C146" s="33"/>
      <c r="D146" s="33"/>
      <c r="E146" s="106"/>
      <c r="F146" s="106"/>
      <c r="G146" s="107"/>
      <c r="H146" s="107"/>
      <c r="I146" s="118"/>
      <c r="J146" s="118"/>
      <c r="K146" s="118"/>
      <c r="L146" s="118"/>
      <c r="M146" s="118"/>
      <c r="N146" s="118"/>
      <c r="O146" s="114"/>
      <c r="P146" s="118"/>
      <c r="Q146" s="118"/>
      <c r="R146" s="120"/>
      <c r="S146" s="120"/>
      <c r="T146" s="120"/>
      <c r="U146" s="120"/>
      <c r="V146" s="110"/>
      <c r="W146" s="120"/>
      <c r="X146" s="120"/>
      <c r="Y146" s="120"/>
      <c r="Z146" s="120"/>
      <c r="AA146" s="120"/>
      <c r="AB146" s="120"/>
      <c r="AC146" s="110"/>
      <c r="AD146" s="119"/>
      <c r="AE146" s="120"/>
      <c r="AF146" s="120"/>
      <c r="AG146" s="120"/>
      <c r="AH146" s="120"/>
      <c r="AI146" s="119"/>
      <c r="AJ146" s="110"/>
      <c r="AK146" s="120"/>
      <c r="AL146" s="119"/>
      <c r="AM146" s="120"/>
      <c r="AN146" s="122"/>
      <c r="AO146" s="53"/>
      <c r="AP146" s="53"/>
    </row>
    <row r="147">
      <c r="A147" s="24" t="s">
        <v>74</v>
      </c>
      <c r="B147" s="17"/>
      <c r="C147" s="17"/>
      <c r="D147" s="18"/>
      <c r="E147" s="106">
        <v>18.0</v>
      </c>
      <c r="F147" s="106" t="s">
        <v>21</v>
      </c>
      <c r="G147" s="107">
        <v>23140.0</v>
      </c>
      <c r="H147" s="107" t="s">
        <v>22</v>
      </c>
      <c r="I147" s="108"/>
      <c r="J147" s="108"/>
      <c r="K147" s="108"/>
      <c r="L147" s="108"/>
      <c r="M147" s="108"/>
      <c r="N147" s="108"/>
      <c r="O147" s="114"/>
      <c r="P147" s="108"/>
      <c r="Q147" s="108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1"/>
      <c r="AK147" s="111">
        <v>20400.0</v>
      </c>
      <c r="AL147" s="112"/>
      <c r="AM147" s="112"/>
      <c r="AN147" s="113">
        <f>G147+SUM(I147:AL147)-SUM(I148:AM148)</f>
        <v>30958</v>
      </c>
      <c r="AO147" s="53">
        <f>ROUNDDOWN((AN147/E147)/$H$4,1)</f>
        <v>57.3</v>
      </c>
      <c r="AP147" s="53">
        <f>$M$5+AO147</f>
        <v>930.3</v>
      </c>
    </row>
    <row r="148">
      <c r="A148" s="31"/>
      <c r="B148" s="17"/>
      <c r="C148" s="17"/>
      <c r="D148" s="17"/>
      <c r="E148" s="17"/>
      <c r="F148" s="18"/>
      <c r="G148" s="114"/>
      <c r="H148" s="107" t="s">
        <v>23</v>
      </c>
      <c r="I148" s="109">
        <v>612.0</v>
      </c>
      <c r="J148" s="109">
        <v>630.0</v>
      </c>
      <c r="K148" s="109">
        <f>360+360</f>
        <v>720</v>
      </c>
      <c r="L148" s="109">
        <f>270+360</f>
        <v>630</v>
      </c>
      <c r="M148" s="109">
        <f t="shared" ref="M148:N148" si="57">360+270</f>
        <v>630</v>
      </c>
      <c r="N148" s="108">
        <f t="shared" si="57"/>
        <v>630</v>
      </c>
      <c r="O148" s="107"/>
      <c r="P148" s="108">
        <f t="shared" ref="P148:R148" si="58">360+270</f>
        <v>630</v>
      </c>
      <c r="Q148" s="108">
        <f t="shared" si="58"/>
        <v>630</v>
      </c>
      <c r="R148" s="110">
        <f t="shared" si="58"/>
        <v>630</v>
      </c>
      <c r="S148" s="111"/>
      <c r="T148" s="111">
        <v>540.0</v>
      </c>
      <c r="U148" s="111">
        <v>306.0</v>
      </c>
      <c r="V148" s="110"/>
      <c r="W148" s="111">
        <v>486.0</v>
      </c>
      <c r="X148" s="111">
        <v>540.0</v>
      </c>
      <c r="Y148" s="111">
        <v>540.0</v>
      </c>
      <c r="Z148" s="111">
        <v>540.0</v>
      </c>
      <c r="AA148" s="111">
        <v>216.0</v>
      </c>
      <c r="AB148" s="111">
        <v>450.0</v>
      </c>
      <c r="AC148" s="110"/>
      <c r="AD148" s="111">
        <f>270+288</f>
        <v>558</v>
      </c>
      <c r="AE148" s="110">
        <f>270+270</f>
        <v>540</v>
      </c>
      <c r="AF148" s="111">
        <v>270.0</v>
      </c>
      <c r="AG148" s="110">
        <f>288+180</f>
        <v>468</v>
      </c>
      <c r="AH148" s="111">
        <v>270.0</v>
      </c>
      <c r="AI148" s="111">
        <v>198.0</v>
      </c>
      <c r="AJ148" s="110"/>
      <c r="AK148" s="111">
        <v>270.0</v>
      </c>
      <c r="AL148" s="125">
        <v>270.0</v>
      </c>
      <c r="AM148" s="125">
        <f>288+90</f>
        <v>378</v>
      </c>
      <c r="AN148" s="32"/>
    </row>
    <row r="149">
      <c r="A149" s="33"/>
      <c r="B149" s="33"/>
      <c r="C149" s="33"/>
      <c r="D149" s="33"/>
      <c r="E149" s="106"/>
      <c r="F149" s="106"/>
      <c r="G149" s="107"/>
      <c r="H149" s="107"/>
      <c r="I149" s="118"/>
      <c r="J149" s="118"/>
      <c r="K149" s="118"/>
      <c r="L149" s="118"/>
      <c r="M149" s="118"/>
      <c r="N149" s="118"/>
      <c r="O149" s="114"/>
      <c r="P149" s="118"/>
      <c r="Q149" s="118"/>
      <c r="R149" s="120"/>
      <c r="S149" s="119"/>
      <c r="T149" s="120"/>
      <c r="U149" s="120"/>
      <c r="V149" s="110"/>
      <c r="W149" s="120"/>
      <c r="X149" s="120"/>
      <c r="Y149" s="120"/>
      <c r="Z149" s="120"/>
      <c r="AA149" s="120"/>
      <c r="AB149" s="120"/>
      <c r="AC149" s="110"/>
      <c r="AD149" s="120"/>
      <c r="AE149" s="120"/>
      <c r="AF149" s="120"/>
      <c r="AG149" s="120"/>
      <c r="AH149" s="120"/>
      <c r="AI149" s="120"/>
      <c r="AJ149" s="110"/>
      <c r="AK149" s="120"/>
      <c r="AL149" s="120"/>
      <c r="AM149" s="120"/>
      <c r="AN149" s="122"/>
      <c r="AO149" s="53"/>
      <c r="AP149" s="53"/>
    </row>
    <row r="150">
      <c r="A150" s="24" t="s">
        <v>75</v>
      </c>
      <c r="B150" s="17"/>
      <c r="C150" s="17"/>
      <c r="D150" s="18"/>
      <c r="E150" s="106">
        <v>12.0</v>
      </c>
      <c r="F150" s="106" t="s">
        <v>21</v>
      </c>
      <c r="G150" s="107">
        <v>39352.0</v>
      </c>
      <c r="H150" s="107" t="s">
        <v>22</v>
      </c>
      <c r="I150" s="108"/>
      <c r="J150" s="108"/>
      <c r="K150" s="108"/>
      <c r="L150" s="108"/>
      <c r="M150" s="108"/>
      <c r="N150" s="108"/>
      <c r="O150" s="114"/>
      <c r="P150" s="108"/>
      <c r="Q150" s="108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2"/>
      <c r="AM150" s="112"/>
      <c r="AN150" s="113">
        <f>G150+SUM(I150:AL150)-SUM(I151:AM151)</f>
        <v>31852</v>
      </c>
      <c r="AO150" s="53">
        <f>ROUNDDOWN((AN150/E150)/$H$4,1)</f>
        <v>88.4</v>
      </c>
      <c r="AP150" s="53">
        <f>$M$4+AO150</f>
        <v>962.4</v>
      </c>
    </row>
    <row r="151">
      <c r="A151" s="31"/>
      <c r="B151" s="17"/>
      <c r="C151" s="17"/>
      <c r="D151" s="17"/>
      <c r="E151" s="17"/>
      <c r="F151" s="18"/>
      <c r="G151" s="114"/>
      <c r="H151" s="107" t="s">
        <v>23</v>
      </c>
      <c r="I151" s="109">
        <v>435.0</v>
      </c>
      <c r="J151" s="109">
        <v>435.0</v>
      </c>
      <c r="K151" s="109">
        <v>315.0</v>
      </c>
      <c r="L151" s="109">
        <f>120+315</f>
        <v>435</v>
      </c>
      <c r="M151" s="109">
        <v>315.0</v>
      </c>
      <c r="N151" s="109">
        <v>120.0</v>
      </c>
      <c r="O151" s="107"/>
      <c r="P151" s="109">
        <f>120+315</f>
        <v>435</v>
      </c>
      <c r="Q151" s="109">
        <f>200+315</f>
        <v>515</v>
      </c>
      <c r="R151" s="111">
        <v>315.0</v>
      </c>
      <c r="S151" s="111">
        <v>630.0</v>
      </c>
      <c r="T151" s="111">
        <v>120.0</v>
      </c>
      <c r="U151" s="110"/>
      <c r="V151" s="111"/>
      <c r="W151" s="111">
        <f>120+200</f>
        <v>320</v>
      </c>
      <c r="X151" s="111">
        <f>270+120</f>
        <v>390</v>
      </c>
      <c r="Y151" s="111">
        <v>270.0</v>
      </c>
      <c r="Z151" s="111">
        <v>270.0</v>
      </c>
      <c r="AA151" s="111">
        <f>120+270</f>
        <v>390</v>
      </c>
      <c r="AB151" s="111">
        <v>270.0</v>
      </c>
      <c r="AC151" s="111"/>
      <c r="AD151" s="110"/>
      <c r="AE151" s="110"/>
      <c r="AF151" s="111">
        <v>270.0</v>
      </c>
      <c r="AG151" s="111">
        <f>120+270</f>
        <v>390</v>
      </c>
      <c r="AH151" s="111">
        <v>270.0</v>
      </c>
      <c r="AI151" s="111"/>
      <c r="AJ151" s="111"/>
      <c r="AK151" s="111">
        <f>120+200</f>
        <v>320</v>
      </c>
      <c r="AL151" s="125">
        <v>270.0</v>
      </c>
      <c r="AM151" s="112"/>
      <c r="AN151" s="32"/>
    </row>
    <row r="152">
      <c r="A152" s="33"/>
      <c r="B152" s="33"/>
      <c r="C152" s="33"/>
      <c r="D152" s="33"/>
      <c r="E152" s="106"/>
      <c r="F152" s="106"/>
      <c r="G152" s="107"/>
      <c r="H152" s="107"/>
      <c r="I152" s="118"/>
      <c r="J152" s="118"/>
      <c r="K152" s="118"/>
      <c r="L152" s="118"/>
      <c r="M152" s="118"/>
      <c r="N152" s="118"/>
      <c r="O152" s="114"/>
      <c r="P152" s="118"/>
      <c r="Q152" s="118"/>
      <c r="R152" s="120"/>
      <c r="S152" s="120"/>
      <c r="T152" s="120"/>
      <c r="U152" s="119"/>
      <c r="V152" s="110"/>
      <c r="W152" s="120"/>
      <c r="X152" s="120"/>
      <c r="Y152" s="120"/>
      <c r="Z152" s="120"/>
      <c r="AA152" s="120"/>
      <c r="AB152" s="120"/>
      <c r="AC152" s="110"/>
      <c r="AD152" s="119"/>
      <c r="AE152" s="119"/>
      <c r="AF152" s="120"/>
      <c r="AG152" s="120"/>
      <c r="AH152" s="120"/>
      <c r="AI152" s="119"/>
      <c r="AJ152" s="110"/>
      <c r="AK152" s="120"/>
      <c r="AL152" s="120"/>
      <c r="AM152" s="119"/>
      <c r="AN152" s="122"/>
      <c r="AO152" s="53"/>
      <c r="AP152" s="53"/>
    </row>
    <row r="153">
      <c r="A153" s="24" t="s">
        <v>76</v>
      </c>
      <c r="B153" s="17"/>
      <c r="C153" s="17"/>
      <c r="D153" s="18"/>
      <c r="E153" s="106">
        <v>1.0</v>
      </c>
      <c r="F153" s="106" t="s">
        <v>21</v>
      </c>
      <c r="G153" s="107">
        <v>1280.0</v>
      </c>
      <c r="H153" s="107" t="s">
        <v>22</v>
      </c>
      <c r="I153" s="108"/>
      <c r="J153" s="108"/>
      <c r="K153" s="108"/>
      <c r="L153" s="108"/>
      <c r="M153" s="108"/>
      <c r="N153" s="108"/>
      <c r="O153" s="114"/>
      <c r="P153" s="108"/>
      <c r="Q153" s="108"/>
      <c r="R153" s="111">
        <v>1000.0</v>
      </c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2"/>
      <c r="AM153" s="112"/>
      <c r="AN153" s="113">
        <f>G153+SUM(I153:AL153)-SUM(I154:AM154)</f>
        <v>1740</v>
      </c>
      <c r="AO153" s="53">
        <f>ROUNDDOWN((AN153/E153)/$H$4,1)</f>
        <v>58</v>
      </c>
      <c r="AP153" s="53">
        <f>$M$4+AO153</f>
        <v>932</v>
      </c>
    </row>
    <row r="154">
      <c r="A154" s="31"/>
      <c r="B154" s="17"/>
      <c r="C154" s="17"/>
      <c r="D154" s="17"/>
      <c r="E154" s="17"/>
      <c r="F154" s="18"/>
      <c r="G154" s="114"/>
      <c r="H154" s="107" t="s">
        <v>23</v>
      </c>
      <c r="I154" s="108"/>
      <c r="J154" s="108"/>
      <c r="K154" s="109">
        <v>90.0</v>
      </c>
      <c r="L154" s="108"/>
      <c r="M154" s="108"/>
      <c r="N154" s="109">
        <v>90.0</v>
      </c>
      <c r="O154" s="114"/>
      <c r="P154" s="108"/>
      <c r="Q154" s="108"/>
      <c r="R154" s="110"/>
      <c r="S154" s="111">
        <v>90.0</v>
      </c>
      <c r="T154" s="111"/>
      <c r="U154" s="110"/>
      <c r="V154" s="110"/>
      <c r="W154" s="110"/>
      <c r="X154" s="111">
        <v>90.0</v>
      </c>
      <c r="Y154" s="110"/>
      <c r="Z154" s="111">
        <v>90.0</v>
      </c>
      <c r="AA154" s="110"/>
      <c r="AB154" s="110"/>
      <c r="AC154" s="110"/>
      <c r="AD154" s="110"/>
      <c r="AE154" s="110"/>
      <c r="AF154" s="111"/>
      <c r="AG154" s="110"/>
      <c r="AH154" s="111">
        <v>90.0</v>
      </c>
      <c r="AI154" s="111"/>
      <c r="AJ154" s="110"/>
      <c r="AK154" s="111"/>
      <c r="AL154" s="112"/>
      <c r="AM154" s="112"/>
      <c r="AN154" s="32"/>
    </row>
    <row r="155">
      <c r="A155" s="33"/>
      <c r="B155" s="33"/>
      <c r="C155" s="33"/>
      <c r="D155" s="33"/>
      <c r="E155" s="106"/>
      <c r="F155" s="106"/>
      <c r="G155" s="107"/>
      <c r="H155" s="107"/>
      <c r="I155" s="117"/>
      <c r="J155" s="117"/>
      <c r="K155" s="118"/>
      <c r="L155" s="117"/>
      <c r="M155" s="117"/>
      <c r="N155" s="118"/>
      <c r="O155" s="114"/>
      <c r="P155" s="117"/>
      <c r="Q155" s="117"/>
      <c r="R155" s="119"/>
      <c r="S155" s="120"/>
      <c r="T155" s="119"/>
      <c r="U155" s="119"/>
      <c r="V155" s="110"/>
      <c r="W155" s="119"/>
      <c r="X155" s="120"/>
      <c r="Y155" s="119"/>
      <c r="Z155" s="120"/>
      <c r="AA155" s="119"/>
      <c r="AB155" s="119"/>
      <c r="AC155" s="110"/>
      <c r="AD155" s="119"/>
      <c r="AE155" s="119"/>
      <c r="AF155" s="119"/>
      <c r="AG155" s="119"/>
      <c r="AH155" s="120"/>
      <c r="AI155" s="119"/>
      <c r="AJ155" s="110"/>
      <c r="AK155" s="119"/>
      <c r="AL155" s="119"/>
      <c r="AM155" s="119"/>
      <c r="AN155" s="122"/>
      <c r="AO155" s="53"/>
      <c r="AP155" s="53"/>
    </row>
    <row r="156">
      <c r="A156" s="24" t="s">
        <v>77</v>
      </c>
      <c r="B156" s="17"/>
      <c r="C156" s="17"/>
      <c r="D156" s="18"/>
      <c r="E156" s="106">
        <v>8.0</v>
      </c>
      <c r="F156" s="106" t="s">
        <v>21</v>
      </c>
      <c r="G156" s="107">
        <v>8731.0</v>
      </c>
      <c r="H156" s="107" t="s">
        <v>22</v>
      </c>
      <c r="I156" s="108"/>
      <c r="J156" s="108"/>
      <c r="K156" s="108"/>
      <c r="L156" s="108"/>
      <c r="M156" s="108"/>
      <c r="N156" s="108"/>
      <c r="O156" s="114"/>
      <c r="P156" s="108"/>
      <c r="Q156" s="108"/>
      <c r="R156" s="111">
        <v>8500.0</v>
      </c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2"/>
      <c r="AM156" s="112"/>
      <c r="AN156" s="113">
        <f>G156+SUM(I156:AL156)-SUM(I157:AM157)</f>
        <v>12431</v>
      </c>
      <c r="AO156" s="53">
        <f>ROUNDDOWN((AN156/E156)/$H$4,1)</f>
        <v>51.7</v>
      </c>
      <c r="AP156" s="53">
        <f>$M$4+AO156</f>
        <v>925.7</v>
      </c>
    </row>
    <row r="157">
      <c r="A157" s="31"/>
      <c r="B157" s="17"/>
      <c r="C157" s="17"/>
      <c r="D157" s="17"/>
      <c r="E157" s="17"/>
      <c r="F157" s="18"/>
      <c r="G157" s="114"/>
      <c r="H157" s="107" t="s">
        <v>23</v>
      </c>
      <c r="I157" s="109"/>
      <c r="J157" s="109">
        <v>480.0</v>
      </c>
      <c r="K157" s="109">
        <v>480.0</v>
      </c>
      <c r="L157" s="108"/>
      <c r="M157" s="109">
        <v>480.0</v>
      </c>
      <c r="N157" s="109"/>
      <c r="O157" s="114"/>
      <c r="P157" s="109">
        <v>480.0</v>
      </c>
      <c r="Q157" s="108"/>
      <c r="R157" s="110"/>
      <c r="S157" s="110"/>
      <c r="T157" s="110"/>
      <c r="U157" s="111">
        <v>480.0</v>
      </c>
      <c r="V157" s="110"/>
      <c r="W157" s="110"/>
      <c r="X157" s="111">
        <v>480.0</v>
      </c>
      <c r="Y157" s="110"/>
      <c r="Z157" s="111">
        <v>480.0</v>
      </c>
      <c r="AA157" s="111"/>
      <c r="AB157" s="111">
        <v>480.0</v>
      </c>
      <c r="AC157" s="111"/>
      <c r="AD157" s="110"/>
      <c r="AE157" s="110"/>
      <c r="AF157" s="111"/>
      <c r="AG157" s="110"/>
      <c r="AH157" s="111">
        <v>480.0</v>
      </c>
      <c r="AI157" s="110"/>
      <c r="AJ157" s="111"/>
      <c r="AK157" s="110"/>
      <c r="AL157" s="125">
        <v>480.0</v>
      </c>
      <c r="AM157" s="112"/>
      <c r="AN157" s="32"/>
    </row>
    <row r="158">
      <c r="A158" s="33"/>
      <c r="B158" s="33"/>
      <c r="C158" s="33"/>
      <c r="D158" s="33"/>
      <c r="E158" s="106"/>
      <c r="F158" s="106"/>
      <c r="G158" s="107"/>
      <c r="H158" s="107"/>
      <c r="I158" s="117"/>
      <c r="J158" s="118"/>
      <c r="K158" s="118"/>
      <c r="L158" s="117"/>
      <c r="M158" s="118"/>
      <c r="N158" s="117"/>
      <c r="O158" s="114"/>
      <c r="P158" s="118"/>
      <c r="Q158" s="117"/>
      <c r="R158" s="119"/>
      <c r="S158" s="119"/>
      <c r="T158" s="119"/>
      <c r="U158" s="120"/>
      <c r="V158" s="110"/>
      <c r="W158" s="119"/>
      <c r="X158" s="120"/>
      <c r="Y158" s="119"/>
      <c r="Z158" s="120"/>
      <c r="AA158" s="119"/>
      <c r="AB158" s="120"/>
      <c r="AC158" s="110"/>
      <c r="AD158" s="119"/>
      <c r="AE158" s="119"/>
      <c r="AF158" s="119"/>
      <c r="AG158" s="119"/>
      <c r="AH158" s="120"/>
      <c r="AI158" s="119"/>
      <c r="AJ158" s="110"/>
      <c r="AK158" s="119"/>
      <c r="AL158" s="120"/>
      <c r="AM158" s="119"/>
      <c r="AN158" s="122"/>
      <c r="AO158" s="53"/>
      <c r="AP158" s="53"/>
    </row>
    <row r="159">
      <c r="A159" s="24" t="s">
        <v>78</v>
      </c>
      <c r="B159" s="17"/>
      <c r="C159" s="17"/>
      <c r="D159" s="18"/>
      <c r="E159" s="106">
        <v>6.0</v>
      </c>
      <c r="F159" s="106" t="s">
        <v>21</v>
      </c>
      <c r="G159" s="107">
        <v>10784.0</v>
      </c>
      <c r="H159" s="107" t="s">
        <v>22</v>
      </c>
      <c r="I159" s="108"/>
      <c r="J159" s="108"/>
      <c r="K159" s="108"/>
      <c r="L159" s="108"/>
      <c r="M159" s="108"/>
      <c r="N159" s="108"/>
      <c r="O159" s="114"/>
      <c r="P159" s="108"/>
      <c r="Q159" s="108"/>
      <c r="R159" s="111">
        <v>6000.0</v>
      </c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2"/>
      <c r="AM159" s="112"/>
      <c r="AN159" s="113">
        <f>G159+SUM(I159:AL159)-SUM(I160:AM160)</f>
        <v>12704</v>
      </c>
      <c r="AO159" s="53">
        <f>ROUNDDOWN((AN159/E159)/$H$4,1)</f>
        <v>70.5</v>
      </c>
      <c r="AP159" s="53">
        <f>$M$3+AO159</f>
        <v>943.5</v>
      </c>
    </row>
    <row r="160">
      <c r="A160" s="31"/>
      <c r="B160" s="17"/>
      <c r="C160" s="17"/>
      <c r="D160" s="17"/>
      <c r="E160" s="17"/>
      <c r="F160" s="18"/>
      <c r="G160" s="114"/>
      <c r="H160" s="107" t="s">
        <v>23</v>
      </c>
      <c r="I160" s="109">
        <v>216.0</v>
      </c>
      <c r="J160" s="109">
        <v>210.0</v>
      </c>
      <c r="K160" s="109">
        <v>210.0</v>
      </c>
      <c r="L160" s="109"/>
      <c r="M160" s="109">
        <v>210.0</v>
      </c>
      <c r="N160" s="109">
        <v>210.0</v>
      </c>
      <c r="O160" s="107"/>
      <c r="P160" s="109">
        <v>210.0</v>
      </c>
      <c r="Q160" s="109">
        <v>210.0</v>
      </c>
      <c r="R160" s="111">
        <v>210.0</v>
      </c>
      <c r="S160" s="110"/>
      <c r="T160" s="111">
        <v>180.0</v>
      </c>
      <c r="U160" s="111">
        <v>180.0</v>
      </c>
      <c r="V160" s="110"/>
      <c r="W160" s="111">
        <v>120.0</v>
      </c>
      <c r="X160" s="111">
        <v>180.0</v>
      </c>
      <c r="Y160" s="111">
        <v>180.0</v>
      </c>
      <c r="Z160" s="111">
        <v>120.0</v>
      </c>
      <c r="AA160" s="111">
        <v>120.0</v>
      </c>
      <c r="AB160" s="111">
        <v>180.0</v>
      </c>
      <c r="AC160" s="111"/>
      <c r="AD160" s="111">
        <v>180.0</v>
      </c>
      <c r="AE160" s="111">
        <v>120.0</v>
      </c>
      <c r="AF160" s="111">
        <v>120.0</v>
      </c>
      <c r="AG160" s="111">
        <v>180.0</v>
      </c>
      <c r="AH160" s="111">
        <v>120.0</v>
      </c>
      <c r="AI160" s="111">
        <v>60.0</v>
      </c>
      <c r="AJ160" s="111"/>
      <c r="AK160" s="111">
        <v>114.0</v>
      </c>
      <c r="AL160" s="125">
        <v>120.0</v>
      </c>
      <c r="AM160" s="125">
        <v>120.0</v>
      </c>
      <c r="AN160" s="32"/>
    </row>
    <row r="161">
      <c r="A161" s="33"/>
      <c r="B161" s="33"/>
      <c r="C161" s="33"/>
      <c r="D161" s="33"/>
      <c r="E161" s="106"/>
      <c r="F161" s="106"/>
      <c r="G161" s="107"/>
      <c r="H161" s="107"/>
      <c r="I161" s="118"/>
      <c r="J161" s="118"/>
      <c r="K161" s="118"/>
      <c r="L161" s="117"/>
      <c r="M161" s="118"/>
      <c r="N161" s="118"/>
      <c r="O161" s="114"/>
      <c r="P161" s="118"/>
      <c r="Q161" s="118"/>
      <c r="R161" s="120"/>
      <c r="S161" s="119"/>
      <c r="T161" s="120"/>
      <c r="U161" s="120"/>
      <c r="V161" s="110"/>
      <c r="W161" s="120"/>
      <c r="X161" s="120"/>
      <c r="Y161" s="120"/>
      <c r="Z161" s="120"/>
      <c r="AA161" s="120"/>
      <c r="AB161" s="120"/>
      <c r="AC161" s="110"/>
      <c r="AD161" s="120"/>
      <c r="AE161" s="120"/>
      <c r="AF161" s="120"/>
      <c r="AG161" s="120"/>
      <c r="AH161" s="120"/>
      <c r="AI161" s="127"/>
      <c r="AJ161" s="110"/>
      <c r="AK161" s="120"/>
      <c r="AL161" s="120"/>
      <c r="AM161" s="120"/>
      <c r="AN161" s="122"/>
      <c r="AO161" s="53"/>
      <c r="AP161" s="53"/>
    </row>
    <row r="162">
      <c r="A162" s="24" t="s">
        <v>79</v>
      </c>
      <c r="B162" s="17"/>
      <c r="C162" s="17"/>
      <c r="D162" s="18"/>
      <c r="E162" s="106">
        <v>12.0</v>
      </c>
      <c r="F162" s="106" t="s">
        <v>21</v>
      </c>
      <c r="G162" s="107">
        <v>13928.0</v>
      </c>
      <c r="H162" s="107" t="s">
        <v>22</v>
      </c>
      <c r="I162" s="108"/>
      <c r="J162" s="108"/>
      <c r="K162" s="108"/>
      <c r="L162" s="108"/>
      <c r="M162" s="108"/>
      <c r="N162" s="108"/>
      <c r="O162" s="114"/>
      <c r="P162" s="108"/>
      <c r="Q162" s="108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1"/>
      <c r="AJ162" s="111"/>
      <c r="AK162" s="111">
        <v>12240.0</v>
      </c>
      <c r="AL162" s="112"/>
      <c r="AM162" s="112"/>
      <c r="AN162" s="113">
        <f>G162+SUM(I162:AL162)-SUM(I163:AM163)</f>
        <v>17048</v>
      </c>
      <c r="AO162" s="53">
        <f>ROUNDDOWN((AN162/E162)/$H$4,1)</f>
        <v>47.3</v>
      </c>
      <c r="AP162" s="53">
        <f>M5+AO162</f>
        <v>920.3</v>
      </c>
    </row>
    <row r="163">
      <c r="A163" s="31"/>
      <c r="B163" s="17"/>
      <c r="C163" s="17"/>
      <c r="D163" s="17"/>
      <c r="E163" s="17"/>
      <c r="F163" s="18"/>
      <c r="G163" s="114"/>
      <c r="H163" s="107" t="s">
        <v>23</v>
      </c>
      <c r="I163" s="109">
        <v>420.0</v>
      </c>
      <c r="J163" s="109">
        <v>420.0</v>
      </c>
      <c r="K163" s="109">
        <v>420.0</v>
      </c>
      <c r="L163" s="109">
        <v>420.0</v>
      </c>
      <c r="M163" s="109">
        <v>420.0</v>
      </c>
      <c r="N163" s="109">
        <v>420.0</v>
      </c>
      <c r="O163" s="107"/>
      <c r="P163" s="109">
        <v>420.0</v>
      </c>
      <c r="Q163" s="109">
        <v>420.0</v>
      </c>
      <c r="R163" s="111">
        <v>420.0</v>
      </c>
      <c r="S163" s="111">
        <v>420.0</v>
      </c>
      <c r="T163" s="111">
        <v>360.0</v>
      </c>
      <c r="U163" s="111">
        <v>360.0</v>
      </c>
      <c r="V163" s="110"/>
      <c r="W163" s="111">
        <v>360.0</v>
      </c>
      <c r="X163" s="111">
        <v>360.0</v>
      </c>
      <c r="Y163" s="111">
        <v>360.0</v>
      </c>
      <c r="Z163" s="111">
        <v>360.0</v>
      </c>
      <c r="AA163" s="111">
        <v>360.0</v>
      </c>
      <c r="AB163" s="111">
        <v>360.0</v>
      </c>
      <c r="AC163" s="111"/>
      <c r="AD163" s="110"/>
      <c r="AE163" s="111">
        <v>360.0</v>
      </c>
      <c r="AF163" s="111">
        <v>360.0</v>
      </c>
      <c r="AG163" s="111">
        <v>360.0</v>
      </c>
      <c r="AH163" s="111">
        <v>360.0</v>
      </c>
      <c r="AI163" s="111"/>
      <c r="AJ163" s="111"/>
      <c r="AK163" s="111">
        <v>360.0</v>
      </c>
      <c r="AL163" s="112"/>
      <c r="AM163" s="125">
        <v>240.0</v>
      </c>
      <c r="AN163" s="32"/>
    </row>
    <row r="164">
      <c r="A164" s="33"/>
      <c r="B164" s="33"/>
      <c r="C164" s="33"/>
      <c r="D164" s="33"/>
      <c r="E164" s="106"/>
      <c r="F164" s="106"/>
      <c r="G164" s="107"/>
      <c r="H164" s="107"/>
      <c r="I164" s="118"/>
      <c r="J164" s="118"/>
      <c r="K164" s="118"/>
      <c r="L164" s="118"/>
      <c r="M164" s="118"/>
      <c r="N164" s="118"/>
      <c r="O164" s="114"/>
      <c r="P164" s="118"/>
      <c r="Q164" s="118"/>
      <c r="R164" s="120"/>
      <c r="S164" s="120"/>
      <c r="T164" s="120"/>
      <c r="U164" s="120"/>
      <c r="V164" s="110"/>
      <c r="W164" s="120"/>
      <c r="X164" s="120"/>
      <c r="Y164" s="120"/>
      <c r="Z164" s="120"/>
      <c r="AA164" s="120"/>
      <c r="AB164" s="120"/>
      <c r="AC164" s="110"/>
      <c r="AD164" s="119"/>
      <c r="AE164" s="120"/>
      <c r="AF164" s="120"/>
      <c r="AG164" s="120"/>
      <c r="AH164" s="120"/>
      <c r="AI164" s="121"/>
      <c r="AJ164" s="110"/>
      <c r="AK164" s="120"/>
      <c r="AL164" s="119"/>
      <c r="AM164" s="120"/>
      <c r="AN164" s="122"/>
      <c r="AO164" s="53"/>
      <c r="AP164" s="53"/>
    </row>
    <row r="165">
      <c r="A165" s="24" t="s">
        <v>80</v>
      </c>
      <c r="B165" s="17"/>
      <c r="C165" s="17"/>
      <c r="D165" s="18"/>
      <c r="E165" s="106">
        <v>6.0</v>
      </c>
      <c r="F165" s="106" t="s">
        <v>21</v>
      </c>
      <c r="G165" s="107">
        <v>6440.0</v>
      </c>
      <c r="H165" s="107" t="s">
        <v>22</v>
      </c>
      <c r="I165" s="108"/>
      <c r="J165" s="108"/>
      <c r="K165" s="108"/>
      <c r="L165" s="108"/>
      <c r="M165" s="108"/>
      <c r="N165" s="108"/>
      <c r="O165" s="114"/>
      <c r="P165" s="108"/>
      <c r="Q165" s="108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1"/>
      <c r="AJ165" s="111"/>
      <c r="AK165" s="111">
        <v>6120.0</v>
      </c>
      <c r="AL165" s="112"/>
      <c r="AM165" s="112"/>
      <c r="AN165" s="113">
        <f>G165+SUM(I165:AL165)-SUM(I166:AM166)</f>
        <v>8276</v>
      </c>
      <c r="AO165" s="53">
        <f>ROUNDDOWN((AN165/E165)/$H$4,1)</f>
        <v>45.9</v>
      </c>
      <c r="AP165" s="53">
        <f>$M$3+AO165</f>
        <v>918.9</v>
      </c>
    </row>
    <row r="166">
      <c r="A166" s="31"/>
      <c r="B166" s="17"/>
      <c r="C166" s="17"/>
      <c r="D166" s="17"/>
      <c r="E166" s="17"/>
      <c r="F166" s="18"/>
      <c r="G166" s="114"/>
      <c r="H166" s="107" t="s">
        <v>23</v>
      </c>
      <c r="I166" s="109">
        <v>204.0</v>
      </c>
      <c r="J166" s="109">
        <v>210.0</v>
      </c>
      <c r="K166" s="109">
        <f>120+120</f>
        <v>240</v>
      </c>
      <c r="L166" s="109">
        <f t="shared" ref="L166:N166" si="59">120+90</f>
        <v>210</v>
      </c>
      <c r="M166" s="109">
        <f t="shared" si="59"/>
        <v>210</v>
      </c>
      <c r="N166" s="109">
        <f t="shared" si="59"/>
        <v>210</v>
      </c>
      <c r="O166" s="107"/>
      <c r="P166" s="108">
        <f t="shared" ref="P166:R166" si="60">120+90</f>
        <v>210</v>
      </c>
      <c r="Q166" s="108">
        <f t="shared" si="60"/>
        <v>210</v>
      </c>
      <c r="R166" s="110">
        <f t="shared" si="60"/>
        <v>210</v>
      </c>
      <c r="S166" s="110"/>
      <c r="T166" s="111">
        <v>180.0</v>
      </c>
      <c r="U166" s="111">
        <v>102.0</v>
      </c>
      <c r="V166" s="110"/>
      <c r="W166" s="111">
        <v>162.0</v>
      </c>
      <c r="X166" s="111">
        <v>180.0</v>
      </c>
      <c r="Y166" s="111">
        <v>180.0</v>
      </c>
      <c r="Z166" s="111">
        <v>180.0</v>
      </c>
      <c r="AA166" s="111">
        <v>72.0</v>
      </c>
      <c r="AB166" s="111">
        <v>150.0</v>
      </c>
      <c r="AC166" s="110"/>
      <c r="AD166" s="110">
        <f>90+96</f>
        <v>186</v>
      </c>
      <c r="AE166" s="110">
        <f>90+90</f>
        <v>180</v>
      </c>
      <c r="AF166" s="111">
        <v>90.0</v>
      </c>
      <c r="AG166" s="110">
        <f>96+60</f>
        <v>156</v>
      </c>
      <c r="AH166" s="111">
        <v>90.0</v>
      </c>
      <c r="AI166" s="111">
        <f>66+90</f>
        <v>156</v>
      </c>
      <c r="AJ166" s="110"/>
      <c r="AK166" s="111">
        <v>90.0</v>
      </c>
      <c r="AL166" s="125">
        <v>90.0</v>
      </c>
      <c r="AM166" s="125">
        <f>96+30</f>
        <v>126</v>
      </c>
      <c r="AN166" s="32"/>
    </row>
    <row r="167">
      <c r="A167" s="33"/>
      <c r="B167" s="33"/>
      <c r="C167" s="33"/>
      <c r="D167" s="33"/>
      <c r="E167" s="106"/>
      <c r="F167" s="106"/>
      <c r="G167" s="107"/>
      <c r="H167" s="107"/>
      <c r="I167" s="118"/>
      <c r="J167" s="118"/>
      <c r="K167" s="118"/>
      <c r="L167" s="118"/>
      <c r="M167" s="118"/>
      <c r="N167" s="118"/>
      <c r="O167" s="114"/>
      <c r="P167" s="118"/>
      <c r="Q167" s="118"/>
      <c r="R167" s="120"/>
      <c r="S167" s="119"/>
      <c r="T167" s="120"/>
      <c r="U167" s="120"/>
      <c r="V167" s="110"/>
      <c r="W167" s="120"/>
      <c r="X167" s="120"/>
      <c r="Y167" s="120"/>
      <c r="Z167" s="120"/>
      <c r="AA167" s="120"/>
      <c r="AB167" s="120"/>
      <c r="AC167" s="110"/>
      <c r="AD167" s="120"/>
      <c r="AE167" s="120"/>
      <c r="AF167" s="120"/>
      <c r="AG167" s="120"/>
      <c r="AH167" s="120"/>
      <c r="AI167" s="127"/>
      <c r="AJ167" s="110"/>
      <c r="AK167" s="120"/>
      <c r="AL167" s="120"/>
      <c r="AM167" s="120"/>
      <c r="AN167" s="122"/>
      <c r="AO167" s="53"/>
      <c r="AP167" s="53"/>
    </row>
    <row r="168">
      <c r="A168" s="24" t="s">
        <v>81</v>
      </c>
      <c r="B168" s="17"/>
      <c r="C168" s="17"/>
      <c r="D168" s="18"/>
      <c r="E168" s="106">
        <v>6.0</v>
      </c>
      <c r="F168" s="106" t="s">
        <v>21</v>
      </c>
      <c r="G168" s="107">
        <v>11613.0</v>
      </c>
      <c r="H168" s="107" t="s">
        <v>22</v>
      </c>
      <c r="I168" s="108"/>
      <c r="J168" s="108"/>
      <c r="K168" s="108"/>
      <c r="L168" s="108"/>
      <c r="M168" s="108"/>
      <c r="N168" s="108"/>
      <c r="O168" s="114"/>
      <c r="P168" s="108"/>
      <c r="Q168" s="108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1"/>
      <c r="AJ168" s="110"/>
      <c r="AK168" s="111">
        <v>1980.0</v>
      </c>
      <c r="AL168" s="112"/>
      <c r="AM168" s="112"/>
      <c r="AN168" s="113">
        <f>G168+SUM(I168:AL168)-SUM(I169:AM169)</f>
        <v>9033</v>
      </c>
      <c r="AO168" s="53">
        <f>ROUNDDOWN((AN168/E168)/$H$4,1)</f>
        <v>50.1</v>
      </c>
      <c r="AP168" s="53">
        <f>$M$5+AO168</f>
        <v>923.1</v>
      </c>
    </row>
    <row r="169">
      <c r="A169" s="31"/>
      <c r="B169" s="17"/>
      <c r="C169" s="17"/>
      <c r="D169" s="17"/>
      <c r="E169" s="17"/>
      <c r="F169" s="18"/>
      <c r="G169" s="114"/>
      <c r="H169" s="107" t="s">
        <v>23</v>
      </c>
      <c r="I169" s="109">
        <v>210.0</v>
      </c>
      <c r="J169" s="109">
        <v>210.0</v>
      </c>
      <c r="K169" s="109">
        <v>210.0</v>
      </c>
      <c r="L169" s="109">
        <v>210.0</v>
      </c>
      <c r="M169" s="109">
        <v>210.0</v>
      </c>
      <c r="N169" s="109">
        <v>210.0</v>
      </c>
      <c r="O169" s="107"/>
      <c r="P169" s="109">
        <v>210.0</v>
      </c>
      <c r="Q169" s="109">
        <v>210.0</v>
      </c>
      <c r="R169" s="111">
        <v>210.0</v>
      </c>
      <c r="S169" s="111">
        <v>210.0</v>
      </c>
      <c r="T169" s="111">
        <v>180.0</v>
      </c>
      <c r="U169" s="111">
        <v>180.0</v>
      </c>
      <c r="V169" s="110"/>
      <c r="W169" s="111">
        <v>180.0</v>
      </c>
      <c r="X169" s="111">
        <v>180.0</v>
      </c>
      <c r="Y169" s="111">
        <v>180.0</v>
      </c>
      <c r="Z169" s="111">
        <v>180.0</v>
      </c>
      <c r="AA169" s="111">
        <v>180.0</v>
      </c>
      <c r="AB169" s="111">
        <v>180.0</v>
      </c>
      <c r="AC169" s="110"/>
      <c r="AD169" s="111"/>
      <c r="AE169" s="111">
        <v>180.0</v>
      </c>
      <c r="AF169" s="111">
        <v>180.0</v>
      </c>
      <c r="AG169" s="111">
        <v>180.0</v>
      </c>
      <c r="AH169" s="111">
        <v>180.0</v>
      </c>
      <c r="AI169" s="111"/>
      <c r="AJ169" s="111"/>
      <c r="AK169" s="111">
        <v>180.0</v>
      </c>
      <c r="AL169" s="112"/>
      <c r="AM169" s="125">
        <v>120.0</v>
      </c>
      <c r="AN169" s="32"/>
    </row>
    <row r="170">
      <c r="A170" s="33"/>
      <c r="B170" s="33"/>
      <c r="C170" s="33"/>
      <c r="D170" s="33"/>
      <c r="E170" s="106"/>
      <c r="F170" s="106"/>
      <c r="G170" s="107"/>
      <c r="H170" s="107"/>
      <c r="I170" s="118"/>
      <c r="J170" s="118"/>
      <c r="K170" s="118"/>
      <c r="L170" s="118"/>
      <c r="M170" s="118"/>
      <c r="N170" s="118"/>
      <c r="O170" s="114"/>
      <c r="P170" s="118"/>
      <c r="Q170" s="118"/>
      <c r="R170" s="120"/>
      <c r="S170" s="120"/>
      <c r="T170" s="120"/>
      <c r="U170" s="120"/>
      <c r="V170" s="110"/>
      <c r="W170" s="120"/>
      <c r="X170" s="120"/>
      <c r="Y170" s="120"/>
      <c r="Z170" s="120"/>
      <c r="AA170" s="120"/>
      <c r="AB170" s="120"/>
      <c r="AC170" s="110"/>
      <c r="AD170" s="119"/>
      <c r="AE170" s="120"/>
      <c r="AF170" s="120"/>
      <c r="AG170" s="120"/>
      <c r="AH170" s="120"/>
      <c r="AI170" s="121"/>
      <c r="AJ170" s="110"/>
      <c r="AK170" s="120"/>
      <c r="AL170" s="119"/>
      <c r="AM170" s="120"/>
      <c r="AN170" s="122"/>
      <c r="AO170" s="53"/>
      <c r="AP170" s="53"/>
    </row>
    <row r="171">
      <c r="A171" s="24" t="s">
        <v>82</v>
      </c>
      <c r="B171" s="17"/>
      <c r="C171" s="17"/>
      <c r="D171" s="18"/>
      <c r="E171" s="106">
        <v>2.0</v>
      </c>
      <c r="F171" s="106" t="s">
        <v>21</v>
      </c>
      <c r="G171" s="107">
        <v>9769.0</v>
      </c>
      <c r="H171" s="107" t="s">
        <v>22</v>
      </c>
      <c r="I171" s="108"/>
      <c r="J171" s="108"/>
      <c r="K171" s="108"/>
      <c r="L171" s="108"/>
      <c r="M171" s="108"/>
      <c r="N171" s="108"/>
      <c r="O171" s="114"/>
      <c r="P171" s="108"/>
      <c r="Q171" s="108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1"/>
      <c r="AJ171" s="110"/>
      <c r="AK171" s="110"/>
      <c r="AL171" s="112"/>
      <c r="AM171" s="112"/>
      <c r="AN171" s="113">
        <f>G171+SUM(I171:AL171)-SUM(I172:AM172)</f>
        <v>8305</v>
      </c>
      <c r="AO171" s="53">
        <f>ROUNDDOWN((AN171/E171)/$H$4,1)</f>
        <v>138.4</v>
      </c>
      <c r="AP171" s="53">
        <f>$M$3+AO171</f>
        <v>1011.4</v>
      </c>
    </row>
    <row r="172">
      <c r="A172" s="31"/>
      <c r="B172" s="17"/>
      <c r="C172" s="17"/>
      <c r="D172" s="17"/>
      <c r="E172" s="17"/>
      <c r="F172" s="18"/>
      <c r="G172" s="114"/>
      <c r="H172" s="107" t="s">
        <v>23</v>
      </c>
      <c r="I172" s="109">
        <v>70.0</v>
      </c>
      <c r="J172" s="109">
        <v>66.0</v>
      </c>
      <c r="K172" s="109">
        <f>40+34</f>
        <v>74</v>
      </c>
      <c r="L172" s="109">
        <f>30+40</f>
        <v>70</v>
      </c>
      <c r="M172" s="109">
        <f t="shared" ref="M172:N172" si="61">40+30</f>
        <v>70</v>
      </c>
      <c r="N172" s="109">
        <f t="shared" si="61"/>
        <v>70</v>
      </c>
      <c r="O172" s="107"/>
      <c r="P172" s="108">
        <f>30+40</f>
        <v>70</v>
      </c>
      <c r="Q172" s="108">
        <f>30+20</f>
        <v>50</v>
      </c>
      <c r="R172" s="110">
        <f>30+30</f>
        <v>60</v>
      </c>
      <c r="S172" s="111">
        <v>30.0</v>
      </c>
      <c r="T172" s="111">
        <f t="shared" ref="T172:U172" si="62">30+30</f>
        <v>60</v>
      </c>
      <c r="U172" s="110">
        <f t="shared" si="62"/>
        <v>60</v>
      </c>
      <c r="V172" s="110"/>
      <c r="W172" s="111">
        <f t="shared" ref="W172:AB172" si="63">30+30</f>
        <v>60</v>
      </c>
      <c r="X172" s="111">
        <f t="shared" si="63"/>
        <v>60</v>
      </c>
      <c r="Y172" s="110">
        <f t="shared" si="63"/>
        <v>60</v>
      </c>
      <c r="Z172" s="111">
        <f t="shared" si="63"/>
        <v>60</v>
      </c>
      <c r="AA172" s="110">
        <f t="shared" si="63"/>
        <v>60</v>
      </c>
      <c r="AB172" s="111">
        <f t="shared" si="63"/>
        <v>60</v>
      </c>
      <c r="AC172" s="110"/>
      <c r="AD172" s="110">
        <f>30+26</f>
        <v>56</v>
      </c>
      <c r="AE172" s="111">
        <f>30+30</f>
        <v>60</v>
      </c>
      <c r="AF172" s="111">
        <v>40.0</v>
      </c>
      <c r="AG172" s="111">
        <f>30+16</f>
        <v>46</v>
      </c>
      <c r="AH172" s="111">
        <v>30.0</v>
      </c>
      <c r="AI172" s="110"/>
      <c r="AJ172" s="110"/>
      <c r="AK172" s="111">
        <v>50.0</v>
      </c>
      <c r="AL172" s="125">
        <v>38.0</v>
      </c>
      <c r="AM172" s="125">
        <v>34.0</v>
      </c>
      <c r="AN172" s="32"/>
    </row>
    <row r="173">
      <c r="A173" s="33"/>
      <c r="B173" s="33"/>
      <c r="C173" s="33"/>
      <c r="D173" s="33"/>
      <c r="E173" s="106"/>
      <c r="F173" s="106"/>
      <c r="G173" s="126"/>
      <c r="H173" s="107"/>
      <c r="I173" s="118"/>
      <c r="J173" s="118"/>
      <c r="K173" s="118"/>
      <c r="L173" s="118"/>
      <c r="M173" s="118"/>
      <c r="N173" s="118"/>
      <c r="O173" s="114"/>
      <c r="P173" s="118"/>
      <c r="Q173" s="118"/>
      <c r="R173" s="120"/>
      <c r="S173" s="120"/>
      <c r="T173" s="120"/>
      <c r="U173" s="120"/>
      <c r="V173" s="110"/>
      <c r="W173" s="120"/>
      <c r="X173" s="120"/>
      <c r="Y173" s="120"/>
      <c r="Z173" s="120"/>
      <c r="AA173" s="120"/>
      <c r="AB173" s="120"/>
      <c r="AC173" s="110"/>
      <c r="AD173" s="120"/>
      <c r="AE173" s="120"/>
      <c r="AF173" s="120"/>
      <c r="AG173" s="120"/>
      <c r="AH173" s="120"/>
      <c r="AI173" s="119"/>
      <c r="AJ173" s="110"/>
      <c r="AK173" s="120"/>
      <c r="AL173" s="120"/>
      <c r="AM173" s="120"/>
      <c r="AN173" s="122"/>
      <c r="AO173" s="53"/>
      <c r="AP173" s="53"/>
    </row>
    <row r="174">
      <c r="A174" s="24" t="s">
        <v>83</v>
      </c>
      <c r="B174" s="17"/>
      <c r="C174" s="17"/>
      <c r="D174" s="18"/>
      <c r="E174" s="106">
        <v>12.0</v>
      </c>
      <c r="F174" s="106" t="s">
        <v>21</v>
      </c>
      <c r="G174" s="126">
        <v>2860.0</v>
      </c>
      <c r="H174" s="107" t="s">
        <v>22</v>
      </c>
      <c r="I174" s="108"/>
      <c r="J174" s="108"/>
      <c r="K174" s="108"/>
      <c r="L174" s="108"/>
      <c r="M174" s="109">
        <v>2160.0</v>
      </c>
      <c r="N174" s="108"/>
      <c r="O174" s="114"/>
      <c r="P174" s="108"/>
      <c r="Q174" s="108"/>
      <c r="R174" s="111">
        <v>2160.0</v>
      </c>
      <c r="S174" s="110"/>
      <c r="T174" s="111">
        <v>2160.0</v>
      </c>
      <c r="U174" s="110"/>
      <c r="V174" s="110"/>
      <c r="W174" s="111"/>
      <c r="X174" s="110"/>
      <c r="Y174" s="110"/>
      <c r="Z174" s="110"/>
      <c r="AA174" s="111">
        <v>2160.0</v>
      </c>
      <c r="AB174" s="110"/>
      <c r="AC174" s="110"/>
      <c r="AD174" s="111">
        <v>2160.0</v>
      </c>
      <c r="AE174" s="110"/>
      <c r="AF174" s="110"/>
      <c r="AG174" s="111">
        <v>1440.0</v>
      </c>
      <c r="AH174" s="110"/>
      <c r="AI174" s="110"/>
      <c r="AJ174" s="110"/>
      <c r="AK174" s="111">
        <v>2160.0</v>
      </c>
      <c r="AL174" s="112"/>
      <c r="AM174" s="112"/>
      <c r="AN174" s="113">
        <f>G174+SUM(I174:AL174)-SUM(I175:AM175)</f>
        <v>8140</v>
      </c>
      <c r="AO174" s="53">
        <f>ROUNDDOWN((AN174/E174)/$H$4,1)</f>
        <v>22.6</v>
      </c>
      <c r="AP174" s="53">
        <f>$M$5+AO174</f>
        <v>895.6</v>
      </c>
    </row>
    <row r="175">
      <c r="A175" s="31"/>
      <c r="B175" s="17"/>
      <c r="C175" s="17"/>
      <c r="D175" s="17"/>
      <c r="E175" s="17"/>
      <c r="F175" s="18"/>
      <c r="G175" s="114"/>
      <c r="H175" s="107" t="s">
        <v>23</v>
      </c>
      <c r="I175" s="109">
        <v>420.0</v>
      </c>
      <c r="J175" s="109">
        <v>420.0</v>
      </c>
      <c r="K175" s="109">
        <v>420.0</v>
      </c>
      <c r="L175" s="109">
        <v>420.0</v>
      </c>
      <c r="M175" s="109">
        <v>420.0</v>
      </c>
      <c r="N175" s="109">
        <v>420.0</v>
      </c>
      <c r="O175" s="107"/>
      <c r="P175" s="109">
        <v>420.0</v>
      </c>
      <c r="Q175" s="109">
        <v>420.0</v>
      </c>
      <c r="R175" s="111">
        <v>420.0</v>
      </c>
      <c r="S175" s="111">
        <v>420.0</v>
      </c>
      <c r="T175" s="111">
        <v>360.0</v>
      </c>
      <c r="U175" s="111">
        <v>360.0</v>
      </c>
      <c r="V175" s="110"/>
      <c r="W175" s="111">
        <v>360.0</v>
      </c>
      <c r="X175" s="111">
        <v>360.0</v>
      </c>
      <c r="Y175" s="111">
        <v>360.0</v>
      </c>
      <c r="Z175" s="111">
        <v>360.0</v>
      </c>
      <c r="AA175" s="111">
        <v>360.0</v>
      </c>
      <c r="AB175" s="111">
        <v>360.0</v>
      </c>
      <c r="AC175" s="111"/>
      <c r="AD175" s="110"/>
      <c r="AE175" s="111">
        <v>360.0</v>
      </c>
      <c r="AF175" s="111">
        <v>360.0</v>
      </c>
      <c r="AG175" s="111">
        <v>360.0</v>
      </c>
      <c r="AH175" s="111">
        <v>360.0</v>
      </c>
      <c r="AI175" s="111"/>
      <c r="AJ175" s="111"/>
      <c r="AK175" s="111">
        <v>360.0</v>
      </c>
      <c r="AL175" s="112"/>
      <c r="AM175" s="125">
        <v>240.0</v>
      </c>
      <c r="AN175" s="32"/>
    </row>
    <row r="176">
      <c r="A176" s="33"/>
      <c r="B176" s="33"/>
      <c r="C176" s="33"/>
      <c r="D176" s="33"/>
      <c r="E176" s="106"/>
      <c r="F176" s="106"/>
      <c r="G176" s="107"/>
      <c r="H176" s="107"/>
      <c r="I176" s="118"/>
      <c r="J176" s="118"/>
      <c r="K176" s="118"/>
      <c r="L176" s="118"/>
      <c r="M176" s="118"/>
      <c r="N176" s="118"/>
      <c r="O176" s="114"/>
      <c r="P176" s="118"/>
      <c r="Q176" s="118"/>
      <c r="R176" s="120"/>
      <c r="S176" s="120"/>
      <c r="T176" s="120"/>
      <c r="U176" s="120"/>
      <c r="V176" s="110"/>
      <c r="W176" s="120"/>
      <c r="X176" s="120"/>
      <c r="Y176" s="120"/>
      <c r="Z176" s="120"/>
      <c r="AA176" s="120"/>
      <c r="AB176" s="120"/>
      <c r="AC176" s="110"/>
      <c r="AD176" s="119"/>
      <c r="AE176" s="120"/>
      <c r="AF176" s="120"/>
      <c r="AG176" s="120"/>
      <c r="AH176" s="120"/>
      <c r="AI176" s="121"/>
      <c r="AJ176" s="110"/>
      <c r="AK176" s="120"/>
      <c r="AL176" s="119"/>
      <c r="AM176" s="120"/>
      <c r="AN176" s="122"/>
      <c r="AO176" s="53"/>
      <c r="AP176" s="53"/>
    </row>
    <row r="177">
      <c r="A177" s="24" t="s">
        <v>84</v>
      </c>
      <c r="B177" s="17"/>
      <c r="C177" s="17"/>
      <c r="D177" s="18"/>
      <c r="E177" s="106">
        <v>2.0</v>
      </c>
      <c r="F177" s="106" t="s">
        <v>21</v>
      </c>
      <c r="G177" s="107">
        <v>2377.0</v>
      </c>
      <c r="H177" s="107" t="s">
        <v>22</v>
      </c>
      <c r="I177" s="108"/>
      <c r="J177" s="108"/>
      <c r="K177" s="108"/>
      <c r="L177" s="108"/>
      <c r="M177" s="108"/>
      <c r="N177" s="108"/>
      <c r="O177" s="114"/>
      <c r="P177" s="108"/>
      <c r="Q177" s="108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1"/>
      <c r="AJ177" s="110"/>
      <c r="AK177" s="111">
        <v>2040.0</v>
      </c>
      <c r="AL177" s="112"/>
      <c r="AM177" s="112"/>
      <c r="AN177" s="113">
        <f>G177+SUM(I177:AL177)-SUM(I178:AM178)</f>
        <v>2921</v>
      </c>
      <c r="AO177" s="53">
        <f>ROUNDDOWN((AN177/E177)/$H$4,1)</f>
        <v>48.6</v>
      </c>
      <c r="AP177" s="53">
        <f>$M$3+AO177</f>
        <v>921.6</v>
      </c>
    </row>
    <row r="178">
      <c r="A178" s="31"/>
      <c r="B178" s="17"/>
      <c r="C178" s="17"/>
      <c r="D178" s="17"/>
      <c r="E178" s="17"/>
      <c r="F178" s="18"/>
      <c r="G178" s="114"/>
      <c r="H178" s="107" t="s">
        <v>23</v>
      </c>
      <c r="I178" s="109">
        <v>70.0</v>
      </c>
      <c r="J178" s="109">
        <v>70.0</v>
      </c>
      <c r="K178" s="109">
        <v>70.0</v>
      </c>
      <c r="L178" s="109">
        <v>70.0</v>
      </c>
      <c r="M178" s="109">
        <v>70.0</v>
      </c>
      <c r="N178" s="109">
        <v>70.0</v>
      </c>
      <c r="O178" s="107"/>
      <c r="P178" s="109">
        <v>70.0</v>
      </c>
      <c r="Q178" s="109">
        <v>70.0</v>
      </c>
      <c r="R178" s="111">
        <v>70.0</v>
      </c>
      <c r="S178" s="111">
        <v>70.0</v>
      </c>
      <c r="T178" s="111">
        <v>60.0</v>
      </c>
      <c r="U178" s="111">
        <v>60.0</v>
      </c>
      <c r="V178" s="110"/>
      <c r="W178" s="111">
        <v>60.0</v>
      </c>
      <c r="X178" s="111">
        <v>60.0</v>
      </c>
      <c r="Y178" s="111">
        <v>60.0</v>
      </c>
      <c r="Z178" s="111">
        <v>60.0</v>
      </c>
      <c r="AA178" s="111">
        <v>60.0</v>
      </c>
      <c r="AB178" s="111">
        <v>60.0</v>
      </c>
      <c r="AC178" s="110"/>
      <c r="AD178" s="110"/>
      <c r="AE178" s="111">
        <v>60.0</v>
      </c>
      <c r="AF178" s="111">
        <v>60.0</v>
      </c>
      <c r="AG178" s="111">
        <v>60.0</v>
      </c>
      <c r="AH178" s="111">
        <v>60.0</v>
      </c>
      <c r="AI178" s="111"/>
      <c r="AJ178" s="111"/>
      <c r="AK178" s="111">
        <v>60.0</v>
      </c>
      <c r="AL178" s="112"/>
      <c r="AM178" s="125">
        <v>16.0</v>
      </c>
      <c r="AN178" s="32"/>
    </row>
    <row r="179">
      <c r="A179" s="33"/>
      <c r="B179" s="33"/>
      <c r="C179" s="33"/>
      <c r="D179" s="33"/>
      <c r="E179" s="106"/>
      <c r="F179" s="106"/>
      <c r="G179" s="107"/>
      <c r="H179" s="107"/>
      <c r="I179" s="118"/>
      <c r="J179" s="118"/>
      <c r="K179" s="118"/>
      <c r="L179" s="118"/>
      <c r="M179" s="118"/>
      <c r="N179" s="118"/>
      <c r="O179" s="114"/>
      <c r="P179" s="118"/>
      <c r="Q179" s="118"/>
      <c r="R179" s="120"/>
      <c r="S179" s="120"/>
      <c r="T179" s="120"/>
      <c r="U179" s="120"/>
      <c r="V179" s="110"/>
      <c r="W179" s="120"/>
      <c r="X179" s="120"/>
      <c r="Y179" s="120"/>
      <c r="Z179" s="120"/>
      <c r="AA179" s="120"/>
      <c r="AB179" s="120"/>
      <c r="AC179" s="110"/>
      <c r="AD179" s="119"/>
      <c r="AE179" s="120"/>
      <c r="AF179" s="120"/>
      <c r="AG179" s="120"/>
      <c r="AH179" s="120"/>
      <c r="AI179" s="121"/>
      <c r="AJ179" s="110"/>
      <c r="AK179" s="120"/>
      <c r="AL179" s="119"/>
      <c r="AM179" s="120"/>
      <c r="AN179" s="122"/>
      <c r="AO179" s="53"/>
      <c r="AP179" s="53"/>
    </row>
    <row r="180">
      <c r="A180" s="24" t="s">
        <v>85</v>
      </c>
      <c r="B180" s="17"/>
      <c r="C180" s="17"/>
      <c r="D180" s="18"/>
      <c r="E180" s="106">
        <v>6.0</v>
      </c>
      <c r="F180" s="106" t="s">
        <v>21</v>
      </c>
      <c r="G180" s="107">
        <v>7408.0</v>
      </c>
      <c r="H180" s="107" t="s">
        <v>22</v>
      </c>
      <c r="I180" s="108"/>
      <c r="J180" s="108"/>
      <c r="K180" s="108"/>
      <c r="L180" s="108"/>
      <c r="M180" s="108"/>
      <c r="N180" s="108"/>
      <c r="O180" s="114"/>
      <c r="P180" s="108"/>
      <c r="Q180" s="108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1"/>
      <c r="AJ180" s="110"/>
      <c r="AK180" s="111">
        <v>6120.0</v>
      </c>
      <c r="AL180" s="112"/>
      <c r="AM180" s="112"/>
      <c r="AN180" s="113">
        <f>G180+SUM(I180:AL180)-SUM(I181:AM181)</f>
        <v>9544</v>
      </c>
      <c r="AO180" s="53">
        <f>ROUNDDOWN((AN180/E180)/$H$4,1)</f>
        <v>53</v>
      </c>
      <c r="AP180" s="53">
        <f>$M$3+AO180</f>
        <v>926</v>
      </c>
    </row>
    <row r="181">
      <c r="A181" s="31"/>
      <c r="B181" s="17"/>
      <c r="C181" s="17"/>
      <c r="D181" s="17"/>
      <c r="E181" s="17"/>
      <c r="F181" s="18"/>
      <c r="G181" s="114"/>
      <c r="H181" s="107" t="s">
        <v>23</v>
      </c>
      <c r="I181" s="109">
        <v>204.0</v>
      </c>
      <c r="J181" s="109">
        <v>210.0</v>
      </c>
      <c r="K181" s="109">
        <f>120+120</f>
        <v>240</v>
      </c>
      <c r="L181" s="109">
        <f>90+120</f>
        <v>210</v>
      </c>
      <c r="M181" s="108">
        <f t="shared" ref="M181:N181" si="64">120+90</f>
        <v>210</v>
      </c>
      <c r="N181" s="108">
        <f t="shared" si="64"/>
        <v>210</v>
      </c>
      <c r="O181" s="107"/>
      <c r="P181" s="108">
        <f t="shared" ref="P181:R181" si="65">120+90</f>
        <v>210</v>
      </c>
      <c r="Q181" s="108">
        <f t="shared" si="65"/>
        <v>210</v>
      </c>
      <c r="R181" s="110">
        <f t="shared" si="65"/>
        <v>210</v>
      </c>
      <c r="S181" s="110"/>
      <c r="T181" s="110"/>
      <c r="U181" s="111">
        <v>102.0</v>
      </c>
      <c r="V181" s="110"/>
      <c r="W181" s="111">
        <v>162.0</v>
      </c>
      <c r="X181" s="111">
        <v>180.0</v>
      </c>
      <c r="Y181" s="111">
        <v>180.0</v>
      </c>
      <c r="Z181" s="111">
        <v>180.0</v>
      </c>
      <c r="AA181" s="111">
        <v>72.0</v>
      </c>
      <c r="AB181" s="111">
        <v>150.0</v>
      </c>
      <c r="AC181" s="110"/>
      <c r="AD181" s="110">
        <f>90+96</f>
        <v>186</v>
      </c>
      <c r="AE181" s="110">
        <f>90+90</f>
        <v>180</v>
      </c>
      <c r="AF181" s="111">
        <v>90.0</v>
      </c>
      <c r="AG181" s="110">
        <f>96+60</f>
        <v>156</v>
      </c>
      <c r="AH181" s="111">
        <v>60.0</v>
      </c>
      <c r="AI181" s="111">
        <v>66.0</v>
      </c>
      <c r="AJ181" s="110"/>
      <c r="AK181" s="111">
        <v>90.0</v>
      </c>
      <c r="AL181" s="125">
        <v>90.0</v>
      </c>
      <c r="AM181" s="125">
        <f>96+30</f>
        <v>126</v>
      </c>
      <c r="AN181" s="32"/>
    </row>
    <row r="182">
      <c r="A182" s="33"/>
      <c r="B182" s="33"/>
      <c r="C182" s="33"/>
      <c r="D182" s="33"/>
      <c r="E182" s="106"/>
      <c r="F182" s="106"/>
      <c r="G182" s="107"/>
      <c r="H182" s="107"/>
      <c r="I182" s="118"/>
      <c r="J182" s="118"/>
      <c r="K182" s="118"/>
      <c r="L182" s="118"/>
      <c r="M182" s="118"/>
      <c r="N182" s="118"/>
      <c r="O182" s="114"/>
      <c r="P182" s="118"/>
      <c r="Q182" s="118"/>
      <c r="R182" s="120"/>
      <c r="S182" s="119"/>
      <c r="T182" s="119"/>
      <c r="U182" s="120"/>
      <c r="V182" s="110"/>
      <c r="W182" s="120"/>
      <c r="X182" s="120"/>
      <c r="Y182" s="120"/>
      <c r="Z182" s="120"/>
      <c r="AA182" s="120"/>
      <c r="AB182" s="120"/>
      <c r="AC182" s="110"/>
      <c r="AD182" s="120"/>
      <c r="AE182" s="120"/>
      <c r="AF182" s="120"/>
      <c r="AG182" s="120"/>
      <c r="AH182" s="120"/>
      <c r="AI182" s="127"/>
      <c r="AJ182" s="110"/>
      <c r="AK182" s="120"/>
      <c r="AL182" s="120"/>
      <c r="AM182" s="120"/>
      <c r="AN182" s="122"/>
      <c r="AO182" s="53"/>
      <c r="AP182" s="53"/>
    </row>
    <row r="183">
      <c r="A183" s="24" t="s">
        <v>86</v>
      </c>
      <c r="B183" s="17"/>
      <c r="C183" s="17"/>
      <c r="D183" s="18"/>
      <c r="E183" s="106">
        <v>4.0</v>
      </c>
      <c r="F183" s="106" t="s">
        <v>21</v>
      </c>
      <c r="G183" s="107">
        <v>4124.0</v>
      </c>
      <c r="H183" s="107" t="s">
        <v>22</v>
      </c>
      <c r="I183" s="108"/>
      <c r="J183" s="108"/>
      <c r="K183" s="108"/>
      <c r="L183" s="108"/>
      <c r="M183" s="108"/>
      <c r="N183" s="108"/>
      <c r="O183" s="114"/>
      <c r="P183" s="108"/>
      <c r="Q183" s="108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1"/>
      <c r="AJ183" s="110"/>
      <c r="AK183" s="111">
        <v>4080.0</v>
      </c>
      <c r="AL183" s="112"/>
      <c r="AM183" s="112"/>
      <c r="AN183" s="113">
        <f>G183+SUM(I183:AL183)-SUM(I184:AM184)</f>
        <v>5528</v>
      </c>
      <c r="AO183" s="53">
        <f>ROUNDDOWN((AN183/E183)/$H$4,1)</f>
        <v>46</v>
      </c>
      <c r="AP183" s="53">
        <f>$M$3+AO183</f>
        <v>919</v>
      </c>
    </row>
    <row r="184">
      <c r="A184" s="31"/>
      <c r="B184" s="17"/>
      <c r="C184" s="17"/>
      <c r="D184" s="17"/>
      <c r="E184" s="17"/>
      <c r="F184" s="18"/>
      <c r="G184" s="114"/>
      <c r="H184" s="107" t="s">
        <v>23</v>
      </c>
      <c r="I184" s="109">
        <v>136.0</v>
      </c>
      <c r="J184" s="109">
        <v>140.0</v>
      </c>
      <c r="K184" s="109">
        <f>80+80</f>
        <v>160</v>
      </c>
      <c r="L184" s="109">
        <f>60+80</f>
        <v>140</v>
      </c>
      <c r="M184" s="108">
        <f t="shared" ref="M184:N184" si="66">80+60</f>
        <v>140</v>
      </c>
      <c r="N184" s="108">
        <f t="shared" si="66"/>
        <v>140</v>
      </c>
      <c r="O184" s="107"/>
      <c r="P184" s="108">
        <f t="shared" ref="P184:R184" si="67">80+60</f>
        <v>140</v>
      </c>
      <c r="Q184" s="108">
        <f t="shared" si="67"/>
        <v>140</v>
      </c>
      <c r="R184" s="111">
        <f t="shared" si="67"/>
        <v>140</v>
      </c>
      <c r="S184" s="110"/>
      <c r="T184" s="110"/>
      <c r="U184" s="111">
        <v>68.0</v>
      </c>
      <c r="V184" s="110"/>
      <c r="W184" s="111">
        <v>108.0</v>
      </c>
      <c r="X184" s="111">
        <v>120.0</v>
      </c>
      <c r="Y184" s="111">
        <v>120.0</v>
      </c>
      <c r="Z184" s="111">
        <v>120.0</v>
      </c>
      <c r="AA184" s="111">
        <v>48.0</v>
      </c>
      <c r="AB184" s="111">
        <v>100.0</v>
      </c>
      <c r="AC184" s="110"/>
      <c r="AD184" s="110">
        <f>60+64</f>
        <v>124</v>
      </c>
      <c r="AE184" s="110">
        <f>60+60</f>
        <v>120</v>
      </c>
      <c r="AF184" s="111">
        <v>60.0</v>
      </c>
      <c r="AG184" s="110">
        <f>64+40</f>
        <v>104</v>
      </c>
      <c r="AH184" s="111">
        <v>60.0</v>
      </c>
      <c r="AI184" s="111">
        <v>44.0</v>
      </c>
      <c r="AJ184" s="110"/>
      <c r="AK184" s="111">
        <v>60.0</v>
      </c>
      <c r="AL184" s="125">
        <v>60.0</v>
      </c>
      <c r="AM184" s="125">
        <f>64+20</f>
        <v>84</v>
      </c>
      <c r="AN184" s="32"/>
    </row>
    <row r="185">
      <c r="A185" s="157"/>
      <c r="B185" s="157"/>
      <c r="C185" s="157"/>
      <c r="D185" s="157"/>
      <c r="E185" s="157"/>
      <c r="F185" s="157"/>
      <c r="G185" s="158"/>
      <c r="H185" s="108"/>
      <c r="I185" s="118"/>
      <c r="J185" s="118"/>
      <c r="K185" s="118"/>
      <c r="L185" s="118"/>
      <c r="M185" s="118"/>
      <c r="N185" s="118"/>
      <c r="O185" s="114"/>
      <c r="P185" s="118"/>
      <c r="Q185" s="118"/>
      <c r="R185" s="120"/>
      <c r="S185" s="119"/>
      <c r="T185" s="119"/>
      <c r="U185" s="120"/>
      <c r="V185" s="110"/>
      <c r="W185" s="120"/>
      <c r="X185" s="120"/>
      <c r="Y185" s="120"/>
      <c r="Z185" s="120"/>
      <c r="AA185" s="120"/>
      <c r="AB185" s="120"/>
      <c r="AC185" s="110"/>
      <c r="AD185" s="120"/>
      <c r="AE185" s="120"/>
      <c r="AF185" s="120"/>
      <c r="AG185" s="120"/>
      <c r="AH185" s="120"/>
      <c r="AI185" s="120"/>
      <c r="AJ185" s="110"/>
      <c r="AK185" s="120"/>
      <c r="AL185" s="120"/>
      <c r="AM185" s="120"/>
      <c r="AN185" s="110"/>
      <c r="AO185" s="49"/>
      <c r="AP185" s="49"/>
    </row>
    <row r="186">
      <c r="A186" s="76" t="s">
        <v>87</v>
      </c>
      <c r="B186" s="17"/>
      <c r="C186" s="17"/>
      <c r="D186" s="17"/>
      <c r="E186" s="17"/>
      <c r="F186" s="17"/>
      <c r="G186" s="159"/>
      <c r="H186" s="153"/>
      <c r="I186" s="154"/>
      <c r="J186" s="154"/>
      <c r="K186" s="154"/>
      <c r="L186" s="154"/>
      <c r="M186" s="154"/>
      <c r="N186" s="154"/>
      <c r="O186" s="154"/>
      <c r="P186" s="154"/>
      <c r="Q186" s="15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5"/>
      <c r="AM186" s="135"/>
      <c r="AN186" s="135"/>
      <c r="AO186" s="52"/>
      <c r="AP186" s="52"/>
    </row>
    <row r="187">
      <c r="A187" s="24" t="s">
        <v>88</v>
      </c>
      <c r="B187" s="17"/>
      <c r="C187" s="17"/>
      <c r="D187" s="18"/>
      <c r="E187" s="106">
        <v>1.39</v>
      </c>
      <c r="F187" s="106" t="s">
        <v>89</v>
      </c>
      <c r="G187" s="160">
        <v>1495.0</v>
      </c>
      <c r="H187" s="107" t="s">
        <v>22</v>
      </c>
      <c r="I187" s="108"/>
      <c r="J187" s="108"/>
      <c r="K187" s="108"/>
      <c r="L187" s="108"/>
      <c r="M187" s="108"/>
      <c r="N187" s="108"/>
      <c r="O187" s="107"/>
      <c r="P187" s="108"/>
      <c r="Q187" s="108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1">
        <v>660.0</v>
      </c>
      <c r="AH187" s="110"/>
      <c r="AI187" s="110"/>
      <c r="AJ187" s="110"/>
      <c r="AK187" s="110"/>
      <c r="AL187" s="112"/>
      <c r="AM187" s="112"/>
      <c r="AN187" s="113">
        <f>G187+SUM(I187:AL187)-SUM(I188:AL188)</f>
        <v>1518</v>
      </c>
      <c r="AO187" s="53">
        <f>ROUNDDOWN((AN187/E187)/$H$4,1)</f>
        <v>36.4</v>
      </c>
      <c r="AP187" s="53">
        <f>$M$3+AO187</f>
        <v>909.4</v>
      </c>
    </row>
    <row r="188">
      <c r="A188" s="31"/>
      <c r="B188" s="17"/>
      <c r="C188" s="17"/>
      <c r="D188" s="17"/>
      <c r="E188" s="17"/>
      <c r="F188" s="18"/>
      <c r="G188" s="112"/>
      <c r="H188" s="107" t="s">
        <v>23</v>
      </c>
      <c r="I188" s="109">
        <v>50.0</v>
      </c>
      <c r="J188" s="109">
        <v>50.0</v>
      </c>
      <c r="K188" s="109">
        <f>6+6+1+5</f>
        <v>18</v>
      </c>
      <c r="L188" s="109">
        <f>4+38</f>
        <v>42</v>
      </c>
      <c r="M188" s="109">
        <f>6+4+2</f>
        <v>12</v>
      </c>
      <c r="N188" s="109">
        <f>2+38</f>
        <v>40</v>
      </c>
      <c r="O188" s="107"/>
      <c r="P188" s="108">
        <f>7+4+2+38</f>
        <v>51</v>
      </c>
      <c r="Q188" s="108">
        <f>7+4+2</f>
        <v>13</v>
      </c>
      <c r="R188" s="110">
        <f>7+4+1</f>
        <v>12</v>
      </c>
      <c r="S188" s="111">
        <v>2.0</v>
      </c>
      <c r="T188" s="111">
        <f>9+38+2</f>
        <v>49</v>
      </c>
      <c r="U188" s="111">
        <f>5+2</f>
        <v>7</v>
      </c>
      <c r="V188" s="111"/>
      <c r="W188" s="111">
        <f>9+38+1</f>
        <v>48</v>
      </c>
      <c r="X188" s="111">
        <f>9+2+38</f>
        <v>49</v>
      </c>
      <c r="Y188" s="111">
        <f t="shared" ref="Y188:Z188" si="68">9+1</f>
        <v>10</v>
      </c>
      <c r="Z188" s="111">
        <f t="shared" si="68"/>
        <v>10</v>
      </c>
      <c r="AA188" s="111">
        <f>4+2+38</f>
        <v>44</v>
      </c>
      <c r="AB188" s="111">
        <f>8+1</f>
        <v>9</v>
      </c>
      <c r="AC188" s="110"/>
      <c r="AD188" s="111">
        <v>10.0</v>
      </c>
      <c r="AE188" s="111">
        <f>4+1</f>
        <v>5</v>
      </c>
      <c r="AF188" s="111">
        <f>9+1</f>
        <v>10</v>
      </c>
      <c r="AG188" s="111">
        <f>4+2+38</f>
        <v>44</v>
      </c>
      <c r="AH188" s="111">
        <f>4+1</f>
        <v>5</v>
      </c>
      <c r="AI188" s="111"/>
      <c r="AJ188" s="110"/>
      <c r="AK188" s="125">
        <f>4+1+38</f>
        <v>43</v>
      </c>
      <c r="AL188" s="125">
        <v>4.0</v>
      </c>
      <c r="AM188" s="125">
        <v>1.0</v>
      </c>
      <c r="AN188" s="32"/>
    </row>
    <row r="189">
      <c r="A189" s="33"/>
      <c r="B189" s="33"/>
      <c r="C189" s="33"/>
      <c r="D189" s="33"/>
      <c r="E189" s="106"/>
      <c r="F189" s="106"/>
      <c r="G189" s="160"/>
      <c r="H189" s="107"/>
      <c r="I189" s="118"/>
      <c r="J189" s="118"/>
      <c r="K189" s="118"/>
      <c r="L189" s="124"/>
      <c r="M189" s="118"/>
      <c r="N189" s="118"/>
      <c r="O189" s="114"/>
      <c r="P189" s="118"/>
      <c r="Q189" s="118"/>
      <c r="R189" s="120"/>
      <c r="S189" s="120"/>
      <c r="T189" s="120"/>
      <c r="U189" s="120"/>
      <c r="V189" s="110"/>
      <c r="W189" s="120"/>
      <c r="X189" s="120"/>
      <c r="Y189" s="120"/>
      <c r="Z189" s="120"/>
      <c r="AA189" s="120"/>
      <c r="AB189" s="120"/>
      <c r="AC189" s="110"/>
      <c r="AD189" s="120"/>
      <c r="AE189" s="120"/>
      <c r="AF189" s="120"/>
      <c r="AG189" s="120"/>
      <c r="AH189" s="120"/>
      <c r="AI189" s="119"/>
      <c r="AJ189" s="110"/>
      <c r="AK189" s="120"/>
      <c r="AL189" s="120"/>
      <c r="AM189" s="120"/>
      <c r="AN189" s="122"/>
      <c r="AO189" s="53"/>
      <c r="AP189" s="53"/>
    </row>
    <row r="190">
      <c r="A190" s="24" t="s">
        <v>90</v>
      </c>
      <c r="B190" s="17"/>
      <c r="C190" s="17"/>
      <c r="D190" s="18"/>
      <c r="E190" s="106">
        <v>0.4</v>
      </c>
      <c r="F190" s="106" t="s">
        <v>21</v>
      </c>
      <c r="G190" s="160">
        <v>314.0</v>
      </c>
      <c r="H190" s="107" t="s">
        <v>22</v>
      </c>
      <c r="I190" s="108"/>
      <c r="J190" s="108"/>
      <c r="K190" s="108"/>
      <c r="L190" s="109"/>
      <c r="M190" s="108"/>
      <c r="N190" s="108"/>
      <c r="O190" s="114"/>
      <c r="P190" s="108"/>
      <c r="Q190" s="108"/>
      <c r="R190" s="110"/>
      <c r="S190" s="110"/>
      <c r="T190" s="112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2"/>
      <c r="AM190" s="112"/>
      <c r="AN190" s="113">
        <f>G190+SUM(I190:AL190)-SUM(I191:AL191)</f>
        <v>94</v>
      </c>
      <c r="AO190" s="53">
        <f>ROUNDDOWN((AN190/E190)/$H$4,1)</f>
        <v>7.8</v>
      </c>
      <c r="AP190" s="53">
        <f>M5+AO190</f>
        <v>880.8</v>
      </c>
    </row>
    <row r="191">
      <c r="A191" s="31"/>
      <c r="B191" s="17"/>
      <c r="C191" s="17"/>
      <c r="D191" s="17"/>
      <c r="E191" s="17"/>
      <c r="F191" s="18"/>
      <c r="G191" s="112"/>
      <c r="H191" s="107" t="s">
        <v>23</v>
      </c>
      <c r="I191" s="109">
        <v>9.0</v>
      </c>
      <c r="J191" s="109">
        <v>10.0</v>
      </c>
      <c r="K191" s="109">
        <v>10.0</v>
      </c>
      <c r="L191" s="109">
        <v>10.0</v>
      </c>
      <c r="M191" s="109">
        <v>10.0</v>
      </c>
      <c r="N191" s="109">
        <v>10.0</v>
      </c>
      <c r="O191" s="107"/>
      <c r="P191" s="109">
        <v>10.0</v>
      </c>
      <c r="Q191" s="109">
        <v>10.0</v>
      </c>
      <c r="R191" s="111">
        <v>10.0</v>
      </c>
      <c r="S191" s="111">
        <v>10.0</v>
      </c>
      <c r="T191" s="111">
        <v>10.0</v>
      </c>
      <c r="U191" s="111">
        <v>10.0</v>
      </c>
      <c r="V191" s="110"/>
      <c r="W191" s="111">
        <v>9.0</v>
      </c>
      <c r="X191" s="111">
        <v>10.0</v>
      </c>
      <c r="Y191" s="111">
        <v>9.0</v>
      </c>
      <c r="Z191" s="111">
        <v>9.0</v>
      </c>
      <c r="AA191" s="111">
        <v>9.0</v>
      </c>
      <c r="AB191" s="111">
        <v>10.0</v>
      </c>
      <c r="AC191" s="111"/>
      <c r="AD191" s="111"/>
      <c r="AE191" s="111">
        <v>9.0</v>
      </c>
      <c r="AF191" s="111">
        <v>9.0</v>
      </c>
      <c r="AG191" s="111">
        <v>9.0</v>
      </c>
      <c r="AH191" s="111">
        <v>9.0</v>
      </c>
      <c r="AI191" s="111"/>
      <c r="AJ191" s="111"/>
      <c r="AK191" s="111">
        <v>9.0</v>
      </c>
      <c r="AL191" s="112"/>
      <c r="AM191" s="125">
        <v>6.0</v>
      </c>
      <c r="AN191" s="32"/>
    </row>
    <row r="192">
      <c r="A192" s="33"/>
      <c r="B192" s="33"/>
      <c r="C192" s="33"/>
      <c r="D192" s="33"/>
      <c r="E192" s="106"/>
      <c r="F192" s="106"/>
      <c r="G192" s="160"/>
      <c r="H192" s="107"/>
      <c r="I192" s="118"/>
      <c r="J192" s="118"/>
      <c r="K192" s="118"/>
      <c r="L192" s="118"/>
      <c r="M192" s="118"/>
      <c r="N192" s="118"/>
      <c r="O192" s="107"/>
      <c r="P192" s="118"/>
      <c r="Q192" s="118"/>
      <c r="R192" s="120"/>
      <c r="S192" s="120"/>
      <c r="T192" s="120"/>
      <c r="U192" s="120"/>
      <c r="V192" s="110"/>
      <c r="W192" s="120"/>
      <c r="X192" s="120"/>
      <c r="Y192" s="120"/>
      <c r="Z192" s="120"/>
      <c r="AA192" s="120"/>
      <c r="AB192" s="120"/>
      <c r="AC192" s="110"/>
      <c r="AD192" s="119"/>
      <c r="AE192" s="120"/>
      <c r="AF192" s="120"/>
      <c r="AG192" s="120"/>
      <c r="AH192" s="120"/>
      <c r="AI192" s="119"/>
      <c r="AJ192" s="110"/>
      <c r="AK192" s="120"/>
      <c r="AL192" s="119"/>
      <c r="AM192" s="120"/>
      <c r="AN192" s="122"/>
      <c r="AO192" s="53"/>
      <c r="AP192" s="53"/>
    </row>
    <row r="193">
      <c r="A193" s="24" t="s">
        <v>91</v>
      </c>
      <c r="B193" s="17"/>
      <c r="C193" s="17"/>
      <c r="D193" s="18"/>
      <c r="E193" s="106">
        <v>0.24</v>
      </c>
      <c r="F193" s="106" t="s">
        <v>92</v>
      </c>
      <c r="G193" s="160">
        <v>160.0</v>
      </c>
      <c r="H193" s="107" t="s">
        <v>22</v>
      </c>
      <c r="I193" s="108"/>
      <c r="J193" s="108"/>
      <c r="K193" s="108"/>
      <c r="L193" s="108"/>
      <c r="M193" s="108"/>
      <c r="N193" s="108"/>
      <c r="O193" s="107"/>
      <c r="P193" s="108"/>
      <c r="Q193" s="108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2"/>
      <c r="AM193" s="112"/>
      <c r="AN193" s="113">
        <f>G193+SUM(I193:AL193)-SUM(I194:AL194)</f>
        <v>57</v>
      </c>
      <c r="AO193" s="53">
        <f>ROUNDDOWN((AN193/E193)/$H$4,1)</f>
        <v>7.9</v>
      </c>
      <c r="AP193" s="53">
        <f>M3+AO193</f>
        <v>880.9</v>
      </c>
    </row>
    <row r="194">
      <c r="A194" s="31"/>
      <c r="B194" s="17"/>
      <c r="C194" s="17"/>
      <c r="D194" s="17"/>
      <c r="E194" s="17"/>
      <c r="F194" s="18"/>
      <c r="G194" s="112"/>
      <c r="H194" s="107" t="s">
        <v>23</v>
      </c>
      <c r="I194" s="109">
        <v>7.0</v>
      </c>
      <c r="J194" s="109">
        <v>4.0</v>
      </c>
      <c r="K194" s="109">
        <f>4+1</f>
        <v>5</v>
      </c>
      <c r="L194" s="109">
        <f>2+4</f>
        <v>6</v>
      </c>
      <c r="M194" s="109">
        <f>4+2</f>
        <v>6</v>
      </c>
      <c r="N194" s="109">
        <v>4.0</v>
      </c>
      <c r="O194" s="107"/>
      <c r="P194" s="108">
        <f>2+3</f>
        <v>5</v>
      </c>
      <c r="Q194" s="108">
        <f>2+2</f>
        <v>4</v>
      </c>
      <c r="R194" s="110">
        <f>2+3</f>
        <v>5</v>
      </c>
      <c r="S194" s="111">
        <v>2.0</v>
      </c>
      <c r="T194" s="111">
        <v>2.0</v>
      </c>
      <c r="U194" s="111">
        <v>2.0</v>
      </c>
      <c r="V194" s="110"/>
      <c r="W194" s="111">
        <f>2+2</f>
        <v>4</v>
      </c>
      <c r="X194" s="111">
        <f>3+3</f>
        <v>6</v>
      </c>
      <c r="Y194" s="110">
        <f>2+3</f>
        <v>5</v>
      </c>
      <c r="Z194" s="111">
        <f>1+3</f>
        <v>4</v>
      </c>
      <c r="AA194" s="111">
        <v>3.0</v>
      </c>
      <c r="AB194" s="111">
        <f>3+3</f>
        <v>6</v>
      </c>
      <c r="AC194" s="110"/>
      <c r="AD194" s="110">
        <f t="shared" ref="AD194:AE194" si="69">1+3</f>
        <v>4</v>
      </c>
      <c r="AE194" s="111">
        <f t="shared" si="69"/>
        <v>4</v>
      </c>
      <c r="AF194" s="111">
        <v>5.0</v>
      </c>
      <c r="AG194" s="111">
        <v>1.0</v>
      </c>
      <c r="AH194" s="111">
        <v>2.0</v>
      </c>
      <c r="AI194" s="111"/>
      <c r="AJ194" s="110"/>
      <c r="AK194" s="111">
        <v>3.0</v>
      </c>
      <c r="AL194" s="125">
        <v>4.0</v>
      </c>
      <c r="AM194" s="125">
        <v>3.0</v>
      </c>
      <c r="AN194" s="32"/>
    </row>
    <row r="195">
      <c r="A195" s="33"/>
      <c r="B195" s="33"/>
      <c r="C195" s="33"/>
      <c r="D195" s="33"/>
      <c r="E195" s="161"/>
      <c r="F195" s="161"/>
      <c r="G195" s="160"/>
      <c r="H195" s="107"/>
      <c r="I195" s="118"/>
      <c r="J195" s="118"/>
      <c r="K195" s="118"/>
      <c r="L195" s="118"/>
      <c r="M195" s="118"/>
      <c r="N195" s="118"/>
      <c r="O195" s="114"/>
      <c r="P195" s="118"/>
      <c r="Q195" s="118"/>
      <c r="R195" s="120"/>
      <c r="S195" s="120"/>
      <c r="T195" s="120"/>
      <c r="U195" s="120"/>
      <c r="V195" s="110"/>
      <c r="W195" s="120"/>
      <c r="X195" s="120"/>
      <c r="Y195" s="120"/>
      <c r="Z195" s="120"/>
      <c r="AA195" s="127"/>
      <c r="AB195" s="127"/>
      <c r="AC195" s="110"/>
      <c r="AD195" s="120"/>
      <c r="AE195" s="120"/>
      <c r="AF195" s="120"/>
      <c r="AG195" s="120"/>
      <c r="AH195" s="120"/>
      <c r="AI195" s="119"/>
      <c r="AJ195" s="110"/>
      <c r="AK195" s="120"/>
      <c r="AL195" s="120"/>
      <c r="AM195" s="120"/>
      <c r="AN195" s="122"/>
      <c r="AO195" s="53"/>
      <c r="AP195" s="53"/>
    </row>
    <row r="196">
      <c r="A196" s="24" t="s">
        <v>93</v>
      </c>
      <c r="B196" s="17"/>
      <c r="C196" s="17"/>
      <c r="D196" s="18"/>
      <c r="E196" s="161"/>
      <c r="F196" s="161"/>
      <c r="G196" s="160">
        <v>500.0</v>
      </c>
      <c r="H196" s="107" t="s">
        <v>22</v>
      </c>
      <c r="I196" s="108"/>
      <c r="J196" s="108"/>
      <c r="K196" s="108"/>
      <c r="L196" s="108"/>
      <c r="M196" s="108"/>
      <c r="N196" s="108"/>
      <c r="O196" s="114"/>
      <c r="P196" s="108"/>
      <c r="Q196" s="108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1"/>
      <c r="AB196" s="111"/>
      <c r="AC196" s="110"/>
      <c r="AD196" s="110"/>
      <c r="AE196" s="110"/>
      <c r="AF196" s="110"/>
      <c r="AG196" s="111">
        <v>250.0</v>
      </c>
      <c r="AH196" s="110"/>
      <c r="AI196" s="110"/>
      <c r="AJ196" s="110"/>
      <c r="AK196" s="110"/>
      <c r="AL196" s="112"/>
      <c r="AM196" s="112"/>
      <c r="AN196" s="113">
        <f>G196+SUM(I196:AL196)-SUM(I197:AL197)</f>
        <v>275</v>
      </c>
      <c r="AO196" s="53"/>
      <c r="AP196" s="53"/>
    </row>
    <row r="197">
      <c r="A197" s="31"/>
      <c r="B197" s="17"/>
      <c r="C197" s="17"/>
      <c r="D197" s="17"/>
      <c r="E197" s="17"/>
      <c r="F197" s="18"/>
      <c r="G197" s="112"/>
      <c r="H197" s="107" t="s">
        <v>23</v>
      </c>
      <c r="I197" s="109">
        <v>25.0</v>
      </c>
      <c r="J197" s="109">
        <v>25.0</v>
      </c>
      <c r="K197" s="109">
        <v>25.0</v>
      </c>
      <c r="L197" s="108"/>
      <c r="M197" s="109">
        <v>25.0</v>
      </c>
      <c r="N197" s="109">
        <v>25.0</v>
      </c>
      <c r="O197" s="114"/>
      <c r="P197" s="109"/>
      <c r="Q197" s="109">
        <v>25.0</v>
      </c>
      <c r="R197" s="111"/>
      <c r="S197" s="110">
        <f>25+25</f>
        <v>50</v>
      </c>
      <c r="T197" s="111">
        <v>25.0</v>
      </c>
      <c r="U197" s="111">
        <v>25.0</v>
      </c>
      <c r="V197" s="110"/>
      <c r="W197" s="111">
        <v>25.0</v>
      </c>
      <c r="X197" s="111">
        <v>25.0</v>
      </c>
      <c r="Y197" s="111">
        <v>25.0</v>
      </c>
      <c r="Z197" s="111">
        <v>50.0</v>
      </c>
      <c r="AA197" s="111"/>
      <c r="AB197" s="110"/>
      <c r="AC197" s="110"/>
      <c r="AD197" s="111">
        <v>25.0</v>
      </c>
      <c r="AE197" s="110"/>
      <c r="AF197" s="110"/>
      <c r="AG197" s="111"/>
      <c r="AH197" s="111">
        <v>25.0</v>
      </c>
      <c r="AI197" s="111"/>
      <c r="AJ197" s="110"/>
      <c r="AK197" s="111">
        <v>25.0</v>
      </c>
      <c r="AL197" s="125">
        <v>25.0</v>
      </c>
      <c r="AM197" s="112"/>
      <c r="AN197" s="32"/>
    </row>
    <row r="198">
      <c r="A198" s="33"/>
      <c r="B198" s="33"/>
      <c r="C198" s="33"/>
      <c r="D198" s="33"/>
      <c r="E198" s="161"/>
      <c r="F198" s="161"/>
      <c r="G198" s="160"/>
      <c r="H198" s="107"/>
      <c r="I198" s="118"/>
      <c r="J198" s="118"/>
      <c r="K198" s="118"/>
      <c r="L198" s="117"/>
      <c r="M198" s="118"/>
      <c r="N198" s="118"/>
      <c r="O198" s="114"/>
      <c r="P198" s="117"/>
      <c r="Q198" s="118"/>
      <c r="R198" s="119"/>
      <c r="S198" s="120"/>
      <c r="T198" s="120"/>
      <c r="U198" s="120"/>
      <c r="V198" s="110"/>
      <c r="W198" s="120"/>
      <c r="X198" s="120"/>
      <c r="Y198" s="120"/>
      <c r="Z198" s="120"/>
      <c r="AA198" s="119"/>
      <c r="AB198" s="121"/>
      <c r="AC198" s="110"/>
      <c r="AD198" s="120"/>
      <c r="AE198" s="119"/>
      <c r="AF198" s="119"/>
      <c r="AG198" s="119"/>
      <c r="AH198" s="120"/>
      <c r="AI198" s="119"/>
      <c r="AJ198" s="110"/>
      <c r="AK198" s="120"/>
      <c r="AL198" s="120"/>
      <c r="AM198" s="119"/>
      <c r="AN198" s="122"/>
      <c r="AO198" s="53"/>
      <c r="AP198" s="53"/>
    </row>
    <row r="199">
      <c r="A199" s="24" t="s">
        <v>94</v>
      </c>
      <c r="B199" s="17"/>
      <c r="C199" s="17"/>
      <c r="D199" s="18"/>
      <c r="E199" s="161"/>
      <c r="F199" s="161"/>
      <c r="G199" s="160">
        <v>300.0</v>
      </c>
      <c r="H199" s="107" t="s">
        <v>22</v>
      </c>
      <c r="I199" s="108"/>
      <c r="J199" s="108"/>
      <c r="K199" s="108"/>
      <c r="L199" s="108"/>
      <c r="M199" s="108"/>
      <c r="N199" s="108"/>
      <c r="O199" s="114"/>
      <c r="P199" s="108"/>
      <c r="Q199" s="108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1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2"/>
      <c r="AM199" s="112"/>
      <c r="AN199" s="113">
        <f>G199+SUM(I199:AL199)-SUM(I200:AL200)</f>
        <v>125</v>
      </c>
      <c r="AO199" s="53"/>
      <c r="AP199" s="53"/>
    </row>
    <row r="200">
      <c r="A200" s="31"/>
      <c r="B200" s="17"/>
      <c r="C200" s="17"/>
      <c r="D200" s="17"/>
      <c r="E200" s="17"/>
      <c r="F200" s="18"/>
      <c r="G200" s="112"/>
      <c r="H200" s="107" t="s">
        <v>23</v>
      </c>
      <c r="I200" s="109">
        <v>25.0</v>
      </c>
      <c r="J200" s="109">
        <v>25.0</v>
      </c>
      <c r="K200" s="108"/>
      <c r="L200" s="108"/>
      <c r="M200" s="108"/>
      <c r="N200" s="109"/>
      <c r="O200" s="114"/>
      <c r="P200" s="108"/>
      <c r="Q200" s="109">
        <v>25.0</v>
      </c>
      <c r="R200" s="110"/>
      <c r="S200" s="110"/>
      <c r="T200" s="111">
        <v>25.0</v>
      </c>
      <c r="U200" s="110"/>
      <c r="V200" s="110"/>
      <c r="W200" s="111">
        <v>25.0</v>
      </c>
      <c r="X200" s="111">
        <v>25.0</v>
      </c>
      <c r="Y200" s="110"/>
      <c r="Z200" s="111"/>
      <c r="AA200" s="110"/>
      <c r="AB200" s="110"/>
      <c r="AC200" s="111"/>
      <c r="AD200" s="111">
        <v>25.0</v>
      </c>
      <c r="AE200" s="110"/>
      <c r="AF200" s="110"/>
      <c r="AG200" s="111"/>
      <c r="AH200" s="110"/>
      <c r="AI200" s="110"/>
      <c r="AJ200" s="110"/>
      <c r="AK200" s="110"/>
      <c r="AL200" s="112"/>
      <c r="AM200" s="112"/>
      <c r="AN200" s="32"/>
    </row>
    <row r="201">
      <c r="A201" s="33"/>
      <c r="B201" s="33"/>
      <c r="C201" s="33"/>
      <c r="D201" s="33"/>
      <c r="E201" s="161"/>
      <c r="F201" s="161"/>
      <c r="G201" s="160"/>
      <c r="H201" s="107"/>
      <c r="I201" s="118"/>
      <c r="J201" s="118"/>
      <c r="K201" s="117"/>
      <c r="L201" s="117"/>
      <c r="M201" s="117"/>
      <c r="N201" s="117"/>
      <c r="O201" s="114"/>
      <c r="P201" s="117"/>
      <c r="Q201" s="118"/>
      <c r="R201" s="119"/>
      <c r="S201" s="119"/>
      <c r="T201" s="120"/>
      <c r="U201" s="119"/>
      <c r="V201" s="110"/>
      <c r="W201" s="120"/>
      <c r="X201" s="120"/>
      <c r="Y201" s="119"/>
      <c r="Z201" s="119"/>
      <c r="AA201" s="119"/>
      <c r="AB201" s="121"/>
      <c r="AC201" s="110"/>
      <c r="AD201" s="120"/>
      <c r="AE201" s="119"/>
      <c r="AF201" s="119"/>
      <c r="AG201" s="119"/>
      <c r="AH201" s="119"/>
      <c r="AI201" s="119"/>
      <c r="AJ201" s="110"/>
      <c r="AK201" s="119"/>
      <c r="AL201" s="119"/>
      <c r="AM201" s="119"/>
      <c r="AN201" s="122"/>
      <c r="AO201" s="53"/>
      <c r="AP201" s="53"/>
    </row>
    <row r="202">
      <c r="A202" s="24" t="s">
        <v>95</v>
      </c>
      <c r="B202" s="17"/>
      <c r="C202" s="17"/>
      <c r="D202" s="18"/>
      <c r="E202" s="161"/>
      <c r="F202" s="161"/>
      <c r="G202" s="160">
        <v>360.0</v>
      </c>
      <c r="H202" s="107" t="s">
        <v>22</v>
      </c>
      <c r="I202" s="108"/>
      <c r="J202" s="108"/>
      <c r="K202" s="108"/>
      <c r="L202" s="108"/>
      <c r="M202" s="108"/>
      <c r="N202" s="108"/>
      <c r="O202" s="114"/>
      <c r="P202" s="108"/>
      <c r="Q202" s="108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1"/>
      <c r="AC202" s="110"/>
      <c r="AD202" s="110"/>
      <c r="AE202" s="110"/>
      <c r="AF202" s="110"/>
      <c r="AG202" s="111">
        <v>40.0</v>
      </c>
      <c r="AH202" s="110"/>
      <c r="AI202" s="110"/>
      <c r="AJ202" s="110"/>
      <c r="AK202" s="110"/>
      <c r="AL202" s="112"/>
      <c r="AM202" s="112"/>
      <c r="AN202" s="113">
        <f>G202+SUM(I202:AL202)-SUM(I203:AL203)</f>
        <v>100</v>
      </c>
      <c r="AO202" s="53"/>
      <c r="AP202" s="53"/>
    </row>
    <row r="203">
      <c r="A203" s="31"/>
      <c r="B203" s="17"/>
      <c r="C203" s="17"/>
      <c r="D203" s="17"/>
      <c r="E203" s="17"/>
      <c r="F203" s="18"/>
      <c r="G203" s="112"/>
      <c r="H203" s="107" t="s">
        <v>23</v>
      </c>
      <c r="I203" s="108"/>
      <c r="J203" s="108"/>
      <c r="K203" s="108"/>
      <c r="L203" s="108"/>
      <c r="M203" s="108"/>
      <c r="N203" s="108"/>
      <c r="O203" s="114"/>
      <c r="P203" s="108"/>
      <c r="Q203" s="108"/>
      <c r="R203" s="110"/>
      <c r="S203" s="110">
        <f>20+20</f>
        <v>40</v>
      </c>
      <c r="T203" s="110">
        <f>5*20</f>
        <v>100</v>
      </c>
      <c r="U203" s="110">
        <f>20+20</f>
        <v>40</v>
      </c>
      <c r="V203" s="110"/>
      <c r="W203" s="110"/>
      <c r="X203" s="110">
        <f>20+20</f>
        <v>40</v>
      </c>
      <c r="Y203" s="110"/>
      <c r="Z203" s="111">
        <v>40.0</v>
      </c>
      <c r="AA203" s="110"/>
      <c r="AB203" s="110"/>
      <c r="AC203" s="111"/>
      <c r="AD203" s="110"/>
      <c r="AE203" s="110"/>
      <c r="AF203" s="110"/>
      <c r="AG203" s="125"/>
      <c r="AH203" s="111">
        <v>40.0</v>
      </c>
      <c r="AI203" s="110"/>
      <c r="AJ203" s="110"/>
      <c r="AK203" s="110"/>
      <c r="AL203" s="112"/>
      <c r="AM203" s="112"/>
      <c r="AN203" s="32"/>
    </row>
    <row r="204">
      <c r="A204" s="33"/>
      <c r="B204" s="33"/>
      <c r="C204" s="33"/>
      <c r="D204" s="33"/>
      <c r="E204" s="106"/>
      <c r="F204" s="106"/>
      <c r="G204" s="112"/>
      <c r="H204" s="107"/>
      <c r="I204" s="117"/>
      <c r="J204" s="117"/>
      <c r="K204" s="117"/>
      <c r="L204" s="117"/>
      <c r="M204" s="117"/>
      <c r="N204" s="117"/>
      <c r="O204" s="114"/>
      <c r="P204" s="117"/>
      <c r="Q204" s="117"/>
      <c r="R204" s="119"/>
      <c r="S204" s="120"/>
      <c r="T204" s="120"/>
      <c r="U204" s="120"/>
      <c r="V204" s="110"/>
      <c r="W204" s="119"/>
      <c r="X204" s="120"/>
      <c r="Y204" s="119"/>
      <c r="Z204" s="120"/>
      <c r="AA204" s="119"/>
      <c r="AB204" s="119"/>
      <c r="AC204" s="110"/>
      <c r="AD204" s="119"/>
      <c r="AE204" s="119"/>
      <c r="AF204" s="119"/>
      <c r="AG204" s="119"/>
      <c r="AH204" s="120"/>
      <c r="AI204" s="119"/>
      <c r="AJ204" s="110"/>
      <c r="AK204" s="119"/>
      <c r="AL204" s="119"/>
      <c r="AM204" s="119"/>
      <c r="AN204" s="122"/>
      <c r="AO204" s="53"/>
      <c r="AP204" s="53"/>
    </row>
    <row r="205">
      <c r="A205" s="24" t="s">
        <v>96</v>
      </c>
      <c r="B205" s="17"/>
      <c r="C205" s="17"/>
      <c r="D205" s="18"/>
      <c r="E205" s="106">
        <v>0.053</v>
      </c>
      <c r="F205" s="106" t="s">
        <v>92</v>
      </c>
      <c r="G205" s="112"/>
      <c r="H205" s="107" t="s">
        <v>22</v>
      </c>
      <c r="I205" s="108"/>
      <c r="J205" s="108"/>
      <c r="K205" s="108"/>
      <c r="L205" s="108"/>
      <c r="M205" s="108"/>
      <c r="N205" s="108"/>
      <c r="O205" s="114"/>
      <c r="P205" s="108"/>
      <c r="Q205" s="108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2"/>
      <c r="AM205" s="112"/>
      <c r="AN205" s="113">
        <f>G205+SUM(I205:AL205)-SUM(I206:AL206)</f>
        <v>0</v>
      </c>
      <c r="AO205" s="53">
        <f>ROUNDDOWN((AN205/E205)/$H$4,1)</f>
        <v>0</v>
      </c>
      <c r="AP205" s="53"/>
    </row>
    <row r="206">
      <c r="A206" s="31"/>
      <c r="B206" s="17"/>
      <c r="C206" s="17"/>
      <c r="D206" s="17"/>
      <c r="E206" s="17"/>
      <c r="F206" s="18"/>
      <c r="G206" s="112"/>
      <c r="H206" s="107" t="s">
        <v>23</v>
      </c>
      <c r="I206" s="108"/>
      <c r="J206" s="108"/>
      <c r="K206" s="108"/>
      <c r="L206" s="108"/>
      <c r="M206" s="108"/>
      <c r="N206" s="108"/>
      <c r="O206" s="114"/>
      <c r="P206" s="108"/>
      <c r="Q206" s="108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2"/>
      <c r="AM206" s="112"/>
      <c r="AN206" s="32"/>
    </row>
    <row r="207">
      <c r="A207" s="33"/>
      <c r="B207" s="33"/>
      <c r="C207" s="33"/>
      <c r="D207" s="33"/>
      <c r="E207" s="106"/>
      <c r="F207" s="106"/>
      <c r="G207" s="112"/>
      <c r="H207" s="107"/>
      <c r="I207" s="117"/>
      <c r="J207" s="117"/>
      <c r="K207" s="117"/>
      <c r="L207" s="117"/>
      <c r="M207" s="117"/>
      <c r="N207" s="117"/>
      <c r="O207" s="114"/>
      <c r="P207" s="117"/>
      <c r="Q207" s="117"/>
      <c r="R207" s="119"/>
      <c r="S207" s="119"/>
      <c r="T207" s="119"/>
      <c r="U207" s="119"/>
      <c r="V207" s="110"/>
      <c r="W207" s="121"/>
      <c r="X207" s="119"/>
      <c r="Y207" s="119"/>
      <c r="Z207" s="121"/>
      <c r="AA207" s="119"/>
      <c r="AB207" s="119"/>
      <c r="AC207" s="110"/>
      <c r="AD207" s="119"/>
      <c r="AE207" s="119"/>
      <c r="AF207" s="119"/>
      <c r="AG207" s="119"/>
      <c r="AH207" s="119"/>
      <c r="AI207" s="119"/>
      <c r="AJ207" s="110"/>
      <c r="AK207" s="119"/>
      <c r="AL207" s="119"/>
      <c r="AM207" s="119"/>
      <c r="AN207" s="122"/>
      <c r="AO207" s="53"/>
      <c r="AP207" s="53"/>
    </row>
    <row r="208">
      <c r="A208" s="24" t="s">
        <v>97</v>
      </c>
      <c r="B208" s="17"/>
      <c r="C208" s="17"/>
      <c r="D208" s="18"/>
      <c r="E208" s="106">
        <v>0.053</v>
      </c>
      <c r="F208" s="106" t="s">
        <v>92</v>
      </c>
      <c r="G208" s="112"/>
      <c r="H208" s="107" t="s">
        <v>22</v>
      </c>
      <c r="I208" s="108"/>
      <c r="J208" s="108"/>
      <c r="K208" s="108"/>
      <c r="L208" s="108"/>
      <c r="M208" s="108"/>
      <c r="N208" s="108"/>
      <c r="O208" s="114"/>
      <c r="P208" s="108"/>
      <c r="Q208" s="108"/>
      <c r="R208" s="110"/>
      <c r="S208" s="110"/>
      <c r="T208" s="110"/>
      <c r="U208" s="110"/>
      <c r="V208" s="110"/>
      <c r="W208" s="111"/>
      <c r="X208" s="110"/>
      <c r="Y208" s="110"/>
      <c r="Z208" s="111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2"/>
      <c r="AM208" s="112"/>
      <c r="AN208" s="113">
        <f>G208+SUM(I208:AL208)-SUM(I209:AL209)</f>
        <v>0</v>
      </c>
      <c r="AO208" s="53">
        <f>ROUNDDOWN((AN208/E208)/$H$4,1)</f>
        <v>0</v>
      </c>
      <c r="AP208" s="53">
        <f>$M$4+AO208</f>
        <v>874</v>
      </c>
    </row>
    <row r="209">
      <c r="A209" s="31"/>
      <c r="B209" s="17"/>
      <c r="C209" s="17"/>
      <c r="D209" s="17"/>
      <c r="E209" s="17"/>
      <c r="F209" s="18"/>
      <c r="G209" s="112"/>
      <c r="H209" s="107" t="s">
        <v>23</v>
      </c>
      <c r="I209" s="108"/>
      <c r="J209" s="108"/>
      <c r="K209" s="108"/>
      <c r="L209" s="108"/>
      <c r="M209" s="108"/>
      <c r="N209" s="108"/>
      <c r="O209" s="114"/>
      <c r="P209" s="108"/>
      <c r="Q209" s="108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2"/>
      <c r="AM209" s="112"/>
      <c r="AN209" s="32"/>
    </row>
    <row r="210">
      <c r="A210" s="33"/>
      <c r="B210" s="33"/>
      <c r="C210" s="33"/>
      <c r="D210" s="33"/>
      <c r="E210" s="106"/>
      <c r="F210" s="106"/>
      <c r="G210" s="160"/>
      <c r="H210" s="107"/>
      <c r="I210" s="117"/>
      <c r="J210" s="117"/>
      <c r="K210" s="117"/>
      <c r="L210" s="116"/>
      <c r="M210" s="117"/>
      <c r="N210" s="117"/>
      <c r="O210" s="114"/>
      <c r="P210" s="117"/>
      <c r="Q210" s="117"/>
      <c r="R210" s="119"/>
      <c r="S210" s="119"/>
      <c r="T210" s="119"/>
      <c r="U210" s="119"/>
      <c r="V210" s="110"/>
      <c r="W210" s="119"/>
      <c r="X210" s="119"/>
      <c r="Y210" s="119"/>
      <c r="Z210" s="119"/>
      <c r="AA210" s="119"/>
      <c r="AB210" s="119"/>
      <c r="AC210" s="110"/>
      <c r="AD210" s="119"/>
      <c r="AE210" s="119"/>
      <c r="AF210" s="119"/>
      <c r="AG210" s="119"/>
      <c r="AH210" s="119"/>
      <c r="AI210" s="119"/>
      <c r="AJ210" s="110"/>
      <c r="AK210" s="119"/>
      <c r="AL210" s="119"/>
      <c r="AM210" s="119"/>
      <c r="AN210" s="122"/>
      <c r="AO210" s="53"/>
      <c r="AP210" s="53"/>
    </row>
    <row r="211">
      <c r="A211" s="24" t="s">
        <v>98</v>
      </c>
      <c r="B211" s="17"/>
      <c r="C211" s="17"/>
      <c r="D211" s="18"/>
      <c r="E211" s="106">
        <v>0.03</v>
      </c>
      <c r="F211" s="106" t="s">
        <v>92</v>
      </c>
      <c r="G211" s="160">
        <v>26.0</v>
      </c>
      <c r="H211" s="107" t="s">
        <v>22</v>
      </c>
      <c r="I211" s="108"/>
      <c r="J211" s="108"/>
      <c r="K211" s="108"/>
      <c r="L211" s="109"/>
      <c r="M211" s="108"/>
      <c r="N211" s="108"/>
      <c r="O211" s="114"/>
      <c r="P211" s="108"/>
      <c r="Q211" s="108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2"/>
      <c r="AM211" s="112"/>
      <c r="AN211" s="113">
        <f>G211+SUM(I211:AL211)-SUM(I212:AL212)</f>
        <v>14</v>
      </c>
      <c r="AO211" s="53">
        <f>ROUNDDOWN((AN211/E211)/$H$4,1)</f>
        <v>15.5</v>
      </c>
      <c r="AP211" s="53">
        <f>$M$4+AO211</f>
        <v>889.5</v>
      </c>
    </row>
    <row r="212">
      <c r="A212" s="31"/>
      <c r="B212" s="17"/>
      <c r="C212" s="17"/>
      <c r="D212" s="17"/>
      <c r="E212" s="17"/>
      <c r="F212" s="18"/>
      <c r="G212" s="112"/>
      <c r="H212" s="107" t="s">
        <v>23</v>
      </c>
      <c r="I212" s="109"/>
      <c r="J212" s="108"/>
      <c r="K212" s="109">
        <v>6.0</v>
      </c>
      <c r="L212" s="108"/>
      <c r="M212" s="108"/>
      <c r="N212" s="108"/>
      <c r="O212" s="114"/>
      <c r="P212" s="108"/>
      <c r="Q212" s="108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1"/>
      <c r="AB212" s="111">
        <v>6.0</v>
      </c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2"/>
      <c r="AM212" s="112"/>
      <c r="AN212" s="32"/>
    </row>
    <row r="213">
      <c r="A213" s="33"/>
      <c r="B213" s="33"/>
      <c r="C213" s="33"/>
      <c r="D213" s="33"/>
      <c r="E213" s="106"/>
      <c r="F213" s="106"/>
      <c r="G213" s="160"/>
      <c r="H213" s="107"/>
      <c r="I213" s="117"/>
      <c r="J213" s="117"/>
      <c r="K213" s="118"/>
      <c r="L213" s="117"/>
      <c r="M213" s="117"/>
      <c r="N213" s="117"/>
      <c r="O213" s="114"/>
      <c r="P213" s="117"/>
      <c r="Q213" s="117"/>
      <c r="R213" s="119"/>
      <c r="S213" s="119"/>
      <c r="T213" s="119"/>
      <c r="U213" s="119"/>
      <c r="V213" s="111"/>
      <c r="W213" s="119"/>
      <c r="X213" s="119"/>
      <c r="Y213" s="119"/>
      <c r="Z213" s="119"/>
      <c r="AA213" s="119"/>
      <c r="AB213" s="120"/>
      <c r="AC213" s="110"/>
      <c r="AD213" s="119"/>
      <c r="AE213" s="119"/>
      <c r="AF213" s="119"/>
      <c r="AG213" s="119"/>
      <c r="AH213" s="119"/>
      <c r="AI213" s="119"/>
      <c r="AJ213" s="110"/>
      <c r="AK213" s="119"/>
      <c r="AL213" s="119"/>
      <c r="AM213" s="119"/>
      <c r="AN213" s="122"/>
      <c r="AO213" s="53"/>
      <c r="AP213" s="53"/>
    </row>
    <row r="214">
      <c r="A214" s="24" t="s">
        <v>99</v>
      </c>
      <c r="B214" s="17"/>
      <c r="C214" s="17"/>
      <c r="D214" s="18"/>
      <c r="E214" s="106">
        <v>0.03</v>
      </c>
      <c r="F214" s="106" t="s">
        <v>92</v>
      </c>
      <c r="G214" s="160">
        <v>38.0</v>
      </c>
      <c r="H214" s="107" t="s">
        <v>22</v>
      </c>
      <c r="I214" s="108"/>
      <c r="J214" s="108"/>
      <c r="K214" s="108"/>
      <c r="L214" s="108"/>
      <c r="M214" s="108"/>
      <c r="N214" s="108"/>
      <c r="O214" s="114"/>
      <c r="P214" s="108"/>
      <c r="Q214" s="108"/>
      <c r="R214" s="110"/>
      <c r="S214" s="110"/>
      <c r="T214" s="110"/>
      <c r="U214" s="110"/>
      <c r="V214" s="111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2"/>
      <c r="AM214" s="112"/>
      <c r="AN214" s="113">
        <f>G214+SUM(I214:AL214)-SUM(I215:AL215)</f>
        <v>29</v>
      </c>
      <c r="AO214" s="53">
        <f>ROUNDDOWN((AN214/E214)/$H$4,1)</f>
        <v>32.2</v>
      </c>
      <c r="AP214" s="53">
        <f>$M$4+AO214</f>
        <v>906.2</v>
      </c>
    </row>
    <row r="215">
      <c r="A215" s="31"/>
      <c r="B215" s="17"/>
      <c r="C215" s="17"/>
      <c r="D215" s="17"/>
      <c r="E215" s="17"/>
      <c r="F215" s="18"/>
      <c r="G215" s="112"/>
      <c r="H215" s="107" t="s">
        <v>23</v>
      </c>
      <c r="I215" s="108"/>
      <c r="J215" s="108"/>
      <c r="K215" s="109">
        <v>6.0</v>
      </c>
      <c r="L215" s="108"/>
      <c r="M215" s="109"/>
      <c r="N215" s="108"/>
      <c r="O215" s="114"/>
      <c r="P215" s="109">
        <v>1.0</v>
      </c>
      <c r="Q215" s="108"/>
      <c r="R215" s="110"/>
      <c r="S215" s="110"/>
      <c r="T215" s="110"/>
      <c r="U215" s="111"/>
      <c r="V215" s="110"/>
      <c r="W215" s="110"/>
      <c r="X215" s="110"/>
      <c r="Y215" s="110"/>
      <c r="Z215" s="111">
        <v>1.0</v>
      </c>
      <c r="AA215" s="110"/>
      <c r="AB215" s="110"/>
      <c r="AC215" s="111"/>
      <c r="AD215" s="110"/>
      <c r="AE215" s="110"/>
      <c r="AF215" s="110"/>
      <c r="AG215" s="110"/>
      <c r="AH215" s="111">
        <v>1.0</v>
      </c>
      <c r="AI215" s="110"/>
      <c r="AJ215" s="110"/>
      <c r="AK215" s="110"/>
      <c r="AL215" s="112"/>
      <c r="AM215" s="112"/>
      <c r="AN215" s="32"/>
    </row>
    <row r="216">
      <c r="A216" s="33"/>
      <c r="B216" s="33"/>
      <c r="C216" s="33"/>
      <c r="D216" s="33"/>
      <c r="E216" s="106"/>
      <c r="F216" s="106"/>
      <c r="G216" s="160"/>
      <c r="H216" s="107"/>
      <c r="I216" s="117"/>
      <c r="J216" s="117"/>
      <c r="K216" s="118"/>
      <c r="L216" s="117"/>
      <c r="M216" s="117"/>
      <c r="N216" s="117"/>
      <c r="O216" s="114"/>
      <c r="P216" s="118"/>
      <c r="Q216" s="117"/>
      <c r="R216" s="119"/>
      <c r="S216" s="119"/>
      <c r="T216" s="119"/>
      <c r="U216" s="119"/>
      <c r="V216" s="110"/>
      <c r="W216" s="119"/>
      <c r="X216" s="119"/>
      <c r="Y216" s="119"/>
      <c r="Z216" s="120"/>
      <c r="AA216" s="121"/>
      <c r="AB216" s="119"/>
      <c r="AC216" s="110"/>
      <c r="AD216" s="119"/>
      <c r="AE216" s="119"/>
      <c r="AF216" s="119"/>
      <c r="AG216" s="119"/>
      <c r="AH216" s="120"/>
      <c r="AI216" s="119"/>
      <c r="AJ216" s="110"/>
      <c r="AK216" s="119"/>
      <c r="AL216" s="119"/>
      <c r="AM216" s="119"/>
      <c r="AN216" s="122"/>
      <c r="AO216" s="53"/>
      <c r="AP216" s="53"/>
    </row>
    <row r="217">
      <c r="A217" s="24" t="s">
        <v>100</v>
      </c>
      <c r="B217" s="17"/>
      <c r="C217" s="17"/>
      <c r="D217" s="18"/>
      <c r="E217" s="106">
        <v>0.014</v>
      </c>
      <c r="F217" s="106" t="s">
        <v>101</v>
      </c>
      <c r="G217" s="160">
        <v>57.0</v>
      </c>
      <c r="H217" s="107" t="s">
        <v>22</v>
      </c>
      <c r="I217" s="108"/>
      <c r="J217" s="108"/>
      <c r="K217" s="108"/>
      <c r="L217" s="108"/>
      <c r="M217" s="108"/>
      <c r="N217" s="108"/>
      <c r="O217" s="114"/>
      <c r="P217" s="108"/>
      <c r="Q217" s="108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1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2"/>
      <c r="AM217" s="112"/>
      <c r="AN217" s="113">
        <f>G217+SUM(I217:AL217)-SUM(I218:AL218)</f>
        <v>50</v>
      </c>
      <c r="AO217" s="53">
        <f>ROUNDDOWN((AN217/E217)/$H$4,1)</f>
        <v>119</v>
      </c>
      <c r="AP217" s="53">
        <f>$M$4+AO217</f>
        <v>993</v>
      </c>
    </row>
    <row r="218">
      <c r="A218" s="31"/>
      <c r="B218" s="17"/>
      <c r="C218" s="17"/>
      <c r="D218" s="17"/>
      <c r="E218" s="17"/>
      <c r="F218" s="17"/>
      <c r="G218" s="112"/>
      <c r="H218" s="107" t="s">
        <v>23</v>
      </c>
      <c r="I218" s="109">
        <v>1.0</v>
      </c>
      <c r="J218" s="109">
        <v>1.0</v>
      </c>
      <c r="K218" s="108"/>
      <c r="L218" s="109">
        <v>1.0</v>
      </c>
      <c r="M218" s="109"/>
      <c r="N218" s="108"/>
      <c r="O218" s="114"/>
      <c r="P218" s="109">
        <v>1.0</v>
      </c>
      <c r="Q218" s="108"/>
      <c r="R218" s="110"/>
      <c r="S218" s="110"/>
      <c r="T218" s="112"/>
      <c r="U218" s="110"/>
      <c r="V218" s="111"/>
      <c r="W218" s="110"/>
      <c r="X218" s="111">
        <v>1.0</v>
      </c>
      <c r="Y218" s="110"/>
      <c r="Z218" s="110"/>
      <c r="AA218" s="110"/>
      <c r="AB218" s="110"/>
      <c r="AC218" s="111"/>
      <c r="AD218" s="110"/>
      <c r="AE218" s="110"/>
      <c r="AF218" s="110"/>
      <c r="AG218" s="111">
        <v>1.0</v>
      </c>
      <c r="AH218" s="111"/>
      <c r="AI218" s="110"/>
      <c r="AJ218" s="110"/>
      <c r="AK218" s="111">
        <v>1.0</v>
      </c>
      <c r="AL218" s="112"/>
      <c r="AM218" s="112"/>
      <c r="AN218" s="32"/>
    </row>
    <row r="219">
      <c r="A219" s="162"/>
      <c r="B219" s="162"/>
      <c r="C219" s="162"/>
      <c r="D219" s="162"/>
      <c r="E219" s="162"/>
      <c r="F219" s="162"/>
      <c r="G219" s="163"/>
      <c r="H219" s="110"/>
      <c r="I219" s="120"/>
      <c r="J219" s="120"/>
      <c r="K219" s="119"/>
      <c r="L219" s="120"/>
      <c r="M219" s="119"/>
      <c r="N219" s="119"/>
      <c r="O219" s="112"/>
      <c r="P219" s="120"/>
      <c r="Q219" s="119"/>
      <c r="R219" s="119"/>
      <c r="S219" s="119"/>
      <c r="T219" s="119"/>
      <c r="U219" s="119"/>
      <c r="V219" s="110"/>
      <c r="W219" s="119"/>
      <c r="X219" s="120"/>
      <c r="Y219" s="119"/>
      <c r="Z219" s="119"/>
      <c r="AA219" s="119"/>
      <c r="AB219" s="119"/>
      <c r="AC219" s="110"/>
      <c r="AD219" s="119"/>
      <c r="AE219" s="119"/>
      <c r="AF219" s="119"/>
      <c r="AG219" s="120"/>
      <c r="AH219" s="119"/>
      <c r="AI219" s="119"/>
      <c r="AJ219" s="110"/>
      <c r="AK219" s="120"/>
      <c r="AL219" s="119"/>
      <c r="AM219" s="119"/>
      <c r="AN219" s="110"/>
      <c r="AO219" s="49"/>
      <c r="AP219" s="49"/>
    </row>
    <row r="220">
      <c r="A220" s="16" t="s">
        <v>102</v>
      </c>
      <c r="B220" s="17"/>
      <c r="C220" s="17"/>
      <c r="D220" s="17"/>
      <c r="E220" s="17"/>
      <c r="F220" s="17"/>
      <c r="G220" s="18"/>
      <c r="H220" s="135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5"/>
      <c r="AM220" s="135"/>
      <c r="AN220" s="135"/>
      <c r="AO220" s="52"/>
      <c r="AP220" s="52"/>
    </row>
    <row r="221">
      <c r="A221" s="24" t="s">
        <v>103</v>
      </c>
      <c r="B221" s="17"/>
      <c r="C221" s="17"/>
      <c r="D221" s="18"/>
      <c r="E221" s="106">
        <v>0.2</v>
      </c>
      <c r="F221" s="106" t="s">
        <v>104</v>
      </c>
      <c r="G221" s="160">
        <v>210.0</v>
      </c>
      <c r="H221" s="107" t="s">
        <v>22</v>
      </c>
      <c r="I221" s="108"/>
      <c r="J221" s="108"/>
      <c r="K221" s="108"/>
      <c r="L221" s="108"/>
      <c r="M221" s="109"/>
      <c r="N221" s="108"/>
      <c r="O221" s="114"/>
      <c r="P221" s="108"/>
      <c r="Q221" s="108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2"/>
      <c r="AM221" s="112"/>
      <c r="AN221" s="113">
        <f>G221+SUM(I221:AL221)-SUM(I222:AL222)</f>
        <v>115</v>
      </c>
      <c r="AO221" s="53">
        <f>ROUNDDOWN((AN221/E221)/$H$4,1)</f>
        <v>19.1</v>
      </c>
      <c r="AP221" s="53">
        <f>$M$4+AO221</f>
        <v>893.1</v>
      </c>
    </row>
    <row r="222">
      <c r="A222" s="31"/>
      <c r="B222" s="17"/>
      <c r="C222" s="17"/>
      <c r="D222" s="17"/>
      <c r="E222" s="17"/>
      <c r="F222" s="18"/>
      <c r="G222" s="112"/>
      <c r="H222" s="107" t="s">
        <v>23</v>
      </c>
      <c r="I222" s="109">
        <v>7.0</v>
      </c>
      <c r="J222" s="109">
        <f>2+2+2</f>
        <v>6</v>
      </c>
      <c r="K222" s="108">
        <f>2+1</f>
        <v>3</v>
      </c>
      <c r="L222" s="109">
        <v>1.0</v>
      </c>
      <c r="M222" s="109">
        <f>2+3</f>
        <v>5</v>
      </c>
      <c r="N222" s="109">
        <f>1+1+1</f>
        <v>3</v>
      </c>
      <c r="O222" s="107"/>
      <c r="P222" s="109">
        <f>1+1+3</f>
        <v>5</v>
      </c>
      <c r="Q222" s="109">
        <f>5+1</f>
        <v>6</v>
      </c>
      <c r="R222" s="111">
        <v>1.0</v>
      </c>
      <c r="S222" s="111">
        <f>2+2</f>
        <v>4</v>
      </c>
      <c r="T222" s="110">
        <f>2+1+1+3+2</f>
        <v>9</v>
      </c>
      <c r="U222" s="111">
        <f>1+1</f>
        <v>2</v>
      </c>
      <c r="V222" s="111"/>
      <c r="W222" s="111">
        <f>2+1</f>
        <v>3</v>
      </c>
      <c r="X222" s="111">
        <f>3+2</f>
        <v>5</v>
      </c>
      <c r="Y222" s="111">
        <f>3+1</f>
        <v>4</v>
      </c>
      <c r="Z222" s="111">
        <f>2+1+1</f>
        <v>4</v>
      </c>
      <c r="AA222" s="111"/>
      <c r="AB222" s="111">
        <v>1.0</v>
      </c>
      <c r="AC222" s="111"/>
      <c r="AD222" s="111">
        <f>2+1</f>
        <v>3</v>
      </c>
      <c r="AE222" s="111">
        <v>1.0</v>
      </c>
      <c r="AF222" s="111">
        <f>2+2+1+2</f>
        <v>7</v>
      </c>
      <c r="AG222" s="111">
        <v>2.0</v>
      </c>
      <c r="AH222" s="111">
        <f>1+1</f>
        <v>2</v>
      </c>
      <c r="AI222" s="111"/>
      <c r="AJ222" s="111"/>
      <c r="AK222" s="125">
        <f>2+1</f>
        <v>3</v>
      </c>
      <c r="AL222" s="125">
        <f>2+3+3</f>
        <v>8</v>
      </c>
      <c r="AM222" s="112">
        <f>1+1</f>
        <v>2</v>
      </c>
      <c r="AN222" s="32"/>
    </row>
    <row r="223">
      <c r="A223" s="33"/>
      <c r="B223" s="33"/>
      <c r="C223" s="33"/>
      <c r="D223" s="33"/>
      <c r="E223" s="106"/>
      <c r="F223" s="106"/>
      <c r="G223" s="112"/>
      <c r="H223" s="107"/>
      <c r="I223" s="118"/>
      <c r="J223" s="118"/>
      <c r="K223" s="118"/>
      <c r="L223" s="118"/>
      <c r="M223" s="118"/>
      <c r="N223" s="118"/>
      <c r="O223" s="107"/>
      <c r="P223" s="124"/>
      <c r="Q223" s="118"/>
      <c r="R223" s="121"/>
      <c r="S223" s="127"/>
      <c r="T223" s="120"/>
      <c r="U223" s="127"/>
      <c r="V223" s="110"/>
      <c r="W223" s="120"/>
      <c r="X223" s="120"/>
      <c r="Y223" s="120"/>
      <c r="Z223" s="120"/>
      <c r="AA223" s="119"/>
      <c r="AB223" s="127"/>
      <c r="AC223" s="110"/>
      <c r="AD223" s="120"/>
      <c r="AE223" s="120"/>
      <c r="AF223" s="120"/>
      <c r="AG223" s="127"/>
      <c r="AH223" s="120"/>
      <c r="AI223" s="119"/>
      <c r="AJ223" s="110"/>
      <c r="AK223" s="127"/>
      <c r="AL223" s="120"/>
      <c r="AM223" s="120"/>
      <c r="AN223" s="122"/>
      <c r="AO223" s="53"/>
      <c r="AP223" s="53"/>
    </row>
    <row r="224">
      <c r="A224" s="24" t="s">
        <v>105</v>
      </c>
      <c r="B224" s="17"/>
      <c r="C224" s="17"/>
      <c r="D224" s="18"/>
      <c r="E224" s="106">
        <v>1.1</v>
      </c>
      <c r="F224" s="106" t="s">
        <v>106</v>
      </c>
      <c r="G224" s="125">
        <v>15.0</v>
      </c>
      <c r="H224" s="107" t="s">
        <v>22</v>
      </c>
      <c r="I224" s="108"/>
      <c r="J224" s="109">
        <v>30.0</v>
      </c>
      <c r="K224" s="108"/>
      <c r="L224" s="108"/>
      <c r="M224" s="109">
        <v>30.0</v>
      </c>
      <c r="N224" s="108"/>
      <c r="O224" s="107"/>
      <c r="P224" s="109">
        <v>20.0</v>
      </c>
      <c r="Q224" s="108"/>
      <c r="R224" s="111"/>
      <c r="S224" s="111"/>
      <c r="T224" s="111">
        <f>20+10</f>
        <v>30</v>
      </c>
      <c r="U224" s="111"/>
      <c r="V224" s="110"/>
      <c r="W224" s="110"/>
      <c r="X224" s="111">
        <v>20.0</v>
      </c>
      <c r="Y224" s="110"/>
      <c r="Z224" s="110"/>
      <c r="AA224" s="111">
        <v>20.0</v>
      </c>
      <c r="AB224" s="111"/>
      <c r="AC224" s="110"/>
      <c r="AD224" s="111">
        <v>20.0</v>
      </c>
      <c r="AE224" s="110"/>
      <c r="AF224" s="110"/>
      <c r="AG224" s="111"/>
      <c r="AH224" s="110"/>
      <c r="AI224" s="110"/>
      <c r="AJ224" s="111"/>
      <c r="AK224" s="111">
        <v>30.0</v>
      </c>
      <c r="AL224" s="112"/>
      <c r="AM224" s="125">
        <v>10.0</v>
      </c>
      <c r="AN224" s="113">
        <f>G224+SUM(I224:AL224)-SUM(I225:AL225)</f>
        <v>170</v>
      </c>
      <c r="AO224" s="53">
        <f>ROUNDDOWN((AN224/E224)/$H$4,1)</f>
        <v>5.1</v>
      </c>
      <c r="AP224" s="53">
        <f>$M$4+AO224</f>
        <v>879.1</v>
      </c>
    </row>
    <row r="225">
      <c r="A225" s="31"/>
      <c r="B225" s="17"/>
      <c r="C225" s="17"/>
      <c r="D225" s="17"/>
      <c r="E225" s="17"/>
      <c r="F225" s="18"/>
      <c r="G225" s="112"/>
      <c r="H225" s="107" t="s">
        <v>23</v>
      </c>
      <c r="I225" s="109">
        <v>1.0</v>
      </c>
      <c r="J225" s="108"/>
      <c r="K225" s="108">
        <f>1+1+1+1+1</f>
        <v>5</v>
      </c>
      <c r="L225" s="109">
        <v>1.0</v>
      </c>
      <c r="M225" s="108">
        <f>1+1+1+1+1+1</f>
        <v>6</v>
      </c>
      <c r="N225" s="108">
        <f>1+1</f>
        <v>2</v>
      </c>
      <c r="O225" s="114"/>
      <c r="P225" s="108"/>
      <c r="Q225" s="108">
        <f>1+1</f>
        <v>2</v>
      </c>
      <c r="R225" s="111">
        <v>1.0</v>
      </c>
      <c r="S225" s="111">
        <v>3.0</v>
      </c>
      <c r="T225" s="110">
        <f>1+1+1+1+1+1+1+1+1+1+1</f>
        <v>11</v>
      </c>
      <c r="U225" s="110">
        <f>1+1+1</f>
        <v>3</v>
      </c>
      <c r="V225" s="110"/>
      <c r="W225" s="110"/>
      <c r="X225" s="110"/>
      <c r="Y225" s="110"/>
      <c r="Z225" s="110"/>
      <c r="AA225" s="110"/>
      <c r="AB225" s="111"/>
      <c r="AC225" s="111"/>
      <c r="AD225" s="110"/>
      <c r="AE225" s="110"/>
      <c r="AF225" s="110">
        <f>1+1+1</f>
        <v>3</v>
      </c>
      <c r="AG225" s="110"/>
      <c r="AH225" s="110">
        <f>1+1+1</f>
        <v>3</v>
      </c>
      <c r="AI225" s="111"/>
      <c r="AJ225" s="110"/>
      <c r="AK225" s="110">
        <f>1+1+1+1</f>
        <v>4</v>
      </c>
      <c r="AL225" s="112"/>
      <c r="AM225" s="112"/>
      <c r="AN225" s="32"/>
    </row>
    <row r="226">
      <c r="A226" s="58"/>
      <c r="B226" s="58"/>
      <c r="C226" s="58"/>
      <c r="D226" s="58"/>
      <c r="E226" s="58"/>
      <c r="F226" s="58"/>
      <c r="G226" s="163"/>
      <c r="H226" s="151"/>
      <c r="I226" s="164"/>
      <c r="J226" s="165"/>
      <c r="K226" s="164"/>
      <c r="L226" s="164"/>
      <c r="M226" s="164"/>
      <c r="N226" s="164"/>
      <c r="O226" s="166"/>
      <c r="P226" s="165"/>
      <c r="Q226" s="164"/>
      <c r="R226" s="120"/>
      <c r="S226" s="120"/>
      <c r="T226" s="120"/>
      <c r="U226" s="120"/>
      <c r="V226" s="110"/>
      <c r="W226" s="119"/>
      <c r="X226" s="119"/>
      <c r="Y226" s="119"/>
      <c r="Z226" s="119"/>
      <c r="AA226" s="119"/>
      <c r="AB226" s="119"/>
      <c r="AC226" s="110"/>
      <c r="AD226" s="119"/>
      <c r="AE226" s="119"/>
      <c r="AF226" s="120"/>
      <c r="AG226" s="119"/>
      <c r="AH226" s="120"/>
      <c r="AI226" s="119"/>
      <c r="AJ226" s="110"/>
      <c r="AK226" s="120"/>
      <c r="AL226" s="119"/>
      <c r="AM226" s="119"/>
      <c r="AN226" s="110"/>
      <c r="AO226" s="49"/>
      <c r="AP226" s="49"/>
    </row>
    <row r="227">
      <c r="A227" s="16" t="s">
        <v>107</v>
      </c>
      <c r="B227" s="17"/>
      <c r="C227" s="17"/>
      <c r="D227" s="17"/>
      <c r="E227" s="17"/>
      <c r="F227" s="17"/>
      <c r="G227" s="18"/>
      <c r="H227" s="152"/>
      <c r="I227" s="167"/>
      <c r="J227" s="167"/>
      <c r="K227" s="167"/>
      <c r="L227" s="167"/>
      <c r="M227" s="167"/>
      <c r="N227" s="167"/>
      <c r="O227" s="167"/>
      <c r="P227" s="167"/>
      <c r="Q227" s="167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5"/>
      <c r="AM227" s="135"/>
      <c r="AN227" s="135"/>
      <c r="AO227" s="52"/>
      <c r="AP227" s="52"/>
    </row>
    <row r="228">
      <c r="A228" s="24" t="s">
        <v>108</v>
      </c>
      <c r="B228" s="17"/>
      <c r="C228" s="17"/>
      <c r="D228" s="18"/>
      <c r="E228" s="106">
        <v>0.1</v>
      </c>
      <c r="F228" s="106" t="s">
        <v>21</v>
      </c>
      <c r="G228" s="160">
        <v>72.0</v>
      </c>
      <c r="H228" s="107" t="s">
        <v>22</v>
      </c>
      <c r="I228" s="108"/>
      <c r="J228" s="108"/>
      <c r="K228" s="108"/>
      <c r="L228" s="108"/>
      <c r="M228" s="108"/>
      <c r="N228" s="108"/>
      <c r="O228" s="108"/>
      <c r="P228" s="108"/>
      <c r="Q228" s="108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2"/>
      <c r="AM228" s="112"/>
      <c r="AN228" s="113">
        <f>G228+SUM(I228:AL228)-SUM(I229:AL229)</f>
        <v>72</v>
      </c>
      <c r="AO228" s="53">
        <f>ROUNDDOWN((AN228/E228)/$H$4,1)</f>
        <v>24</v>
      </c>
      <c r="AP228" s="53"/>
    </row>
    <row r="229">
      <c r="A229" s="31"/>
      <c r="B229" s="17"/>
      <c r="C229" s="17"/>
      <c r="D229" s="17"/>
      <c r="E229" s="17"/>
      <c r="F229" s="17"/>
      <c r="G229" s="112"/>
      <c r="H229" s="107" t="s">
        <v>23</v>
      </c>
      <c r="I229" s="108"/>
      <c r="J229" s="108"/>
      <c r="K229" s="108"/>
      <c r="L229" s="108"/>
      <c r="M229" s="108"/>
      <c r="N229" s="108"/>
      <c r="O229" s="108"/>
      <c r="P229" s="108"/>
      <c r="Q229" s="108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2"/>
      <c r="AM229" s="112"/>
      <c r="AN229" s="32"/>
    </row>
    <row r="230">
      <c r="A230" s="162"/>
      <c r="B230" s="162"/>
      <c r="C230" s="162"/>
      <c r="D230" s="162"/>
      <c r="E230" s="162"/>
      <c r="F230" s="162"/>
      <c r="G230" s="163"/>
      <c r="H230" s="151"/>
      <c r="I230" s="165"/>
      <c r="J230" s="165"/>
      <c r="K230" s="165"/>
      <c r="L230" s="165"/>
      <c r="M230" s="165"/>
      <c r="N230" s="165"/>
      <c r="O230" s="166"/>
      <c r="P230" s="165"/>
      <c r="Q230" s="165"/>
      <c r="R230" s="119"/>
      <c r="S230" s="119"/>
      <c r="T230" s="119"/>
      <c r="U230" s="119"/>
      <c r="V230" s="110"/>
      <c r="W230" s="119"/>
      <c r="X230" s="119"/>
      <c r="Y230" s="119"/>
      <c r="Z230" s="119"/>
      <c r="AA230" s="119"/>
      <c r="AB230" s="119"/>
      <c r="AC230" s="110"/>
      <c r="AD230" s="119"/>
      <c r="AE230" s="119"/>
      <c r="AF230" s="119"/>
      <c r="AG230" s="119"/>
      <c r="AH230" s="119"/>
      <c r="AI230" s="119"/>
      <c r="AJ230" s="110"/>
      <c r="AK230" s="119"/>
      <c r="AL230" s="119"/>
      <c r="AM230" s="119"/>
      <c r="AN230" s="110"/>
      <c r="AO230" s="49"/>
      <c r="AP230" s="49"/>
    </row>
    <row r="231">
      <c r="A231" s="16" t="s">
        <v>109</v>
      </c>
      <c r="B231" s="17"/>
      <c r="C231" s="17"/>
      <c r="D231" s="17"/>
      <c r="E231" s="17"/>
      <c r="F231" s="17"/>
      <c r="G231" s="18"/>
      <c r="H231" s="152"/>
      <c r="I231" s="167"/>
      <c r="J231" s="167"/>
      <c r="K231" s="167"/>
      <c r="L231" s="167"/>
      <c r="M231" s="167"/>
      <c r="N231" s="167"/>
      <c r="O231" s="167"/>
      <c r="P231" s="167"/>
      <c r="Q231" s="167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5"/>
      <c r="AM231" s="135"/>
      <c r="AN231" s="135"/>
      <c r="AO231" s="52"/>
      <c r="AP231" s="52"/>
    </row>
    <row r="232">
      <c r="A232" s="24" t="s">
        <v>110</v>
      </c>
      <c r="B232" s="17"/>
      <c r="C232" s="17"/>
      <c r="D232" s="18"/>
      <c r="E232" s="106">
        <v>0.3</v>
      </c>
      <c r="F232" s="106" t="s">
        <v>21</v>
      </c>
      <c r="G232" s="160">
        <v>284.0</v>
      </c>
      <c r="H232" s="107" t="s">
        <v>22</v>
      </c>
      <c r="I232" s="108"/>
      <c r="J232" s="108"/>
      <c r="K232" s="108"/>
      <c r="L232" s="108"/>
      <c r="M232" s="108"/>
      <c r="N232" s="108"/>
      <c r="O232" s="109"/>
      <c r="P232" s="108"/>
      <c r="Q232" s="108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2"/>
      <c r="AM232" s="112"/>
      <c r="AN232" s="113">
        <f>G232+SUM(I232:AL232)-SUM(I233:AL233)</f>
        <v>234</v>
      </c>
      <c r="AO232" s="53">
        <f>ROUNDDOWN((AN232/E232)/$H$4,1)</f>
        <v>26</v>
      </c>
      <c r="AP232" s="53">
        <f>$M$4+AO232</f>
        <v>900</v>
      </c>
    </row>
    <row r="233">
      <c r="A233" s="31"/>
      <c r="B233" s="17"/>
      <c r="C233" s="17"/>
      <c r="D233" s="17"/>
      <c r="E233" s="17"/>
      <c r="F233" s="18"/>
      <c r="G233" s="112"/>
      <c r="H233" s="107" t="s">
        <v>23</v>
      </c>
      <c r="I233" s="108"/>
      <c r="J233" s="108"/>
      <c r="K233" s="109">
        <v>25.0</v>
      </c>
      <c r="L233" s="108"/>
      <c r="M233" s="108"/>
      <c r="N233" s="108"/>
      <c r="O233" s="108"/>
      <c r="P233" s="108"/>
      <c r="Q233" s="108"/>
      <c r="R233" s="110"/>
      <c r="S233" s="110"/>
      <c r="T233" s="110"/>
      <c r="U233" s="110"/>
      <c r="V233" s="111"/>
      <c r="W233" s="110"/>
      <c r="X233" s="110"/>
      <c r="Y233" s="110"/>
      <c r="Z233" s="110"/>
      <c r="AA233" s="110"/>
      <c r="AB233" s="111"/>
      <c r="AC233" s="110"/>
      <c r="AD233" s="110"/>
      <c r="AE233" s="110"/>
      <c r="AF233" s="111">
        <v>25.0</v>
      </c>
      <c r="AG233" s="111"/>
      <c r="AH233" s="110"/>
      <c r="AI233" s="112"/>
      <c r="AJ233" s="110"/>
      <c r="AK233" s="110"/>
      <c r="AL233" s="112"/>
      <c r="AM233" s="112"/>
      <c r="AN233" s="32"/>
    </row>
    <row r="234">
      <c r="A234" s="33"/>
      <c r="B234" s="33"/>
      <c r="C234" s="33"/>
      <c r="D234" s="33"/>
      <c r="E234" s="106"/>
      <c r="F234" s="106"/>
      <c r="G234" s="160"/>
      <c r="H234" s="107"/>
      <c r="I234" s="117"/>
      <c r="J234" s="117"/>
      <c r="K234" s="118"/>
      <c r="L234" s="117"/>
      <c r="M234" s="117"/>
      <c r="N234" s="117"/>
      <c r="O234" s="114"/>
      <c r="P234" s="117"/>
      <c r="Q234" s="117"/>
      <c r="R234" s="119"/>
      <c r="S234" s="119"/>
      <c r="T234" s="119"/>
      <c r="U234" s="119"/>
      <c r="V234" s="110"/>
      <c r="W234" s="119"/>
      <c r="X234" s="119"/>
      <c r="Y234" s="119"/>
      <c r="Z234" s="119"/>
      <c r="AA234" s="119"/>
      <c r="AB234" s="119"/>
      <c r="AC234" s="110"/>
      <c r="AD234" s="119"/>
      <c r="AE234" s="119"/>
      <c r="AF234" s="120"/>
      <c r="AG234" s="119"/>
      <c r="AH234" s="119"/>
      <c r="AI234" s="119"/>
      <c r="AJ234" s="110"/>
      <c r="AK234" s="119"/>
      <c r="AL234" s="119"/>
      <c r="AM234" s="119"/>
      <c r="AN234" s="122"/>
      <c r="AO234" s="53"/>
      <c r="AP234" s="53"/>
    </row>
    <row r="235">
      <c r="A235" s="24" t="s">
        <v>111</v>
      </c>
      <c r="B235" s="17"/>
      <c r="C235" s="17"/>
      <c r="D235" s="18"/>
      <c r="E235" s="106">
        <v>3.0</v>
      </c>
      <c r="F235" s="106" t="s">
        <v>21</v>
      </c>
      <c r="G235" s="160">
        <v>3670.0</v>
      </c>
      <c r="H235" s="107" t="s">
        <v>22</v>
      </c>
      <c r="I235" s="108"/>
      <c r="J235" s="108"/>
      <c r="K235" s="108"/>
      <c r="L235" s="108"/>
      <c r="M235" s="108"/>
      <c r="N235" s="108"/>
      <c r="O235" s="108"/>
      <c r="P235" s="108"/>
      <c r="Q235" s="108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2"/>
      <c r="AM235" s="112"/>
      <c r="AN235" s="113">
        <f>G235+SUM(I235:AL235)-SUM(I236:AL236)</f>
        <v>1795</v>
      </c>
      <c r="AO235" s="53">
        <f>ROUNDDOWN((AN235/E235)/$H$4,1)</f>
        <v>19.9</v>
      </c>
      <c r="AP235" s="53">
        <f>$M$4+AO235</f>
        <v>893.9</v>
      </c>
    </row>
    <row r="236">
      <c r="A236" s="31"/>
      <c r="B236" s="17"/>
      <c r="C236" s="17"/>
      <c r="D236" s="17"/>
      <c r="E236" s="17"/>
      <c r="F236" s="18"/>
      <c r="G236" s="112"/>
      <c r="H236" s="107" t="s">
        <v>23</v>
      </c>
      <c r="I236" s="109">
        <v>75.0</v>
      </c>
      <c r="J236" s="109">
        <v>75.0</v>
      </c>
      <c r="K236" s="109">
        <v>75.0</v>
      </c>
      <c r="L236" s="109">
        <v>75.0</v>
      </c>
      <c r="M236" s="109">
        <v>100.0</v>
      </c>
      <c r="N236" s="109">
        <v>75.0</v>
      </c>
      <c r="O236" s="109"/>
      <c r="P236" s="109">
        <v>75.0</v>
      </c>
      <c r="Q236" s="109">
        <v>75.0</v>
      </c>
      <c r="R236" s="111">
        <v>75.0</v>
      </c>
      <c r="S236" s="111">
        <v>75.0</v>
      </c>
      <c r="T236" s="111">
        <v>75.0</v>
      </c>
      <c r="U236" s="111">
        <v>75.0</v>
      </c>
      <c r="V236" s="111"/>
      <c r="W236" s="111">
        <v>75.0</v>
      </c>
      <c r="X236" s="111">
        <v>75.0</v>
      </c>
      <c r="Y236" s="111">
        <v>75.0</v>
      </c>
      <c r="Z236" s="111">
        <v>75.0</v>
      </c>
      <c r="AA236" s="111">
        <v>75.0</v>
      </c>
      <c r="AB236" s="111">
        <v>75.0</v>
      </c>
      <c r="AC236" s="111"/>
      <c r="AD236" s="111"/>
      <c r="AE236" s="111">
        <v>75.0</v>
      </c>
      <c r="AF236" s="111">
        <f>100+50</f>
        <v>150</v>
      </c>
      <c r="AG236" s="111">
        <v>50.0</v>
      </c>
      <c r="AH236" s="111"/>
      <c r="AI236" s="111">
        <v>75.0</v>
      </c>
      <c r="AJ236" s="111"/>
      <c r="AK236" s="111">
        <v>75.0</v>
      </c>
      <c r="AL236" s="125">
        <v>75.0</v>
      </c>
      <c r="AM236" s="125">
        <v>75.0</v>
      </c>
      <c r="AN236" s="32"/>
    </row>
    <row r="237">
      <c r="A237" s="33"/>
      <c r="B237" s="33"/>
      <c r="C237" s="33"/>
      <c r="D237" s="33"/>
      <c r="E237" s="106"/>
      <c r="F237" s="106"/>
      <c r="G237" s="160"/>
      <c r="H237" s="107"/>
      <c r="I237" s="118"/>
      <c r="J237" s="118"/>
      <c r="K237" s="118"/>
      <c r="L237" s="118"/>
      <c r="M237" s="118"/>
      <c r="N237" s="118"/>
      <c r="O237" s="114"/>
      <c r="P237" s="118"/>
      <c r="Q237" s="118"/>
      <c r="R237" s="120"/>
      <c r="S237" s="120"/>
      <c r="T237" s="120"/>
      <c r="U237" s="120"/>
      <c r="V237" s="111"/>
      <c r="W237" s="120"/>
      <c r="X237" s="120"/>
      <c r="Y237" s="120"/>
      <c r="Z237" s="120"/>
      <c r="AA237" s="120"/>
      <c r="AB237" s="120"/>
      <c r="AC237" s="110"/>
      <c r="AD237" s="119"/>
      <c r="AE237" s="120"/>
      <c r="AF237" s="120"/>
      <c r="AG237" s="120"/>
      <c r="AH237" s="119"/>
      <c r="AI237" s="120"/>
      <c r="AJ237" s="110"/>
      <c r="AK237" s="120"/>
      <c r="AL237" s="120"/>
      <c r="AM237" s="120"/>
      <c r="AN237" s="122"/>
      <c r="AO237" s="53"/>
      <c r="AP237" s="53"/>
    </row>
    <row r="238">
      <c r="A238" s="24" t="s">
        <v>112</v>
      </c>
      <c r="B238" s="17"/>
      <c r="C238" s="17"/>
      <c r="D238" s="18"/>
      <c r="E238" s="106">
        <v>1.88</v>
      </c>
      <c r="F238" s="106" t="s">
        <v>21</v>
      </c>
      <c r="G238" s="160">
        <v>1665.0</v>
      </c>
      <c r="H238" s="107" t="s">
        <v>22</v>
      </c>
      <c r="I238" s="108"/>
      <c r="J238" s="108"/>
      <c r="K238" s="108"/>
      <c r="L238" s="108"/>
      <c r="M238" s="108"/>
      <c r="N238" s="108"/>
      <c r="O238" s="114"/>
      <c r="P238" s="108"/>
      <c r="Q238" s="108"/>
      <c r="R238" s="110"/>
      <c r="S238" s="110"/>
      <c r="T238" s="110"/>
      <c r="U238" s="110"/>
      <c r="V238" s="111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2"/>
      <c r="AM238" s="112"/>
      <c r="AN238" s="113">
        <f>G238+SUM(I238:AL238)-SUM(I239:AL239)</f>
        <v>727</v>
      </c>
      <c r="AO238" s="53">
        <f>ROUNDDOWN((AN238/E238)/$H$4,1)</f>
        <v>12.8</v>
      </c>
      <c r="AP238" s="53">
        <f>$M$4+AO238</f>
        <v>886.8</v>
      </c>
    </row>
    <row r="239">
      <c r="A239" s="136"/>
      <c r="B239" s="137"/>
      <c r="C239" s="137"/>
      <c r="D239" s="137"/>
      <c r="E239" s="138"/>
      <c r="F239" s="138"/>
      <c r="G239" s="112"/>
      <c r="H239" s="107" t="s">
        <v>23</v>
      </c>
      <c r="I239" s="109">
        <v>38.0</v>
      </c>
      <c r="J239" s="109">
        <v>38.0</v>
      </c>
      <c r="K239" s="109">
        <v>50.0</v>
      </c>
      <c r="L239" s="109">
        <v>50.0</v>
      </c>
      <c r="M239" s="109">
        <v>40.0</v>
      </c>
      <c r="N239" s="109">
        <v>38.0</v>
      </c>
      <c r="O239" s="107"/>
      <c r="P239" s="109">
        <v>38.0</v>
      </c>
      <c r="Q239" s="109">
        <v>38.0</v>
      </c>
      <c r="R239" s="111">
        <v>38.0</v>
      </c>
      <c r="S239" s="111">
        <v>38.0</v>
      </c>
      <c r="T239" s="111">
        <v>38.0</v>
      </c>
      <c r="U239" s="111">
        <v>38.0</v>
      </c>
      <c r="V239" s="111"/>
      <c r="W239" s="111">
        <v>38.0</v>
      </c>
      <c r="X239" s="111">
        <v>38.0</v>
      </c>
      <c r="Y239" s="111">
        <v>38.0</v>
      </c>
      <c r="Z239" s="111">
        <v>38.0</v>
      </c>
      <c r="AA239" s="111">
        <v>38.0</v>
      </c>
      <c r="AB239" s="111">
        <v>38.0</v>
      </c>
      <c r="AC239" s="111"/>
      <c r="AD239" s="111"/>
      <c r="AE239" s="111">
        <v>38.0</v>
      </c>
      <c r="AF239" s="111">
        <v>38.0</v>
      </c>
      <c r="AG239" s="111">
        <v>38.0</v>
      </c>
      <c r="AH239" s="111"/>
      <c r="AI239" s="111">
        <v>38.0</v>
      </c>
      <c r="AJ239" s="111"/>
      <c r="AK239" s="111">
        <v>38.0</v>
      </c>
      <c r="AL239" s="125">
        <v>38.0</v>
      </c>
      <c r="AM239" s="125">
        <v>38.0</v>
      </c>
      <c r="AN239" s="32"/>
    </row>
    <row r="240">
      <c r="A240" s="168"/>
      <c r="B240" s="169"/>
      <c r="C240" s="169"/>
      <c r="D240" s="169"/>
      <c r="E240" s="169"/>
      <c r="F240" s="169"/>
      <c r="G240" s="109"/>
      <c r="H240" s="108"/>
      <c r="I240" s="118"/>
      <c r="J240" s="118"/>
      <c r="K240" s="118"/>
      <c r="L240" s="118"/>
      <c r="M240" s="118"/>
      <c r="N240" s="118"/>
      <c r="O240" s="114"/>
      <c r="P240" s="118"/>
      <c r="Q240" s="118"/>
      <c r="R240" s="120"/>
      <c r="S240" s="120"/>
      <c r="T240" s="120"/>
      <c r="U240" s="120"/>
      <c r="V240" s="110"/>
      <c r="W240" s="120"/>
      <c r="X240" s="120"/>
      <c r="Y240" s="120"/>
      <c r="Z240" s="120"/>
      <c r="AA240" s="120"/>
      <c r="AB240" s="120"/>
      <c r="AC240" s="110"/>
      <c r="AD240" s="119"/>
      <c r="AE240" s="120"/>
      <c r="AF240" s="120"/>
      <c r="AG240" s="120"/>
      <c r="AH240" s="119"/>
      <c r="AI240" s="120"/>
      <c r="AJ240" s="110"/>
      <c r="AK240" s="120"/>
      <c r="AL240" s="120"/>
      <c r="AM240" s="120"/>
      <c r="AN240" s="110"/>
      <c r="AO240" s="49"/>
      <c r="AP240" s="49"/>
    </row>
    <row r="241">
      <c r="A241" s="73" t="s">
        <v>113</v>
      </c>
      <c r="B241" s="17"/>
      <c r="C241" s="17"/>
      <c r="D241" s="17"/>
      <c r="E241" s="17"/>
      <c r="F241" s="17"/>
      <c r="G241" s="18"/>
      <c r="H241" s="153"/>
      <c r="I241" s="154"/>
      <c r="J241" s="154"/>
      <c r="K241" s="154"/>
      <c r="L241" s="154"/>
      <c r="M241" s="154"/>
      <c r="N241" s="154"/>
      <c r="O241" s="154"/>
      <c r="P241" s="154"/>
      <c r="Q241" s="15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5"/>
      <c r="AM241" s="135"/>
      <c r="AN241" s="135"/>
      <c r="AO241" s="52"/>
      <c r="AP241" s="52"/>
    </row>
    <row r="242">
      <c r="A242" s="24" t="s">
        <v>114</v>
      </c>
      <c r="B242" s="17"/>
      <c r="C242" s="17"/>
      <c r="D242" s="18"/>
      <c r="E242" s="106">
        <v>0.03</v>
      </c>
      <c r="F242" s="106" t="s">
        <v>21</v>
      </c>
      <c r="G242" s="160">
        <v>29.0</v>
      </c>
      <c r="H242" s="107" t="s">
        <v>22</v>
      </c>
      <c r="I242" s="108"/>
      <c r="J242" s="108"/>
      <c r="K242" s="108"/>
      <c r="L242" s="109"/>
      <c r="M242" s="108"/>
      <c r="N242" s="108"/>
      <c r="O242" s="114"/>
      <c r="P242" s="108"/>
      <c r="Q242" s="108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2"/>
      <c r="AM242" s="112"/>
      <c r="AN242" s="113">
        <f>G242+SUM(I242:AL242)-SUM(I243:AL243)</f>
        <v>29</v>
      </c>
      <c r="AO242" s="53">
        <f>ROUNDDOWN((AN242/E242)/$H$4,1)</f>
        <v>32.2</v>
      </c>
      <c r="AP242" s="53">
        <f>$M$4+AO242</f>
        <v>906.2</v>
      </c>
    </row>
    <row r="243">
      <c r="A243" s="31"/>
      <c r="B243" s="17"/>
      <c r="C243" s="17"/>
      <c r="D243" s="17"/>
      <c r="E243" s="17"/>
      <c r="F243" s="18"/>
      <c r="G243" s="112"/>
      <c r="H243" s="107" t="s">
        <v>23</v>
      </c>
      <c r="I243" s="108"/>
      <c r="J243" s="108"/>
      <c r="K243" s="108"/>
      <c r="L243" s="108"/>
      <c r="M243" s="108"/>
      <c r="N243" s="108"/>
      <c r="O243" s="114"/>
      <c r="P243" s="108"/>
      <c r="Q243" s="108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2"/>
      <c r="AM243" s="112"/>
      <c r="AN243" s="32"/>
    </row>
    <row r="244">
      <c r="A244" s="33"/>
      <c r="B244" s="33"/>
      <c r="C244" s="33"/>
      <c r="D244" s="33"/>
      <c r="E244" s="106"/>
      <c r="F244" s="106"/>
      <c r="G244" s="160"/>
      <c r="H244" s="107"/>
      <c r="I244" s="117"/>
      <c r="J244" s="117"/>
      <c r="K244" s="117"/>
      <c r="L244" s="116"/>
      <c r="M244" s="117"/>
      <c r="N244" s="117"/>
      <c r="O244" s="114"/>
      <c r="P244" s="117"/>
      <c r="Q244" s="117"/>
      <c r="R244" s="119"/>
      <c r="S244" s="119"/>
      <c r="T244" s="119"/>
      <c r="U244" s="119"/>
      <c r="V244" s="110"/>
      <c r="W244" s="119"/>
      <c r="X244" s="119"/>
      <c r="Y244" s="119"/>
      <c r="Z244" s="119"/>
      <c r="AA244" s="119"/>
      <c r="AB244" s="119"/>
      <c r="AC244" s="110"/>
      <c r="AD244" s="119"/>
      <c r="AE244" s="119"/>
      <c r="AF244" s="119"/>
      <c r="AG244" s="119"/>
      <c r="AH244" s="119"/>
      <c r="AI244" s="119"/>
      <c r="AJ244" s="110"/>
      <c r="AK244" s="119"/>
      <c r="AL244" s="119"/>
      <c r="AM244" s="119"/>
      <c r="AN244" s="122"/>
      <c r="AO244" s="53"/>
      <c r="AP244" s="53"/>
    </row>
    <row r="245">
      <c r="A245" s="24" t="s">
        <v>115</v>
      </c>
      <c r="B245" s="17"/>
      <c r="C245" s="17"/>
      <c r="D245" s="18"/>
      <c r="E245" s="106">
        <v>0.04</v>
      </c>
      <c r="F245" s="106" t="s">
        <v>21</v>
      </c>
      <c r="G245" s="160">
        <v>13.0</v>
      </c>
      <c r="H245" s="107" t="s">
        <v>22</v>
      </c>
      <c r="I245" s="108"/>
      <c r="J245" s="108"/>
      <c r="K245" s="108"/>
      <c r="L245" s="109"/>
      <c r="M245" s="108"/>
      <c r="N245" s="108"/>
      <c r="O245" s="114"/>
      <c r="P245" s="108"/>
      <c r="Q245" s="108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2"/>
      <c r="AH245" s="110"/>
      <c r="AI245" s="112"/>
      <c r="AJ245" s="110"/>
      <c r="AK245" s="110"/>
      <c r="AL245" s="112"/>
      <c r="AM245" s="112"/>
      <c r="AN245" s="113">
        <f>G245+SUM(I245:AL245)-SUM(I246:AL246)</f>
        <v>12</v>
      </c>
      <c r="AO245" s="53">
        <f>ROUNDDOWN((AN245/E245)/$H$4,1)</f>
        <v>10</v>
      </c>
      <c r="AP245" s="53">
        <f>$M$4+AO245</f>
        <v>884</v>
      </c>
    </row>
    <row r="246">
      <c r="A246" s="31"/>
      <c r="B246" s="17"/>
      <c r="C246" s="17"/>
      <c r="D246" s="17"/>
      <c r="E246" s="17"/>
      <c r="F246" s="18"/>
      <c r="G246" s="112"/>
      <c r="H246" s="107" t="s">
        <v>23</v>
      </c>
      <c r="I246" s="108"/>
      <c r="J246" s="108"/>
      <c r="K246" s="108"/>
      <c r="L246" s="108"/>
      <c r="M246" s="108"/>
      <c r="N246" s="108"/>
      <c r="O246" s="114"/>
      <c r="P246" s="108"/>
      <c r="Q246" s="108"/>
      <c r="R246" s="110"/>
      <c r="S246" s="110"/>
      <c r="T246" s="110"/>
      <c r="U246" s="110"/>
      <c r="V246" s="110"/>
      <c r="W246" s="110"/>
      <c r="X246" s="110"/>
      <c r="Y246" s="110"/>
      <c r="Z246" s="111">
        <v>1.0</v>
      </c>
      <c r="AA246" s="111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2"/>
      <c r="AM246" s="112"/>
      <c r="AN246" s="32"/>
    </row>
    <row r="247">
      <c r="A247" s="33"/>
      <c r="B247" s="33"/>
      <c r="C247" s="33"/>
      <c r="D247" s="33"/>
      <c r="E247" s="106"/>
      <c r="F247" s="106"/>
      <c r="G247" s="160"/>
      <c r="H247" s="107"/>
      <c r="I247" s="117"/>
      <c r="J247" s="117"/>
      <c r="K247" s="117"/>
      <c r="L247" s="117"/>
      <c r="M247" s="117"/>
      <c r="N247" s="117"/>
      <c r="O247" s="114"/>
      <c r="P247" s="117"/>
      <c r="Q247" s="117"/>
      <c r="R247" s="119"/>
      <c r="S247" s="119"/>
      <c r="T247" s="119"/>
      <c r="U247" s="119"/>
      <c r="V247" s="110"/>
      <c r="W247" s="119"/>
      <c r="X247" s="119"/>
      <c r="Y247" s="119"/>
      <c r="Z247" s="120"/>
      <c r="AA247" s="119"/>
      <c r="AB247" s="119"/>
      <c r="AC247" s="110"/>
      <c r="AD247" s="119"/>
      <c r="AE247" s="119"/>
      <c r="AF247" s="119"/>
      <c r="AG247" s="119"/>
      <c r="AH247" s="119"/>
      <c r="AI247" s="119"/>
      <c r="AJ247" s="110"/>
      <c r="AK247" s="119"/>
      <c r="AL247" s="119"/>
      <c r="AM247" s="119"/>
      <c r="AN247" s="122"/>
      <c r="AO247" s="53"/>
      <c r="AP247" s="81"/>
    </row>
    <row r="248">
      <c r="A248" s="24" t="s">
        <v>116</v>
      </c>
      <c r="B248" s="17"/>
      <c r="C248" s="17"/>
      <c r="D248" s="18"/>
      <c r="E248" s="106">
        <v>0.33</v>
      </c>
      <c r="F248" s="106" t="s">
        <v>21</v>
      </c>
      <c r="G248" s="160">
        <v>254.0</v>
      </c>
      <c r="H248" s="107" t="s">
        <v>22</v>
      </c>
      <c r="I248" s="108"/>
      <c r="J248" s="108"/>
      <c r="K248" s="108"/>
      <c r="L248" s="108"/>
      <c r="M248" s="108"/>
      <c r="N248" s="108"/>
      <c r="O248" s="114"/>
      <c r="P248" s="108"/>
      <c r="Q248" s="108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2"/>
      <c r="AM248" s="112"/>
      <c r="AN248" s="113">
        <f>G248+SUM(I248:AL248)-SUM(I249:AL249)</f>
        <v>81</v>
      </c>
      <c r="AO248" s="53">
        <f>ROUNDDOWN((AN248/E248)/$H$4,1)</f>
        <v>8.1</v>
      </c>
      <c r="AP248" s="81">
        <f>M3+AO248</f>
        <v>881.1</v>
      </c>
    </row>
    <row r="249">
      <c r="A249" s="31"/>
      <c r="B249" s="17"/>
      <c r="C249" s="17"/>
      <c r="D249" s="17"/>
      <c r="E249" s="17"/>
      <c r="F249" s="18"/>
      <c r="G249" s="112"/>
      <c r="H249" s="107" t="s">
        <v>23</v>
      </c>
      <c r="I249" s="109">
        <v>10.0</v>
      </c>
      <c r="J249" s="109">
        <v>8.0</v>
      </c>
      <c r="K249" s="109">
        <f>10+5</f>
        <v>15</v>
      </c>
      <c r="L249" s="109">
        <f>5+5</f>
        <v>10</v>
      </c>
      <c r="M249" s="109">
        <f>1+5</f>
        <v>6</v>
      </c>
      <c r="N249" s="109">
        <v>5.0</v>
      </c>
      <c r="O249" s="107"/>
      <c r="P249" s="109">
        <f>5+5</f>
        <v>10</v>
      </c>
      <c r="Q249" s="109">
        <v>4.0</v>
      </c>
      <c r="R249" s="111">
        <v>5.0</v>
      </c>
      <c r="S249" s="111">
        <v>5.0</v>
      </c>
      <c r="T249" s="111">
        <v>5.0</v>
      </c>
      <c r="U249" s="111"/>
      <c r="V249" s="111"/>
      <c r="W249" s="111">
        <f>5+5</f>
        <v>10</v>
      </c>
      <c r="X249" s="125">
        <v>5.0</v>
      </c>
      <c r="Y249" s="111">
        <v>5.0</v>
      </c>
      <c r="Z249" s="111">
        <v>5.0</v>
      </c>
      <c r="AA249" s="111">
        <f>5+5</f>
        <v>10</v>
      </c>
      <c r="AB249" s="111">
        <v>5.0</v>
      </c>
      <c r="AC249" s="111"/>
      <c r="AD249" s="111"/>
      <c r="AE249" s="111">
        <f>5+5</f>
        <v>10</v>
      </c>
      <c r="AF249" s="111">
        <f>1+5</f>
        <v>6</v>
      </c>
      <c r="AG249" s="111">
        <f>5+3+5</f>
        <v>13</v>
      </c>
      <c r="AH249" s="111">
        <v>5.0</v>
      </c>
      <c r="AI249" s="111"/>
      <c r="AJ249" s="111"/>
      <c r="AK249" s="111">
        <f>1+5+5+5</f>
        <v>16</v>
      </c>
      <c r="AL249" s="112"/>
      <c r="AM249" s="112"/>
      <c r="AN249" s="32"/>
    </row>
    <row r="250">
      <c r="A250" s="170"/>
      <c r="B250" s="170"/>
      <c r="C250" s="170"/>
      <c r="D250" s="170"/>
      <c r="E250" s="171"/>
      <c r="F250" s="171"/>
      <c r="G250" s="172"/>
      <c r="H250" s="107"/>
      <c r="I250" s="173"/>
      <c r="J250" s="173"/>
      <c r="K250" s="173"/>
      <c r="L250" s="173"/>
      <c r="M250" s="173"/>
      <c r="N250" s="173"/>
      <c r="O250" s="174"/>
      <c r="P250" s="173"/>
      <c r="Q250" s="173"/>
      <c r="R250" s="127"/>
      <c r="S250" s="175"/>
      <c r="T250" s="175"/>
      <c r="U250" s="176"/>
      <c r="V250" s="177"/>
      <c r="W250" s="175"/>
      <c r="X250" s="175"/>
      <c r="Y250" s="175"/>
      <c r="Z250" s="175"/>
      <c r="AA250" s="175"/>
      <c r="AB250" s="175"/>
      <c r="AC250" s="177"/>
      <c r="AD250" s="176"/>
      <c r="AE250" s="175"/>
      <c r="AF250" s="175"/>
      <c r="AG250" s="175"/>
      <c r="AH250" s="127"/>
      <c r="AI250" s="121"/>
      <c r="AJ250" s="111"/>
      <c r="AK250" s="120"/>
      <c r="AL250" s="119"/>
      <c r="AM250" s="119"/>
      <c r="AN250" s="122"/>
      <c r="AO250" s="53"/>
      <c r="AP250" s="81"/>
    </row>
    <row r="251">
      <c r="A251" s="178" t="s">
        <v>117</v>
      </c>
      <c r="B251" s="179"/>
      <c r="C251" s="179"/>
      <c r="D251" s="180"/>
      <c r="E251" s="171">
        <v>0.17</v>
      </c>
      <c r="F251" s="171" t="s">
        <v>21</v>
      </c>
      <c r="G251" s="172">
        <v>70.0</v>
      </c>
      <c r="H251" s="107" t="s">
        <v>22</v>
      </c>
      <c r="I251" s="181"/>
      <c r="J251" s="181"/>
      <c r="K251" s="181"/>
      <c r="L251" s="181"/>
      <c r="M251" s="181"/>
      <c r="N251" s="181"/>
      <c r="O251" s="174"/>
      <c r="P251" s="181"/>
      <c r="Q251" s="181"/>
      <c r="R251" s="177"/>
      <c r="S251" s="177"/>
      <c r="T251" s="17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11"/>
      <c r="AI251" s="111"/>
      <c r="AJ251" s="111"/>
      <c r="AK251" s="110"/>
      <c r="AL251" s="112"/>
      <c r="AM251" s="112"/>
      <c r="AN251" s="113">
        <f>G251+SUM(I251:AL251)-SUM(I252:AL252)</f>
        <v>33</v>
      </c>
      <c r="AO251" s="53">
        <f>ROUNDDOWN((AN251/E251)/$H$4,1)</f>
        <v>6.4</v>
      </c>
      <c r="AP251" s="81">
        <f>$M$4+AO251</f>
        <v>880.4</v>
      </c>
    </row>
    <row r="252">
      <c r="A252" s="31"/>
      <c r="B252" s="17"/>
      <c r="C252" s="17"/>
      <c r="D252" s="17"/>
      <c r="E252" s="17"/>
      <c r="F252" s="18"/>
      <c r="G252" s="182"/>
      <c r="H252" s="107" t="s">
        <v>23</v>
      </c>
      <c r="I252" s="183"/>
      <c r="J252" s="183"/>
      <c r="K252" s="183"/>
      <c r="L252" s="183"/>
      <c r="M252" s="184">
        <v>7.0</v>
      </c>
      <c r="N252" s="183"/>
      <c r="O252" s="185"/>
      <c r="P252" s="183"/>
      <c r="Q252" s="183"/>
      <c r="R252" s="186"/>
      <c r="S252" s="186"/>
      <c r="T252" s="186"/>
      <c r="U252" s="186"/>
      <c r="V252" s="186"/>
      <c r="W252" s="187">
        <v>9.0</v>
      </c>
      <c r="X252" s="187">
        <v>4.0</v>
      </c>
      <c r="Y252" s="186"/>
      <c r="Z252" s="186"/>
      <c r="AA252" s="187"/>
      <c r="AB252" s="187">
        <v>5.0</v>
      </c>
      <c r="AC252" s="187"/>
      <c r="AD252" s="187">
        <v>5.0</v>
      </c>
      <c r="AE252" s="186"/>
      <c r="AF252" s="186"/>
      <c r="AG252" s="186"/>
      <c r="AH252" s="187"/>
      <c r="AI252" s="187">
        <v>3.0</v>
      </c>
      <c r="AJ252" s="186"/>
      <c r="AK252" s="187"/>
      <c r="AL252" s="125">
        <v>4.0</v>
      </c>
      <c r="AM252" s="112"/>
      <c r="AN252" s="32"/>
    </row>
    <row r="253">
      <c r="A253" s="170"/>
      <c r="B253" s="170"/>
      <c r="C253" s="170"/>
      <c r="D253" s="170"/>
      <c r="E253" s="188"/>
      <c r="F253" s="171"/>
      <c r="G253" s="189"/>
      <c r="H253" s="107"/>
      <c r="I253" s="190"/>
      <c r="J253" s="191"/>
      <c r="K253" s="191"/>
      <c r="L253" s="191"/>
      <c r="M253" s="173"/>
      <c r="N253" s="190"/>
      <c r="O253" s="174"/>
      <c r="P253" s="191"/>
      <c r="Q253" s="191"/>
      <c r="R253" s="176"/>
      <c r="S253" s="176"/>
      <c r="T253" s="176"/>
      <c r="U253" s="192"/>
      <c r="V253" s="177"/>
      <c r="W253" s="175"/>
      <c r="X253" s="175"/>
      <c r="Y253" s="176"/>
      <c r="Z253" s="176"/>
      <c r="AA253" s="176"/>
      <c r="AB253" s="175"/>
      <c r="AC253" s="177"/>
      <c r="AD253" s="175"/>
      <c r="AE253" s="176"/>
      <c r="AF253" s="176"/>
      <c r="AG253" s="176"/>
      <c r="AH253" s="193"/>
      <c r="AI253" s="194"/>
      <c r="AJ253" s="186"/>
      <c r="AK253" s="193"/>
      <c r="AL253" s="120"/>
      <c r="AM253" s="119"/>
      <c r="AN253" s="122"/>
      <c r="AO253" s="53"/>
      <c r="AP253" s="53"/>
    </row>
    <row r="254">
      <c r="A254" s="178" t="s">
        <v>118</v>
      </c>
      <c r="B254" s="179"/>
      <c r="C254" s="179"/>
      <c r="D254" s="180"/>
      <c r="E254" s="188"/>
      <c r="F254" s="171" t="s">
        <v>21</v>
      </c>
      <c r="G254" s="189"/>
      <c r="H254" s="107" t="s">
        <v>22</v>
      </c>
      <c r="I254" s="195"/>
      <c r="J254" s="181"/>
      <c r="K254" s="195">
        <v>1200.0</v>
      </c>
      <c r="L254" s="181"/>
      <c r="M254" s="181"/>
      <c r="N254" s="195"/>
      <c r="O254" s="174"/>
      <c r="P254" s="181"/>
      <c r="Q254" s="181"/>
      <c r="R254" s="196">
        <v>1200.0</v>
      </c>
      <c r="S254" s="177"/>
      <c r="T254" s="196">
        <v>2400.0</v>
      </c>
      <c r="U254" s="196"/>
      <c r="V254" s="177"/>
      <c r="W254" s="177"/>
      <c r="X254" s="177"/>
      <c r="Y254" s="177"/>
      <c r="Z254" s="196">
        <v>1440.0</v>
      </c>
      <c r="AA254" s="177"/>
      <c r="AB254" s="177"/>
      <c r="AC254" s="177"/>
      <c r="AD254" s="177"/>
      <c r="AE254" s="196">
        <v>1440.0</v>
      </c>
      <c r="AF254" s="177"/>
      <c r="AG254" s="177"/>
      <c r="AH254" s="187"/>
      <c r="AI254" s="187"/>
      <c r="AJ254" s="186"/>
      <c r="AK254" s="187">
        <v>480.0</v>
      </c>
      <c r="AL254" s="112"/>
      <c r="AM254" s="112"/>
      <c r="AN254" s="113">
        <f>G254+SUM(I254:AL254)-SUM(I255:AL255)</f>
        <v>0</v>
      </c>
      <c r="AO254" s="53"/>
      <c r="AP254" s="53"/>
    </row>
    <row r="255">
      <c r="A255" s="31"/>
      <c r="B255" s="17"/>
      <c r="C255" s="17"/>
      <c r="D255" s="17"/>
      <c r="E255" s="17"/>
      <c r="F255" s="18"/>
      <c r="G255" s="182"/>
      <c r="H255" s="107" t="s">
        <v>23</v>
      </c>
      <c r="I255" s="184"/>
      <c r="J255" s="183"/>
      <c r="K255" s="184">
        <v>1200.0</v>
      </c>
      <c r="L255" s="183"/>
      <c r="M255" s="183"/>
      <c r="N255" s="184"/>
      <c r="O255" s="185"/>
      <c r="P255" s="183"/>
      <c r="Q255" s="183"/>
      <c r="R255" s="187">
        <v>1200.0</v>
      </c>
      <c r="S255" s="186"/>
      <c r="T255" s="187">
        <v>2400.0</v>
      </c>
      <c r="U255" s="187"/>
      <c r="V255" s="186"/>
      <c r="W255" s="186"/>
      <c r="X255" s="186"/>
      <c r="Y255" s="186"/>
      <c r="Z255" s="187">
        <v>1440.0</v>
      </c>
      <c r="AA255" s="186"/>
      <c r="AB255" s="186"/>
      <c r="AC255" s="186"/>
      <c r="AD255" s="186"/>
      <c r="AE255" s="187">
        <v>1440.0</v>
      </c>
      <c r="AF255" s="186"/>
      <c r="AG255" s="186"/>
      <c r="AH255" s="187"/>
      <c r="AI255" s="187"/>
      <c r="AJ255" s="186"/>
      <c r="AK255" s="187">
        <v>480.0</v>
      </c>
      <c r="AL255" s="112"/>
      <c r="AM255" s="112"/>
      <c r="AN255" s="32"/>
    </row>
    <row r="256">
      <c r="A256" s="170"/>
      <c r="B256" s="170"/>
      <c r="C256" s="170"/>
      <c r="D256" s="170"/>
      <c r="E256" s="188"/>
      <c r="F256" s="171"/>
      <c r="G256" s="189"/>
      <c r="H256" s="107"/>
      <c r="I256" s="191"/>
      <c r="J256" s="191"/>
      <c r="K256" s="197"/>
      <c r="L256" s="191"/>
      <c r="M256" s="191"/>
      <c r="N256" s="190"/>
      <c r="O256" s="198"/>
      <c r="P256" s="191"/>
      <c r="Q256" s="191"/>
      <c r="R256" s="175"/>
      <c r="S256" s="192"/>
      <c r="T256" s="175"/>
      <c r="U256" s="176"/>
      <c r="V256" s="196"/>
      <c r="W256" s="176"/>
      <c r="X256" s="176"/>
      <c r="Y256" s="176"/>
      <c r="Z256" s="199"/>
      <c r="AA256" s="192"/>
      <c r="AB256" s="176"/>
      <c r="AC256" s="196"/>
      <c r="AD256" s="176"/>
      <c r="AE256" s="175"/>
      <c r="AF256" s="192"/>
      <c r="AG256" s="176"/>
      <c r="AH256" s="193"/>
      <c r="AI256" s="193"/>
      <c r="AJ256" s="186"/>
      <c r="AK256" s="194"/>
      <c r="AL256" s="119"/>
      <c r="AM256" s="119"/>
      <c r="AN256" s="122"/>
      <c r="AO256" s="53"/>
      <c r="AP256" s="53"/>
    </row>
    <row r="257">
      <c r="A257" s="178" t="s">
        <v>119</v>
      </c>
      <c r="B257" s="179"/>
      <c r="C257" s="179"/>
      <c r="D257" s="180"/>
      <c r="E257" s="188"/>
      <c r="F257" s="171" t="s">
        <v>21</v>
      </c>
      <c r="G257" s="189"/>
      <c r="H257" s="107" t="s">
        <v>22</v>
      </c>
      <c r="I257" s="181"/>
      <c r="J257" s="195">
        <v>15.0</v>
      </c>
      <c r="K257" s="195">
        <v>15.0</v>
      </c>
      <c r="L257" s="195"/>
      <c r="M257" s="195">
        <v>15.0</v>
      </c>
      <c r="N257" s="195"/>
      <c r="O257" s="198"/>
      <c r="P257" s="181"/>
      <c r="Q257" s="181"/>
      <c r="R257" s="196">
        <v>15.0</v>
      </c>
      <c r="S257" s="196"/>
      <c r="T257" s="177"/>
      <c r="U257" s="196">
        <v>15.0</v>
      </c>
      <c r="V257" s="196"/>
      <c r="W257" s="196">
        <v>15.0</v>
      </c>
      <c r="X257" s="177"/>
      <c r="Y257" s="177"/>
      <c r="Z257" s="196">
        <v>15.0</v>
      </c>
      <c r="AA257" s="196"/>
      <c r="AB257" s="196">
        <v>15.0</v>
      </c>
      <c r="AC257" s="196"/>
      <c r="AD257" s="177"/>
      <c r="AE257" s="177"/>
      <c r="AF257" s="196"/>
      <c r="AG257" s="196">
        <v>15.0</v>
      </c>
      <c r="AH257" s="187"/>
      <c r="AI257" s="187">
        <v>15.0</v>
      </c>
      <c r="AJ257" s="186"/>
      <c r="AK257" s="187">
        <v>15.0</v>
      </c>
      <c r="AL257" s="112"/>
      <c r="AM257" s="112"/>
      <c r="AN257" s="113">
        <f>G257+SUM(I257:AL257)-SUM(I258:AL258)</f>
        <v>0</v>
      </c>
      <c r="AO257" s="53"/>
      <c r="AP257" s="53"/>
    </row>
    <row r="258">
      <c r="A258" s="31"/>
      <c r="B258" s="17"/>
      <c r="C258" s="17"/>
      <c r="D258" s="17"/>
      <c r="E258" s="17"/>
      <c r="F258" s="18"/>
      <c r="G258" s="182"/>
      <c r="H258" s="107" t="s">
        <v>23</v>
      </c>
      <c r="I258" s="183"/>
      <c r="J258" s="184">
        <v>15.0</v>
      </c>
      <c r="K258" s="184">
        <v>15.0</v>
      </c>
      <c r="L258" s="184"/>
      <c r="M258" s="184">
        <v>15.0</v>
      </c>
      <c r="N258" s="184"/>
      <c r="O258" s="200"/>
      <c r="P258" s="183"/>
      <c r="Q258" s="183"/>
      <c r="R258" s="187">
        <v>15.0</v>
      </c>
      <c r="S258" s="187"/>
      <c r="T258" s="186"/>
      <c r="U258" s="187">
        <v>15.0</v>
      </c>
      <c r="V258" s="187"/>
      <c r="W258" s="187">
        <v>15.0</v>
      </c>
      <c r="X258" s="186"/>
      <c r="Y258" s="186"/>
      <c r="Z258" s="187">
        <v>15.0</v>
      </c>
      <c r="AA258" s="187"/>
      <c r="AB258" s="187">
        <v>15.0</v>
      </c>
      <c r="AC258" s="187"/>
      <c r="AD258" s="186"/>
      <c r="AE258" s="186"/>
      <c r="AF258" s="187"/>
      <c r="AG258" s="187">
        <v>15.0</v>
      </c>
      <c r="AH258" s="187"/>
      <c r="AI258" s="187">
        <v>15.0</v>
      </c>
      <c r="AJ258" s="186"/>
      <c r="AK258" s="187">
        <v>15.0</v>
      </c>
      <c r="AL258" s="112"/>
      <c r="AM258" s="112"/>
      <c r="AN258" s="32"/>
    </row>
    <row r="259">
      <c r="A259" s="170"/>
      <c r="B259" s="170"/>
      <c r="C259" s="170"/>
      <c r="D259" s="170"/>
      <c r="E259" s="188"/>
      <c r="F259" s="171"/>
      <c r="G259" s="189"/>
      <c r="H259" s="107"/>
      <c r="I259" s="191"/>
      <c r="J259" s="173"/>
      <c r="K259" s="197"/>
      <c r="L259" s="191"/>
      <c r="M259" s="173"/>
      <c r="N259" s="190"/>
      <c r="O259" s="198"/>
      <c r="P259" s="190"/>
      <c r="Q259" s="191"/>
      <c r="R259" s="199"/>
      <c r="S259" s="192"/>
      <c r="T259" s="176"/>
      <c r="U259" s="199" t="s">
        <v>0</v>
      </c>
      <c r="V259" s="196"/>
      <c r="W259" s="199"/>
      <c r="X259" s="176"/>
      <c r="Y259" s="176"/>
      <c r="Z259" s="199"/>
      <c r="AA259" s="176"/>
      <c r="AB259" s="175"/>
      <c r="AC259" s="196"/>
      <c r="AD259" s="192"/>
      <c r="AE259" s="176"/>
      <c r="AF259" s="192"/>
      <c r="AG259" s="199"/>
      <c r="AH259" s="193"/>
      <c r="AI259" s="194"/>
      <c r="AJ259" s="186"/>
      <c r="AK259" s="194"/>
      <c r="AL259" s="119"/>
      <c r="AM259" s="119"/>
      <c r="AN259" s="122"/>
      <c r="AO259" s="53"/>
      <c r="AP259" s="53"/>
    </row>
    <row r="260">
      <c r="A260" s="178" t="s">
        <v>120</v>
      </c>
      <c r="B260" s="179"/>
      <c r="C260" s="179"/>
      <c r="D260" s="180"/>
      <c r="E260" s="188"/>
      <c r="F260" s="171" t="s">
        <v>21</v>
      </c>
      <c r="G260" s="189"/>
      <c r="H260" s="107" t="s">
        <v>22</v>
      </c>
      <c r="I260" s="195">
        <v>15.0</v>
      </c>
      <c r="J260" s="181"/>
      <c r="K260" s="195">
        <v>30.0</v>
      </c>
      <c r="L260" s="195">
        <v>30.0</v>
      </c>
      <c r="M260" s="195"/>
      <c r="N260" s="195">
        <v>30.0</v>
      </c>
      <c r="O260" s="198"/>
      <c r="P260" s="195">
        <v>30.0</v>
      </c>
      <c r="Q260" s="195">
        <f t="shared" ref="Q260:Q261" si="70">30+30</f>
        <v>60</v>
      </c>
      <c r="R260" s="196">
        <v>30.0</v>
      </c>
      <c r="S260" s="196"/>
      <c r="T260" s="196">
        <v>30.0</v>
      </c>
      <c r="U260" s="196">
        <v>30.0</v>
      </c>
      <c r="V260" s="196"/>
      <c r="W260" s="196">
        <v>30.0</v>
      </c>
      <c r="X260" s="196">
        <v>30.0</v>
      </c>
      <c r="Y260" s="196">
        <v>30.0</v>
      </c>
      <c r="Z260" s="196">
        <v>30.0</v>
      </c>
      <c r="AA260" s="196">
        <v>30.0</v>
      </c>
      <c r="AB260" s="196">
        <v>30.0</v>
      </c>
      <c r="AC260" s="196"/>
      <c r="AD260" s="196"/>
      <c r="AE260" s="196">
        <v>30.0</v>
      </c>
      <c r="AF260" s="196">
        <v>30.0</v>
      </c>
      <c r="AG260" s="196">
        <f t="shared" ref="AG260:AG261" si="71">30+30</f>
        <v>60</v>
      </c>
      <c r="AH260" s="187"/>
      <c r="AI260" s="187">
        <v>30.0</v>
      </c>
      <c r="AJ260" s="186"/>
      <c r="AK260" s="187">
        <v>30.0</v>
      </c>
      <c r="AL260" s="125">
        <v>30.0</v>
      </c>
      <c r="AM260" s="112"/>
      <c r="AN260" s="113">
        <f>G260+SUM(I260:AL260)-SUM(I261:AL261)</f>
        <v>0</v>
      </c>
      <c r="AO260" s="53"/>
      <c r="AP260" s="53"/>
    </row>
    <row r="261">
      <c r="A261" s="31"/>
      <c r="B261" s="17"/>
      <c r="C261" s="17"/>
      <c r="D261" s="17"/>
      <c r="E261" s="17"/>
      <c r="F261" s="18"/>
      <c r="G261" s="182"/>
      <c r="H261" s="107" t="s">
        <v>23</v>
      </c>
      <c r="I261" s="184">
        <v>15.0</v>
      </c>
      <c r="J261" s="183"/>
      <c r="K261" s="184">
        <v>30.0</v>
      </c>
      <c r="L261" s="184">
        <v>30.0</v>
      </c>
      <c r="M261" s="184"/>
      <c r="N261" s="184">
        <v>30.0</v>
      </c>
      <c r="O261" s="200"/>
      <c r="P261" s="184">
        <v>30.0</v>
      </c>
      <c r="Q261" s="184">
        <f t="shared" si="70"/>
        <v>60</v>
      </c>
      <c r="R261" s="187">
        <v>30.0</v>
      </c>
      <c r="S261" s="187"/>
      <c r="T261" s="187">
        <v>30.0</v>
      </c>
      <c r="U261" s="187">
        <v>30.0</v>
      </c>
      <c r="V261" s="187"/>
      <c r="W261" s="187">
        <v>30.0</v>
      </c>
      <c r="X261" s="187">
        <v>30.0</v>
      </c>
      <c r="Y261" s="187">
        <v>30.0</v>
      </c>
      <c r="Z261" s="187">
        <v>30.0</v>
      </c>
      <c r="AA261" s="187">
        <v>30.0</v>
      </c>
      <c r="AB261" s="187">
        <v>30.0</v>
      </c>
      <c r="AC261" s="187"/>
      <c r="AD261" s="187"/>
      <c r="AE261" s="187">
        <v>30.0</v>
      </c>
      <c r="AF261" s="187">
        <v>30.0</v>
      </c>
      <c r="AG261" s="187">
        <f t="shared" si="71"/>
        <v>60</v>
      </c>
      <c r="AH261" s="187"/>
      <c r="AI261" s="187">
        <v>30.0</v>
      </c>
      <c r="AJ261" s="186"/>
      <c r="AK261" s="187">
        <v>30.0</v>
      </c>
      <c r="AL261" s="125">
        <v>30.0</v>
      </c>
      <c r="AM261" s="112"/>
      <c r="AN261" s="32"/>
    </row>
    <row r="262">
      <c r="A262" s="170"/>
      <c r="B262" s="170"/>
      <c r="C262" s="170"/>
      <c r="D262" s="170"/>
      <c r="E262" s="188"/>
      <c r="F262" s="171"/>
      <c r="G262" s="201"/>
      <c r="H262" s="107"/>
      <c r="I262" s="173"/>
      <c r="J262" s="191"/>
      <c r="K262" s="197"/>
      <c r="L262" s="173"/>
      <c r="M262" s="191"/>
      <c r="N262" s="197"/>
      <c r="O262" s="198"/>
      <c r="P262" s="197"/>
      <c r="Q262" s="173"/>
      <c r="R262" s="199"/>
      <c r="S262" s="192"/>
      <c r="T262" s="176"/>
      <c r="U262" s="199"/>
      <c r="V262" s="196"/>
      <c r="W262" s="199"/>
      <c r="X262" s="175"/>
      <c r="Y262" s="175"/>
      <c r="Z262" s="199"/>
      <c r="AA262" s="175"/>
      <c r="AB262" s="175"/>
      <c r="AC262" s="196"/>
      <c r="AD262" s="192"/>
      <c r="AE262" s="175"/>
      <c r="AF262" s="175"/>
      <c r="AG262" s="175"/>
      <c r="AH262" s="193"/>
      <c r="AI262" s="194"/>
      <c r="AJ262" s="186"/>
      <c r="AK262" s="194"/>
      <c r="AL262" s="120"/>
      <c r="AM262" s="119"/>
      <c r="AN262" s="122"/>
      <c r="AO262" s="53"/>
      <c r="AP262" s="53"/>
    </row>
    <row r="263">
      <c r="A263" s="178" t="s">
        <v>124</v>
      </c>
      <c r="B263" s="179"/>
      <c r="C263" s="179"/>
      <c r="D263" s="180"/>
      <c r="E263" s="188"/>
      <c r="F263" s="171"/>
      <c r="G263" s="201">
        <v>10.0</v>
      </c>
      <c r="H263" s="107" t="s">
        <v>22</v>
      </c>
      <c r="I263" s="181"/>
      <c r="J263" s="181"/>
      <c r="K263" s="195"/>
      <c r="L263" s="181"/>
      <c r="M263" s="181"/>
      <c r="N263" s="195"/>
      <c r="O263" s="198"/>
      <c r="P263" s="195">
        <v>8.0</v>
      </c>
      <c r="Q263" s="181"/>
      <c r="R263" s="196"/>
      <c r="S263" s="196"/>
      <c r="T263" s="177"/>
      <c r="U263" s="196"/>
      <c r="V263" s="196"/>
      <c r="W263" s="196"/>
      <c r="X263" s="177"/>
      <c r="Y263" s="177"/>
      <c r="Z263" s="196"/>
      <c r="AA263" s="177"/>
      <c r="AB263" s="177"/>
      <c r="AC263" s="196"/>
      <c r="AD263" s="196"/>
      <c r="AE263" s="177"/>
      <c r="AF263" s="177"/>
      <c r="AG263" s="177"/>
      <c r="AH263" s="187"/>
      <c r="AI263" s="187"/>
      <c r="AJ263" s="186"/>
      <c r="AK263" s="187"/>
      <c r="AL263" s="112"/>
      <c r="AM263" s="112"/>
      <c r="AN263" s="113">
        <f>G263+SUM(I263:AL263)-SUM(I264:AL264)</f>
        <v>5</v>
      </c>
      <c r="AO263" s="53"/>
      <c r="AP263" s="53"/>
    </row>
    <row r="264">
      <c r="A264" s="31"/>
      <c r="B264" s="17"/>
      <c r="C264" s="17"/>
      <c r="D264" s="17"/>
      <c r="E264" s="17"/>
      <c r="F264" s="18"/>
      <c r="G264" s="182"/>
      <c r="H264" s="107" t="s">
        <v>23</v>
      </c>
      <c r="I264" s="184">
        <v>2.0</v>
      </c>
      <c r="J264" s="184">
        <v>1.0</v>
      </c>
      <c r="K264" s="184">
        <v>1.0</v>
      </c>
      <c r="L264" s="183"/>
      <c r="M264" s="183"/>
      <c r="N264" s="184">
        <v>1.0</v>
      </c>
      <c r="O264" s="200"/>
      <c r="P264" s="184"/>
      <c r="Q264" s="184">
        <v>1.0</v>
      </c>
      <c r="R264" s="187"/>
      <c r="S264" s="187">
        <v>1.0</v>
      </c>
      <c r="T264" s="187">
        <v>1.0</v>
      </c>
      <c r="U264" s="187"/>
      <c r="V264" s="187"/>
      <c r="W264" s="187"/>
      <c r="X264" s="186"/>
      <c r="Y264" s="187">
        <v>1.0</v>
      </c>
      <c r="Z264" s="187"/>
      <c r="AA264" s="186"/>
      <c r="AB264" s="186"/>
      <c r="AC264" s="187"/>
      <c r="AD264" s="187">
        <v>1.0</v>
      </c>
      <c r="AE264" s="186"/>
      <c r="AF264" s="187"/>
      <c r="AG264" s="186"/>
      <c r="AH264" s="187"/>
      <c r="AI264" s="187"/>
      <c r="AJ264" s="186"/>
      <c r="AK264" s="187">
        <v>1.0</v>
      </c>
      <c r="AL264" s="125">
        <v>2.0</v>
      </c>
      <c r="AM264" s="112"/>
      <c r="AN264" s="32"/>
    </row>
    <row r="265">
      <c r="A265" s="170"/>
      <c r="B265" s="170"/>
      <c r="C265" s="170"/>
      <c r="D265" s="170"/>
      <c r="E265" s="188"/>
      <c r="F265" s="171"/>
      <c r="G265" s="201"/>
      <c r="H265" s="107"/>
      <c r="I265" s="202"/>
      <c r="J265" s="202"/>
      <c r="K265" s="203"/>
      <c r="L265" s="191"/>
      <c r="M265" s="191"/>
      <c r="N265" s="203"/>
      <c r="O265" s="198"/>
      <c r="P265" s="190"/>
      <c r="Q265" s="202"/>
      <c r="R265" s="192"/>
      <c r="S265" s="204"/>
      <c r="T265" s="205"/>
      <c r="U265" s="192"/>
      <c r="V265" s="196"/>
      <c r="W265" s="192"/>
      <c r="X265" s="176"/>
      <c r="Y265" s="205"/>
      <c r="Z265" s="192"/>
      <c r="AA265" s="176"/>
      <c r="AB265" s="176"/>
      <c r="AC265" s="196"/>
      <c r="AD265" s="204"/>
      <c r="AE265" s="176"/>
      <c r="AF265" s="192"/>
      <c r="AG265" s="176"/>
      <c r="AH265" s="193"/>
      <c r="AI265" s="193"/>
      <c r="AJ265" s="186"/>
      <c r="AK265" s="206"/>
      <c r="AL265" s="207"/>
      <c r="AM265" s="119"/>
      <c r="AN265" s="122"/>
      <c r="AO265" s="53"/>
      <c r="AP265" s="53"/>
    </row>
    <row r="266">
      <c r="A266" s="178" t="s">
        <v>126</v>
      </c>
      <c r="B266" s="179"/>
      <c r="C266" s="179"/>
      <c r="D266" s="180"/>
      <c r="E266" s="188"/>
      <c r="F266" s="171"/>
      <c r="G266" s="201">
        <v>11.0</v>
      </c>
      <c r="H266" s="107" t="s">
        <v>22</v>
      </c>
      <c r="I266" s="181"/>
      <c r="J266" s="181"/>
      <c r="K266" s="195"/>
      <c r="L266" s="181"/>
      <c r="M266" s="181"/>
      <c r="N266" s="195"/>
      <c r="O266" s="198"/>
      <c r="P266" s="195"/>
      <c r="Q266" s="181"/>
      <c r="R266" s="196"/>
      <c r="S266" s="196"/>
      <c r="T266" s="177"/>
      <c r="U266" s="196"/>
      <c r="V266" s="196"/>
      <c r="W266" s="196"/>
      <c r="X266" s="196">
        <v>11.0</v>
      </c>
      <c r="Y266" s="177"/>
      <c r="Z266" s="196"/>
      <c r="AA266" s="177"/>
      <c r="AB266" s="177"/>
      <c r="AC266" s="196"/>
      <c r="AD266" s="196"/>
      <c r="AE266" s="177"/>
      <c r="AF266" s="196"/>
      <c r="AG266" s="177"/>
      <c r="AH266" s="187"/>
      <c r="AI266" s="187"/>
      <c r="AJ266" s="186"/>
      <c r="AK266" s="187"/>
      <c r="AL266" s="112"/>
      <c r="AM266" s="112"/>
      <c r="AN266" s="113">
        <f>G266+SUM(I266:AL266)-SUM(I267:AL267)</f>
        <v>1</v>
      </c>
      <c r="AO266" s="53"/>
      <c r="AP266" s="53"/>
    </row>
    <row r="267">
      <c r="A267" s="31"/>
      <c r="B267" s="17"/>
      <c r="C267" s="17"/>
      <c r="D267" s="17"/>
      <c r="E267" s="17"/>
      <c r="F267" s="18"/>
      <c r="G267" s="182"/>
      <c r="H267" s="107" t="s">
        <v>23</v>
      </c>
      <c r="I267" s="184">
        <v>1.0</v>
      </c>
      <c r="J267" s="184">
        <v>1.0</v>
      </c>
      <c r="K267" s="184">
        <v>1.0</v>
      </c>
      <c r="L267" s="184">
        <v>1.0</v>
      </c>
      <c r="M267" s="184">
        <v>1.0</v>
      </c>
      <c r="N267" s="184">
        <v>1.0</v>
      </c>
      <c r="O267" s="200"/>
      <c r="P267" s="184"/>
      <c r="Q267" s="184">
        <v>1.0</v>
      </c>
      <c r="R267" s="187"/>
      <c r="S267" s="187">
        <v>1.0</v>
      </c>
      <c r="T267" s="187">
        <v>1.0</v>
      </c>
      <c r="U267" s="187">
        <v>1.0</v>
      </c>
      <c r="V267" s="187"/>
      <c r="W267" s="187">
        <v>1.0</v>
      </c>
      <c r="X267" s="187">
        <v>1.0</v>
      </c>
      <c r="Y267" s="187">
        <v>1.0</v>
      </c>
      <c r="Z267" s="187">
        <v>1.0</v>
      </c>
      <c r="AA267" s="187">
        <v>1.0</v>
      </c>
      <c r="AB267" s="186"/>
      <c r="AC267" s="187"/>
      <c r="AD267" s="187">
        <v>1.0</v>
      </c>
      <c r="AE267" s="187">
        <v>1.0</v>
      </c>
      <c r="AF267" s="187">
        <v>2.0</v>
      </c>
      <c r="AG267" s="208"/>
      <c r="AH267" s="187">
        <v>1.0</v>
      </c>
      <c r="AI267" s="187">
        <v>1.0</v>
      </c>
      <c r="AJ267" s="186"/>
      <c r="AK267" s="187"/>
      <c r="AL267" s="112"/>
      <c r="AM267" s="112"/>
      <c r="AN267" s="32"/>
    </row>
    <row r="268">
      <c r="A268" s="97"/>
      <c r="B268" s="97"/>
      <c r="C268" s="97"/>
      <c r="D268" s="97"/>
      <c r="E268" s="97"/>
      <c r="F268" s="97"/>
      <c r="G268" s="97"/>
      <c r="H268" s="97"/>
      <c r="I268" s="209"/>
      <c r="J268" s="209"/>
      <c r="K268" s="209"/>
      <c r="L268" s="209"/>
      <c r="M268" s="209"/>
      <c r="N268" s="209"/>
      <c r="O268" s="97"/>
      <c r="P268" s="98"/>
      <c r="Q268" s="209"/>
      <c r="R268" s="98"/>
      <c r="S268" s="209"/>
      <c r="T268" s="209"/>
      <c r="U268" s="209"/>
      <c r="V268" s="210"/>
      <c r="W268" s="209"/>
      <c r="X268" s="209"/>
      <c r="Y268" s="209"/>
      <c r="Z268" s="209"/>
      <c r="AA268" s="209"/>
      <c r="AB268" s="98"/>
      <c r="AC268" s="210"/>
      <c r="AD268" s="209"/>
      <c r="AE268" s="209"/>
      <c r="AF268" s="209"/>
      <c r="AG268" s="98"/>
      <c r="AH268" s="209"/>
      <c r="AI268" s="209"/>
      <c r="AJ268" s="210"/>
      <c r="AK268" s="98"/>
      <c r="AL268" s="98"/>
      <c r="AM268" s="98"/>
      <c r="AN268" s="97"/>
    </row>
  </sheetData>
  <mergeCells count="425">
    <mergeCell ref="AO97:AO98"/>
    <mergeCell ref="AP97:AP98"/>
    <mergeCell ref="AN90:AN91"/>
    <mergeCell ref="AO90:AO91"/>
    <mergeCell ref="AP90:AP91"/>
    <mergeCell ref="AN94:AN95"/>
    <mergeCell ref="AO94:AO95"/>
    <mergeCell ref="AP94:AP95"/>
    <mergeCell ref="AN97:AN98"/>
    <mergeCell ref="AO126:AO127"/>
    <mergeCell ref="AP126:AP127"/>
    <mergeCell ref="AN120:AN121"/>
    <mergeCell ref="AO120:AO121"/>
    <mergeCell ref="AP120:AP121"/>
    <mergeCell ref="AN123:AN124"/>
    <mergeCell ref="AO123:AO124"/>
    <mergeCell ref="AP123:AP124"/>
    <mergeCell ref="AN126:AN127"/>
    <mergeCell ref="AO135:AO136"/>
    <mergeCell ref="AP135:AP136"/>
    <mergeCell ref="AN129:AN130"/>
    <mergeCell ref="AO129:AO130"/>
    <mergeCell ref="AP129:AP130"/>
    <mergeCell ref="AN132:AN133"/>
    <mergeCell ref="AO132:AO133"/>
    <mergeCell ref="AP132:AP133"/>
    <mergeCell ref="AN135:AN136"/>
    <mergeCell ref="AO144:AO145"/>
    <mergeCell ref="AP144:AP145"/>
    <mergeCell ref="AN138:AN139"/>
    <mergeCell ref="AO138:AO139"/>
    <mergeCell ref="AP138:AP139"/>
    <mergeCell ref="AN141:AN142"/>
    <mergeCell ref="AO141:AO142"/>
    <mergeCell ref="AP141:AP142"/>
    <mergeCell ref="AN144:AN145"/>
    <mergeCell ref="AO153:AO154"/>
    <mergeCell ref="AP153:AP154"/>
    <mergeCell ref="AN147:AN148"/>
    <mergeCell ref="AO147:AO148"/>
    <mergeCell ref="AP147:AP148"/>
    <mergeCell ref="AN150:AN151"/>
    <mergeCell ref="AO150:AO151"/>
    <mergeCell ref="AP150:AP151"/>
    <mergeCell ref="AN153:AN154"/>
    <mergeCell ref="AO162:AO163"/>
    <mergeCell ref="AP162:AP163"/>
    <mergeCell ref="AN156:AN157"/>
    <mergeCell ref="AO156:AO157"/>
    <mergeCell ref="AP156:AP157"/>
    <mergeCell ref="AN159:AN160"/>
    <mergeCell ref="AO159:AO160"/>
    <mergeCell ref="AP159:AP160"/>
    <mergeCell ref="AN162:AN163"/>
    <mergeCell ref="AO171:AO172"/>
    <mergeCell ref="AP171:AP172"/>
    <mergeCell ref="AN165:AN166"/>
    <mergeCell ref="AO165:AO166"/>
    <mergeCell ref="AP165:AP166"/>
    <mergeCell ref="AN168:AN169"/>
    <mergeCell ref="AO168:AO169"/>
    <mergeCell ref="AP168:AP169"/>
    <mergeCell ref="AN171:AN172"/>
    <mergeCell ref="A190:D190"/>
    <mergeCell ref="A191:F191"/>
    <mergeCell ref="A193:D193"/>
    <mergeCell ref="A194:F194"/>
    <mergeCell ref="A196:D196"/>
    <mergeCell ref="A197:F197"/>
    <mergeCell ref="A199:D199"/>
    <mergeCell ref="A200:F200"/>
    <mergeCell ref="A202:D202"/>
    <mergeCell ref="A203:F203"/>
    <mergeCell ref="A205:D205"/>
    <mergeCell ref="A206:F206"/>
    <mergeCell ref="A208:D208"/>
    <mergeCell ref="A209:F209"/>
    <mergeCell ref="A211:D211"/>
    <mergeCell ref="A212:F212"/>
    <mergeCell ref="A214:D214"/>
    <mergeCell ref="A215:F215"/>
    <mergeCell ref="A217:D217"/>
    <mergeCell ref="A218:F218"/>
    <mergeCell ref="A220:G220"/>
    <mergeCell ref="A221:D221"/>
    <mergeCell ref="A222:F222"/>
    <mergeCell ref="A224:D224"/>
    <mergeCell ref="A225:F225"/>
    <mergeCell ref="A227:G227"/>
    <mergeCell ref="A228:D228"/>
    <mergeCell ref="A229:F229"/>
    <mergeCell ref="A231:G231"/>
    <mergeCell ref="A232:D232"/>
    <mergeCell ref="A233:F233"/>
    <mergeCell ref="A235:D235"/>
    <mergeCell ref="A236:F236"/>
    <mergeCell ref="A238:D238"/>
    <mergeCell ref="A241:G241"/>
    <mergeCell ref="A242:D242"/>
    <mergeCell ref="A243:F243"/>
    <mergeCell ref="A245:D245"/>
    <mergeCell ref="A246:F246"/>
    <mergeCell ref="A248:D248"/>
    <mergeCell ref="A249:F249"/>
    <mergeCell ref="A251:D251"/>
    <mergeCell ref="A263:D263"/>
    <mergeCell ref="A264:F264"/>
    <mergeCell ref="A266:D266"/>
    <mergeCell ref="A267:F267"/>
    <mergeCell ref="A252:F252"/>
    <mergeCell ref="A254:D254"/>
    <mergeCell ref="A255:F255"/>
    <mergeCell ref="A257:D257"/>
    <mergeCell ref="A258:F258"/>
    <mergeCell ref="A260:D260"/>
    <mergeCell ref="A261:F261"/>
    <mergeCell ref="A117:D117"/>
    <mergeCell ref="A118:F118"/>
    <mergeCell ref="A120:D120"/>
    <mergeCell ref="A121:F121"/>
    <mergeCell ref="A123:D123"/>
    <mergeCell ref="A124:F124"/>
    <mergeCell ref="A126:D126"/>
    <mergeCell ref="A127:F127"/>
    <mergeCell ref="A129:D129"/>
    <mergeCell ref="A130:F130"/>
    <mergeCell ref="A132:D132"/>
    <mergeCell ref="A133:F133"/>
    <mergeCell ref="A135:D135"/>
    <mergeCell ref="A136:F136"/>
    <mergeCell ref="A138:D138"/>
    <mergeCell ref="A139:F139"/>
    <mergeCell ref="A141:D141"/>
    <mergeCell ref="A142:F142"/>
    <mergeCell ref="A144:D144"/>
    <mergeCell ref="A145:F145"/>
    <mergeCell ref="A147:D147"/>
    <mergeCell ref="A148:F148"/>
    <mergeCell ref="A150:D150"/>
    <mergeCell ref="A151:F151"/>
    <mergeCell ref="A153:D153"/>
    <mergeCell ref="A154:F154"/>
    <mergeCell ref="A156:D156"/>
    <mergeCell ref="A157:F157"/>
    <mergeCell ref="A159:D159"/>
    <mergeCell ref="A160:F160"/>
    <mergeCell ref="A162:D162"/>
    <mergeCell ref="A163:F163"/>
    <mergeCell ref="A165:D165"/>
    <mergeCell ref="A166:F166"/>
    <mergeCell ref="A168:D168"/>
    <mergeCell ref="A169:F169"/>
    <mergeCell ref="A171:D171"/>
    <mergeCell ref="A172:F172"/>
    <mergeCell ref="A174:D174"/>
    <mergeCell ref="A175:F175"/>
    <mergeCell ref="A177:D177"/>
    <mergeCell ref="A178:F178"/>
    <mergeCell ref="A180:D180"/>
    <mergeCell ref="A181:F181"/>
    <mergeCell ref="A183:D183"/>
    <mergeCell ref="A184:F184"/>
    <mergeCell ref="A186:F186"/>
    <mergeCell ref="A187:D187"/>
    <mergeCell ref="A188:F188"/>
    <mergeCell ref="P3:R3"/>
    <mergeCell ref="A5:E5"/>
    <mergeCell ref="A7:E7"/>
    <mergeCell ref="A9:F9"/>
    <mergeCell ref="AN10:AN11"/>
    <mergeCell ref="AO10:AO11"/>
    <mergeCell ref="AP10:AP11"/>
    <mergeCell ref="AO19:AO20"/>
    <mergeCell ref="AP19:AP20"/>
    <mergeCell ref="A10:D10"/>
    <mergeCell ref="A11:F11"/>
    <mergeCell ref="A13:D13"/>
    <mergeCell ref="A14:F14"/>
    <mergeCell ref="A16:D16"/>
    <mergeCell ref="A17:F17"/>
    <mergeCell ref="A19:D19"/>
    <mergeCell ref="AN13:AN14"/>
    <mergeCell ref="AO13:AO14"/>
    <mergeCell ref="AP13:AP14"/>
    <mergeCell ref="AN16:AN17"/>
    <mergeCell ref="AO16:AO17"/>
    <mergeCell ref="AP16:AP17"/>
    <mergeCell ref="AN19:AN20"/>
    <mergeCell ref="A20:F20"/>
    <mergeCell ref="A22:D22"/>
    <mergeCell ref="A23:F23"/>
    <mergeCell ref="A25:D25"/>
    <mergeCell ref="A26:F26"/>
    <mergeCell ref="A28:D28"/>
    <mergeCell ref="A29:F29"/>
    <mergeCell ref="AN32:AN33"/>
    <mergeCell ref="AO32:AO33"/>
    <mergeCell ref="AP32:AP33"/>
    <mergeCell ref="A31:F31"/>
    <mergeCell ref="A32:D32"/>
    <mergeCell ref="A33:F33"/>
    <mergeCell ref="A35:D35"/>
    <mergeCell ref="A36:F36"/>
    <mergeCell ref="A38:D38"/>
    <mergeCell ref="A39:F39"/>
    <mergeCell ref="AO59:AO60"/>
    <mergeCell ref="AP59:AP60"/>
    <mergeCell ref="AN53:AN54"/>
    <mergeCell ref="AO53:AO54"/>
    <mergeCell ref="AP53:AP54"/>
    <mergeCell ref="AN56:AN57"/>
    <mergeCell ref="AO56:AO57"/>
    <mergeCell ref="AP56:AP57"/>
    <mergeCell ref="AN59:AN60"/>
    <mergeCell ref="AO68:AO69"/>
    <mergeCell ref="AP68:AP69"/>
    <mergeCell ref="AN62:AN63"/>
    <mergeCell ref="AO62:AO63"/>
    <mergeCell ref="AP62:AP63"/>
    <mergeCell ref="AN65:AN66"/>
    <mergeCell ref="AO65:AO66"/>
    <mergeCell ref="AP65:AP66"/>
    <mergeCell ref="AN68:AN69"/>
    <mergeCell ref="AO77:AO78"/>
    <mergeCell ref="AP77:AP78"/>
    <mergeCell ref="AN71:AN72"/>
    <mergeCell ref="AO71:AO72"/>
    <mergeCell ref="AP71:AP72"/>
    <mergeCell ref="AN74:AN75"/>
    <mergeCell ref="AO74:AO75"/>
    <mergeCell ref="AP74:AP75"/>
    <mergeCell ref="AN77:AN78"/>
    <mergeCell ref="AO87:AO88"/>
    <mergeCell ref="AP87:AP88"/>
    <mergeCell ref="AN80:AN81"/>
    <mergeCell ref="AO80:AO81"/>
    <mergeCell ref="AP80:AP81"/>
    <mergeCell ref="AN84:AN85"/>
    <mergeCell ref="AO84:AO85"/>
    <mergeCell ref="AP84:AP85"/>
    <mergeCell ref="AN87:AN88"/>
    <mergeCell ref="AO107:AO108"/>
    <mergeCell ref="AP107:AP108"/>
    <mergeCell ref="AN101:AN102"/>
    <mergeCell ref="AO101:AO102"/>
    <mergeCell ref="AP101:AP102"/>
    <mergeCell ref="AN104:AN105"/>
    <mergeCell ref="AO104:AO105"/>
    <mergeCell ref="AP104:AP105"/>
    <mergeCell ref="AN107:AN108"/>
    <mergeCell ref="A41:D41"/>
    <mergeCell ref="A42:F42"/>
    <mergeCell ref="A44:D44"/>
    <mergeCell ref="A45:F45"/>
    <mergeCell ref="A47:D47"/>
    <mergeCell ref="A48:F48"/>
    <mergeCell ref="A50:D50"/>
    <mergeCell ref="A51:F51"/>
    <mergeCell ref="A53:D53"/>
    <mergeCell ref="A54:F54"/>
    <mergeCell ref="A56:D56"/>
    <mergeCell ref="A57:F57"/>
    <mergeCell ref="A59:D59"/>
    <mergeCell ref="A60:F60"/>
    <mergeCell ref="A62:D62"/>
    <mergeCell ref="A63:F63"/>
    <mergeCell ref="A65:D65"/>
    <mergeCell ref="A66:F66"/>
    <mergeCell ref="A68:D68"/>
    <mergeCell ref="A69:F69"/>
    <mergeCell ref="A71:D71"/>
    <mergeCell ref="A72:F72"/>
    <mergeCell ref="A74:D74"/>
    <mergeCell ref="A75:F75"/>
    <mergeCell ref="A77:D77"/>
    <mergeCell ref="A78:F78"/>
    <mergeCell ref="A80:D80"/>
    <mergeCell ref="A83:F83"/>
    <mergeCell ref="A84:D84"/>
    <mergeCell ref="A85:F85"/>
    <mergeCell ref="A87:D87"/>
    <mergeCell ref="A88:F88"/>
    <mergeCell ref="A90:D90"/>
    <mergeCell ref="A93:F93"/>
    <mergeCell ref="A94:D94"/>
    <mergeCell ref="A95:F95"/>
    <mergeCell ref="A97:D97"/>
    <mergeCell ref="A100:F100"/>
    <mergeCell ref="A101:D101"/>
    <mergeCell ref="A102:F102"/>
    <mergeCell ref="A104:D104"/>
    <mergeCell ref="A105:F105"/>
    <mergeCell ref="A107:D107"/>
    <mergeCell ref="A108:F108"/>
    <mergeCell ref="A110:D110"/>
    <mergeCell ref="A111:F111"/>
    <mergeCell ref="A113:F113"/>
    <mergeCell ref="A114:D114"/>
    <mergeCell ref="A115:F115"/>
    <mergeCell ref="AO228:AO229"/>
    <mergeCell ref="AP228:AP229"/>
    <mergeCell ref="AN221:AN222"/>
    <mergeCell ref="AO221:AO222"/>
    <mergeCell ref="AP221:AP222"/>
    <mergeCell ref="AN224:AN225"/>
    <mergeCell ref="AO224:AO225"/>
    <mergeCell ref="AP224:AP225"/>
    <mergeCell ref="AN228:AN229"/>
    <mergeCell ref="AO248:AO249"/>
    <mergeCell ref="AP248:AP249"/>
    <mergeCell ref="AN242:AN243"/>
    <mergeCell ref="AO242:AO243"/>
    <mergeCell ref="AP242:AP243"/>
    <mergeCell ref="AN245:AN246"/>
    <mergeCell ref="AO245:AO246"/>
    <mergeCell ref="AP245:AP246"/>
    <mergeCell ref="AN248:AN249"/>
    <mergeCell ref="AO257:AO258"/>
    <mergeCell ref="AP257:AP258"/>
    <mergeCell ref="AN251:AN252"/>
    <mergeCell ref="AO251:AO252"/>
    <mergeCell ref="AP251:AP252"/>
    <mergeCell ref="AN254:AN255"/>
    <mergeCell ref="AO254:AO255"/>
    <mergeCell ref="AP254:AP255"/>
    <mergeCell ref="AN257:AN258"/>
    <mergeCell ref="AO28:AO29"/>
    <mergeCell ref="AP28:AP29"/>
    <mergeCell ref="AN22:AN23"/>
    <mergeCell ref="AO22:AO23"/>
    <mergeCell ref="AP22:AP23"/>
    <mergeCell ref="AN25:AN26"/>
    <mergeCell ref="AO25:AO26"/>
    <mergeCell ref="AP25:AP26"/>
    <mergeCell ref="AN28:AN29"/>
    <mergeCell ref="AO41:AO42"/>
    <mergeCell ref="AP41:AP42"/>
    <mergeCell ref="AN35:AN36"/>
    <mergeCell ref="AO35:AO36"/>
    <mergeCell ref="AP35:AP36"/>
    <mergeCell ref="AN38:AN39"/>
    <mergeCell ref="AO38:AO39"/>
    <mergeCell ref="AP38:AP39"/>
    <mergeCell ref="AN41:AN42"/>
    <mergeCell ref="AO50:AO51"/>
    <mergeCell ref="AP50:AP51"/>
    <mergeCell ref="AN44:AN45"/>
    <mergeCell ref="AO44:AO45"/>
    <mergeCell ref="AP44:AP45"/>
    <mergeCell ref="AN47:AN48"/>
    <mergeCell ref="AO47:AO48"/>
    <mergeCell ref="AP47:AP48"/>
    <mergeCell ref="AN50:AN51"/>
    <mergeCell ref="AO266:AO267"/>
    <mergeCell ref="AP266:AP267"/>
    <mergeCell ref="AN260:AN261"/>
    <mergeCell ref="AO260:AO261"/>
    <mergeCell ref="AP260:AP261"/>
    <mergeCell ref="AN263:AN264"/>
    <mergeCell ref="AO263:AO264"/>
    <mergeCell ref="AP263:AP264"/>
    <mergeCell ref="AN266:AN267"/>
    <mergeCell ref="AO117:AO118"/>
    <mergeCell ref="AP117:AP118"/>
    <mergeCell ref="AN110:AN111"/>
    <mergeCell ref="AO110:AO111"/>
    <mergeCell ref="AP110:AP111"/>
    <mergeCell ref="AN114:AN115"/>
    <mergeCell ref="AO114:AO115"/>
    <mergeCell ref="AP114:AP115"/>
    <mergeCell ref="AN117:AN118"/>
    <mergeCell ref="AO180:AO181"/>
    <mergeCell ref="AP180:AP181"/>
    <mergeCell ref="AN174:AN175"/>
    <mergeCell ref="AO174:AO175"/>
    <mergeCell ref="AP174:AP175"/>
    <mergeCell ref="AN177:AN178"/>
    <mergeCell ref="AO177:AO178"/>
    <mergeCell ref="AP177:AP178"/>
    <mergeCell ref="AN180:AN181"/>
    <mergeCell ref="AO190:AO191"/>
    <mergeCell ref="AP190:AP191"/>
    <mergeCell ref="AN183:AN184"/>
    <mergeCell ref="AO183:AO184"/>
    <mergeCell ref="AP183:AP184"/>
    <mergeCell ref="AN187:AN188"/>
    <mergeCell ref="AO187:AO188"/>
    <mergeCell ref="AP187:AP188"/>
    <mergeCell ref="AN190:AN191"/>
    <mergeCell ref="AO199:AO200"/>
    <mergeCell ref="AP199:AP200"/>
    <mergeCell ref="AN193:AN194"/>
    <mergeCell ref="AO193:AO194"/>
    <mergeCell ref="AP193:AP194"/>
    <mergeCell ref="AN196:AN197"/>
    <mergeCell ref="AO196:AO197"/>
    <mergeCell ref="AP196:AP197"/>
    <mergeCell ref="AN199:AN200"/>
    <mergeCell ref="AO208:AO209"/>
    <mergeCell ref="AP208:AP209"/>
    <mergeCell ref="AN202:AN203"/>
    <mergeCell ref="AO202:AO203"/>
    <mergeCell ref="AP202:AP203"/>
    <mergeCell ref="AN205:AN206"/>
    <mergeCell ref="AO205:AO206"/>
    <mergeCell ref="AP205:AP206"/>
    <mergeCell ref="AN208:AN209"/>
    <mergeCell ref="AO217:AO218"/>
    <mergeCell ref="AP217:AP218"/>
    <mergeCell ref="AN211:AN212"/>
    <mergeCell ref="AO211:AO212"/>
    <mergeCell ref="AP211:AP212"/>
    <mergeCell ref="AN214:AN215"/>
    <mergeCell ref="AO214:AO215"/>
    <mergeCell ref="AP214:AP215"/>
    <mergeCell ref="AN217:AN218"/>
    <mergeCell ref="AO238:AO239"/>
    <mergeCell ref="AP238:AP239"/>
    <mergeCell ref="AN232:AN233"/>
    <mergeCell ref="AO232:AO233"/>
    <mergeCell ref="AP232:AP233"/>
    <mergeCell ref="AN235:AN236"/>
    <mergeCell ref="AO235:AO236"/>
    <mergeCell ref="AP235:AP236"/>
    <mergeCell ref="AN238:AN239"/>
  </mergeCells>
  <conditionalFormatting sqref="AO10:AP267">
    <cfRule type="colorScale" priority="1">
      <colorScale>
        <cfvo type="min"/>
        <cfvo type="formula" val="8"/>
        <cfvo type="formula" val="268.1"/>
        <color rgb="FFE67C73"/>
        <color rgb="FFFFFFFF"/>
        <color rgb="FF57BB8A"/>
      </colorScale>
    </cfRule>
  </conditionalFormatting>
  <conditionalFormatting sqref="AP6:AP267">
    <cfRule type="colorScale" priority="2">
      <colorScale>
        <cfvo type="percentile" val="0"/>
        <cfvo type="percentile" val="50"/>
        <cfvo type="percentile" val="100"/>
        <color rgb="FFFF0000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8.0" topLeftCell="I9" activePane="bottomRight" state="frozen"/>
      <selection activeCell="I1" sqref="I1" pane="topRight"/>
      <selection activeCell="A9" sqref="A9" pane="bottomLeft"/>
      <selection activeCell="I9" sqref="I9" pane="bottomRight"/>
    </sheetView>
  </sheetViews>
  <sheetFormatPr customHeight="1" defaultColWidth="12.63" defaultRowHeight="15.75"/>
  <cols>
    <col customWidth="1" min="1" max="1" width="9.38"/>
    <col customWidth="1" min="2" max="2" width="10.5"/>
    <col customWidth="1" min="4" max="4" width="0.38"/>
    <col customWidth="1" min="5" max="5" width="3.5"/>
    <col customWidth="1" min="6" max="6" width="4.75"/>
    <col customWidth="1" min="7" max="7" width="7.25"/>
    <col customWidth="1" min="8" max="8" width="4.25"/>
    <col customWidth="1" min="9" max="11" width="5.88"/>
    <col customWidth="1" min="12" max="12" width="7.75"/>
    <col customWidth="1" min="13" max="14" width="5.88"/>
    <col customWidth="1" min="15" max="15" width="6.13"/>
    <col customWidth="1" min="16" max="25" width="5.88"/>
    <col customWidth="1" min="26" max="26" width="6.25"/>
    <col customWidth="1" min="27" max="38" width="5.88"/>
    <col customWidth="1" min="39" max="39" width="5.75"/>
    <col customWidth="1" min="40" max="40" width="12.63"/>
    <col customWidth="1" min="41" max="41" width="13.38"/>
    <col customWidth="1" min="42" max="42" width="2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>
      <c r="A3" s="2"/>
      <c r="B3" s="2"/>
      <c r="C3" s="1"/>
      <c r="D3" s="2"/>
      <c r="E3" s="2"/>
      <c r="F3" s="2"/>
      <c r="G3" s="2"/>
      <c r="H3" s="2"/>
      <c r="I3" s="2"/>
      <c r="J3" s="1" t="s">
        <v>3</v>
      </c>
      <c r="K3" s="2"/>
      <c r="L3" s="4" t="s">
        <v>4</v>
      </c>
      <c r="M3" s="4">
        <v>892.0</v>
      </c>
      <c r="N3" s="2"/>
      <c r="O3" s="28" t="s">
        <v>5</v>
      </c>
      <c r="P3" s="100">
        <v>45534.0</v>
      </c>
      <c r="Q3" s="17"/>
      <c r="R3" s="18"/>
      <c r="S3" s="2"/>
      <c r="T3" s="2"/>
      <c r="U3" s="1" t="s">
        <v>6</v>
      </c>
      <c r="V3" s="2"/>
      <c r="W3" s="2"/>
      <c r="X3" s="2"/>
      <c r="Y3" s="6"/>
      <c r="AB3" s="2"/>
      <c r="AC3" s="2"/>
      <c r="AD3" s="2"/>
      <c r="AE3" s="2"/>
      <c r="AF3" s="2"/>
      <c r="AG3" s="2"/>
      <c r="AH3" s="2"/>
      <c r="AI3" s="2"/>
      <c r="AJ3" s="2"/>
      <c r="AK3" s="1"/>
      <c r="AL3" s="2"/>
      <c r="AM3" s="2"/>
      <c r="AN3" s="2"/>
      <c r="AO3" s="2"/>
      <c r="AP3" s="2"/>
    </row>
    <row r="4">
      <c r="F4" s="2"/>
      <c r="G4" s="7" t="s">
        <v>7</v>
      </c>
      <c r="H4" s="7">
        <v>30.0</v>
      </c>
      <c r="I4" s="8"/>
      <c r="J4" s="8"/>
      <c r="K4" s="8"/>
      <c r="L4" s="7" t="s">
        <v>8</v>
      </c>
      <c r="M4" s="7">
        <v>894.0</v>
      </c>
      <c r="N4" s="8"/>
      <c r="O4" s="9"/>
      <c r="P4" s="8"/>
      <c r="Q4" s="8"/>
      <c r="R4" s="2"/>
      <c r="S4" s="2"/>
      <c r="T4" s="2"/>
      <c r="U4" s="1" t="s">
        <v>133</v>
      </c>
      <c r="V4" s="2"/>
      <c r="W4" s="2"/>
      <c r="X4" s="2"/>
      <c r="Y4" s="10"/>
      <c r="Z4" s="2"/>
      <c r="AB4" s="2"/>
      <c r="AC4" s="2"/>
      <c r="AD4" s="2"/>
      <c r="AF4" s="2"/>
      <c r="AG4" s="2"/>
      <c r="AH4" s="2"/>
      <c r="AI4" s="2"/>
      <c r="AJ4" s="1"/>
      <c r="AK4" s="1"/>
      <c r="AL4" s="2"/>
      <c r="AM4" s="1"/>
      <c r="AN4" s="1"/>
      <c r="AO4" s="2"/>
      <c r="AP4" s="2"/>
    </row>
    <row r="5">
      <c r="A5" s="11" t="s">
        <v>134</v>
      </c>
      <c r="F5" s="2"/>
      <c r="G5" s="8"/>
      <c r="H5" s="8"/>
      <c r="I5" s="8"/>
      <c r="J5" s="8"/>
      <c r="K5" s="8"/>
      <c r="L5" s="7" t="s">
        <v>11</v>
      </c>
      <c r="M5" s="7">
        <v>892.0</v>
      </c>
      <c r="N5" s="8"/>
      <c r="O5" s="8"/>
      <c r="P5" s="8"/>
      <c r="Q5" s="8"/>
      <c r="R5" s="2"/>
      <c r="S5" s="2"/>
      <c r="T5" s="2"/>
      <c r="U5" s="2"/>
      <c r="V5" s="2"/>
      <c r="W5" s="2"/>
      <c r="X5" s="2"/>
      <c r="Y5" s="2"/>
      <c r="Z5" s="2"/>
      <c r="AB5" s="2"/>
      <c r="AC5" s="2"/>
      <c r="AD5" s="2"/>
      <c r="AF5" s="1"/>
      <c r="AG5" s="1"/>
      <c r="AH5" s="2"/>
      <c r="AI5" s="1"/>
      <c r="AJ5" s="2"/>
      <c r="AK5" s="1"/>
      <c r="AL5" s="2"/>
      <c r="AM5" s="1"/>
      <c r="AN5" s="1"/>
      <c r="AO5" s="2"/>
      <c r="AP5" s="2"/>
    </row>
    <row r="6">
      <c r="A6" s="2"/>
      <c r="B6" s="2"/>
      <c r="C6" s="2"/>
      <c r="D6" s="2"/>
      <c r="E6" s="12"/>
      <c r="F6" s="12"/>
      <c r="G6" s="8"/>
      <c r="H6" s="8"/>
      <c r="I6" s="8"/>
      <c r="J6" s="8"/>
      <c r="K6" s="8"/>
      <c r="L6" s="7" t="s">
        <v>12</v>
      </c>
      <c r="M6" s="7">
        <v>891.0</v>
      </c>
      <c r="N6" s="8"/>
      <c r="O6" s="8"/>
      <c r="P6" s="8"/>
      <c r="Q6" s="8"/>
      <c r="R6" s="2"/>
      <c r="S6" s="2"/>
      <c r="T6" s="2"/>
      <c r="U6" s="1" t="s">
        <v>128</v>
      </c>
      <c r="V6" s="2"/>
      <c r="W6" s="2"/>
      <c r="X6" s="2"/>
      <c r="Y6" s="101"/>
      <c r="Z6" s="2"/>
      <c r="AB6" s="2"/>
      <c r="AC6" s="2"/>
      <c r="AD6" s="2"/>
      <c r="AE6" s="2"/>
      <c r="AF6" s="2"/>
      <c r="AG6" s="2"/>
      <c r="AH6" s="2"/>
      <c r="AI6" s="2"/>
      <c r="AJ6" s="2"/>
      <c r="AK6" s="1">
        <f>I166+J166+K166+M166+N166+O166+Q166+R166+T166+U166+V166+W166+X166+Y166+AA166+AB166+AC166+AD166+AE166+AF166+AH166+AJ166+AK166+AL166+AM166</f>
        <v>3717</v>
      </c>
      <c r="AL6" s="2"/>
      <c r="AM6" s="2"/>
      <c r="AN6" s="2"/>
      <c r="AO6" s="2"/>
      <c r="AP6" s="2"/>
    </row>
    <row r="7">
      <c r="A7" s="13" t="s">
        <v>13</v>
      </c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>
      <c r="A8" s="211"/>
      <c r="B8" s="2"/>
      <c r="C8" s="2"/>
      <c r="D8" s="2"/>
      <c r="E8" s="2"/>
      <c r="F8" s="2"/>
      <c r="G8" s="12" t="s">
        <v>135</v>
      </c>
      <c r="H8" s="8"/>
      <c r="I8" s="14">
        <v>45505.0</v>
      </c>
      <c r="J8" s="14">
        <v>45506.0</v>
      </c>
      <c r="K8" s="14">
        <v>45507.0</v>
      </c>
      <c r="L8" s="14">
        <v>45508.0</v>
      </c>
      <c r="M8" s="14">
        <v>45509.0</v>
      </c>
      <c r="N8" s="14">
        <v>45510.0</v>
      </c>
      <c r="O8" s="14">
        <v>45511.0</v>
      </c>
      <c r="P8" s="14">
        <v>45512.0</v>
      </c>
      <c r="Q8" s="14">
        <v>45513.0</v>
      </c>
      <c r="R8" s="14">
        <v>45514.0</v>
      </c>
      <c r="S8" s="14">
        <v>45515.0</v>
      </c>
      <c r="T8" s="14">
        <v>45516.0</v>
      </c>
      <c r="U8" s="14">
        <v>45517.0</v>
      </c>
      <c r="V8" s="14">
        <v>45518.0</v>
      </c>
      <c r="W8" s="14">
        <v>45519.0</v>
      </c>
      <c r="X8" s="14">
        <v>45520.0</v>
      </c>
      <c r="Y8" s="14">
        <v>45521.0</v>
      </c>
      <c r="Z8" s="14">
        <v>45522.0</v>
      </c>
      <c r="AA8" s="14">
        <v>45523.0</v>
      </c>
      <c r="AB8" s="14">
        <v>45524.0</v>
      </c>
      <c r="AC8" s="14">
        <v>45525.0</v>
      </c>
      <c r="AD8" s="14">
        <v>45526.0</v>
      </c>
      <c r="AE8" s="14">
        <v>45527.0</v>
      </c>
      <c r="AF8" s="14">
        <v>45528.0</v>
      </c>
      <c r="AG8" s="14">
        <v>45529.0</v>
      </c>
      <c r="AH8" s="14">
        <v>45530.0</v>
      </c>
      <c r="AI8" s="14">
        <v>45531.0</v>
      </c>
      <c r="AJ8" s="14">
        <v>45532.0</v>
      </c>
      <c r="AK8" s="14">
        <v>45533.0</v>
      </c>
      <c r="AL8" s="14">
        <v>45534.0</v>
      </c>
      <c r="AM8" s="14">
        <v>45535.0</v>
      </c>
      <c r="AN8" s="13" t="s">
        <v>16</v>
      </c>
      <c r="AO8" s="13" t="s">
        <v>17</v>
      </c>
      <c r="AP8" s="13" t="s">
        <v>18</v>
      </c>
    </row>
    <row r="9">
      <c r="A9" s="16" t="s">
        <v>19</v>
      </c>
      <c r="B9" s="17"/>
      <c r="C9" s="17"/>
      <c r="D9" s="17"/>
      <c r="E9" s="17"/>
      <c r="F9" s="17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/>
      <c r="S9" s="103"/>
      <c r="T9" s="103"/>
      <c r="U9" s="103"/>
      <c r="V9" s="103"/>
      <c r="W9" s="103"/>
      <c r="X9" s="103"/>
      <c r="Y9" s="103"/>
      <c r="Z9" s="103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5"/>
      <c r="AO9" s="23"/>
      <c r="AP9" s="23"/>
    </row>
    <row r="10">
      <c r="A10" s="24" t="s">
        <v>130</v>
      </c>
      <c r="B10" s="17"/>
      <c r="C10" s="17"/>
      <c r="D10" s="18"/>
      <c r="E10" s="106">
        <v>1.0</v>
      </c>
      <c r="F10" s="106" t="s">
        <v>21</v>
      </c>
      <c r="G10" s="107">
        <v>321.0</v>
      </c>
      <c r="H10" s="107" t="s">
        <v>22</v>
      </c>
      <c r="I10" s="109">
        <v>180.0</v>
      </c>
      <c r="J10" s="108"/>
      <c r="K10" s="109"/>
      <c r="L10" s="108"/>
      <c r="M10" s="109"/>
      <c r="N10" s="108"/>
      <c r="O10" s="109"/>
      <c r="P10" s="108"/>
      <c r="Q10" s="109">
        <v>600.0</v>
      </c>
      <c r="R10" s="110"/>
      <c r="S10" s="110"/>
      <c r="T10" s="111"/>
      <c r="U10" s="111"/>
      <c r="V10" s="110"/>
      <c r="W10" s="110"/>
      <c r="X10" s="110"/>
      <c r="Y10" s="111"/>
      <c r="Z10" s="110"/>
      <c r="AA10" s="110"/>
      <c r="AB10" s="110"/>
      <c r="AC10" s="110"/>
      <c r="AD10" s="110"/>
      <c r="AE10" s="111"/>
      <c r="AF10" s="110"/>
      <c r="AG10" s="110"/>
      <c r="AH10" s="110"/>
      <c r="AI10" s="110"/>
      <c r="AJ10" s="110"/>
      <c r="AK10" s="125"/>
      <c r="AL10" s="112"/>
      <c r="AM10" s="112"/>
      <c r="AN10" s="113">
        <f>G10+SUM(I10:AM10)-SUM(I11:AM11)</f>
        <v>801</v>
      </c>
      <c r="AO10" s="30">
        <f>ROUNDDOWN((AN10/E10)/$H$4,1)</f>
        <v>26.7</v>
      </c>
      <c r="AP10" s="30">
        <f>$M$4+AO10</f>
        <v>920.7</v>
      </c>
    </row>
    <row r="11">
      <c r="A11" s="212"/>
      <c r="B11" s="17"/>
      <c r="C11" s="17"/>
      <c r="D11" s="17"/>
      <c r="E11" s="17"/>
      <c r="F11" s="18"/>
      <c r="G11" s="114"/>
      <c r="H11" s="107" t="s">
        <v>23</v>
      </c>
      <c r="I11" s="108"/>
      <c r="J11" s="108"/>
      <c r="K11" s="108"/>
      <c r="L11" s="108"/>
      <c r="M11" s="108"/>
      <c r="N11" s="108"/>
      <c r="O11" s="108"/>
      <c r="P11" s="109"/>
      <c r="Q11" s="108"/>
      <c r="R11" s="110"/>
      <c r="S11" s="110"/>
      <c r="T11" s="111"/>
      <c r="U11" s="110"/>
      <c r="V11" s="110"/>
      <c r="W11" s="110"/>
      <c r="X11" s="110"/>
      <c r="Y11" s="110"/>
      <c r="Z11" s="110"/>
      <c r="AA11" s="111"/>
      <c r="AB11" s="111"/>
      <c r="AC11" s="110"/>
      <c r="AD11" s="125">
        <v>300.0</v>
      </c>
      <c r="AE11" s="110"/>
      <c r="AF11" s="110"/>
      <c r="AG11" s="110"/>
      <c r="AH11" s="110"/>
      <c r="AI11" s="110"/>
      <c r="AJ11" s="111"/>
      <c r="AK11" s="112"/>
      <c r="AL11" s="112"/>
      <c r="AM11" s="112"/>
      <c r="AN11" s="32"/>
    </row>
    <row r="12">
      <c r="A12" s="33"/>
      <c r="B12" s="33"/>
      <c r="C12" s="33"/>
      <c r="D12" s="33"/>
      <c r="E12" s="106"/>
      <c r="F12" s="106"/>
      <c r="G12" s="115"/>
      <c r="H12" s="107"/>
      <c r="I12" s="116"/>
      <c r="J12" s="117"/>
      <c r="K12" s="117"/>
      <c r="L12" s="114"/>
      <c r="M12" s="117"/>
      <c r="N12" s="117"/>
      <c r="O12" s="117"/>
      <c r="P12" s="117"/>
      <c r="Q12" s="117"/>
      <c r="R12" s="119"/>
      <c r="S12" s="112"/>
      <c r="T12" s="119"/>
      <c r="U12" s="119"/>
      <c r="V12" s="121"/>
      <c r="W12" s="119"/>
      <c r="X12" s="119"/>
      <c r="Y12" s="119"/>
      <c r="Z12" s="112"/>
      <c r="AA12" s="119"/>
      <c r="AB12" s="119"/>
      <c r="AC12" s="119"/>
      <c r="AD12" s="120"/>
      <c r="AE12" s="119"/>
      <c r="AF12" s="119"/>
      <c r="AG12" s="112"/>
      <c r="AH12" s="121"/>
      <c r="AI12" s="119"/>
      <c r="AJ12" s="119"/>
      <c r="AK12" s="119"/>
      <c r="AL12" s="119"/>
      <c r="AM12" s="119"/>
      <c r="AN12" s="122"/>
      <c r="AO12" s="30"/>
      <c r="AP12" s="30"/>
    </row>
    <row r="13">
      <c r="A13" s="24" t="s">
        <v>24</v>
      </c>
      <c r="B13" s="17"/>
      <c r="C13" s="17"/>
      <c r="D13" s="18"/>
      <c r="E13" s="106">
        <v>1.0</v>
      </c>
      <c r="F13" s="106" t="s">
        <v>21</v>
      </c>
      <c r="G13" s="115">
        <v>1520.0</v>
      </c>
      <c r="H13" s="107" t="s">
        <v>22</v>
      </c>
      <c r="I13" s="107"/>
      <c r="J13" s="114"/>
      <c r="K13" s="114"/>
      <c r="L13" s="114"/>
      <c r="M13" s="114"/>
      <c r="N13" s="114"/>
      <c r="O13" s="114"/>
      <c r="P13" s="114"/>
      <c r="Q13" s="114"/>
      <c r="R13" s="112"/>
      <c r="S13" s="112"/>
      <c r="T13" s="125"/>
      <c r="U13" s="112"/>
      <c r="V13" s="125"/>
      <c r="W13" s="112"/>
      <c r="X13" s="112"/>
      <c r="Y13" s="112"/>
      <c r="Z13" s="112"/>
      <c r="AA13" s="125"/>
      <c r="AB13" s="112"/>
      <c r="AC13" s="112"/>
      <c r="AD13" s="112"/>
      <c r="AE13" s="125"/>
      <c r="AF13" s="112"/>
      <c r="AG13" s="112"/>
      <c r="AH13" s="112"/>
      <c r="AI13" s="112"/>
      <c r="AJ13" s="112"/>
      <c r="AK13" s="112"/>
      <c r="AL13" s="112"/>
      <c r="AM13" s="112"/>
      <c r="AN13" s="113">
        <f>G13+SUM(I13:AM13)-SUM(I14:AM14)</f>
        <v>800</v>
      </c>
      <c r="AO13" s="30">
        <f>ROUNDDOWN((AN13/E13)/$H$4,1)</f>
        <v>26.6</v>
      </c>
      <c r="AP13" s="30">
        <f>$M$4+AO13</f>
        <v>920.6</v>
      </c>
    </row>
    <row r="14">
      <c r="A14" s="31"/>
      <c r="B14" s="17"/>
      <c r="C14" s="17"/>
      <c r="D14" s="17"/>
      <c r="E14" s="17"/>
      <c r="F14" s="18"/>
      <c r="G14" s="123"/>
      <c r="H14" s="107" t="s">
        <v>23</v>
      </c>
      <c r="I14" s="107">
        <v>60.0</v>
      </c>
      <c r="J14" s="107"/>
      <c r="K14" s="107">
        <v>60.0</v>
      </c>
      <c r="L14" s="107"/>
      <c r="M14" s="107"/>
      <c r="N14" s="107"/>
      <c r="O14" s="107">
        <v>60.0</v>
      </c>
      <c r="P14" s="107"/>
      <c r="Q14" s="107">
        <v>60.0</v>
      </c>
      <c r="R14" s="112"/>
      <c r="S14" s="125"/>
      <c r="T14" s="125"/>
      <c r="U14" s="125">
        <v>60.0</v>
      </c>
      <c r="V14" s="125">
        <v>60.0</v>
      </c>
      <c r="W14" s="125"/>
      <c r="X14" s="125"/>
      <c r="Y14" s="112"/>
      <c r="Z14" s="112"/>
      <c r="AA14" s="125">
        <v>60.0</v>
      </c>
      <c r="AB14" s="125"/>
      <c r="AC14" s="125">
        <v>60.0</v>
      </c>
      <c r="AD14" s="125">
        <v>60.0</v>
      </c>
      <c r="AE14" s="125"/>
      <c r="AF14" s="112"/>
      <c r="AG14" s="125"/>
      <c r="AH14" s="125"/>
      <c r="AI14" s="125">
        <v>60.0</v>
      </c>
      <c r="AJ14" s="125"/>
      <c r="AK14" s="125">
        <v>60.0</v>
      </c>
      <c r="AL14" s="112"/>
      <c r="AM14" s="125">
        <v>60.0</v>
      </c>
      <c r="AN14" s="32"/>
    </row>
    <row r="15">
      <c r="A15" s="33"/>
      <c r="B15" s="33"/>
      <c r="C15" s="33"/>
      <c r="D15" s="33"/>
      <c r="E15" s="106"/>
      <c r="F15" s="106"/>
      <c r="G15" s="107"/>
      <c r="H15" s="107"/>
      <c r="I15" s="124"/>
      <c r="J15" s="117"/>
      <c r="K15" s="118"/>
      <c r="L15" s="114"/>
      <c r="M15" s="117"/>
      <c r="N15" s="117"/>
      <c r="O15" s="124"/>
      <c r="P15" s="117"/>
      <c r="Q15" s="118"/>
      <c r="R15" s="119"/>
      <c r="S15" s="112"/>
      <c r="T15" s="119"/>
      <c r="U15" s="120"/>
      <c r="V15" s="127"/>
      <c r="W15" s="119"/>
      <c r="X15" s="119"/>
      <c r="Y15" s="119"/>
      <c r="Z15" s="112"/>
      <c r="AA15" s="120"/>
      <c r="AB15" s="119"/>
      <c r="AC15" s="120"/>
      <c r="AD15" s="120"/>
      <c r="AE15" s="119"/>
      <c r="AF15" s="119"/>
      <c r="AG15" s="112"/>
      <c r="AH15" s="119"/>
      <c r="AI15" s="120"/>
      <c r="AJ15" s="119"/>
      <c r="AK15" s="120"/>
      <c r="AL15" s="119"/>
      <c r="AM15" s="120"/>
      <c r="AN15" s="122"/>
      <c r="AO15" s="30"/>
      <c r="AP15" s="30"/>
    </row>
    <row r="16">
      <c r="A16" s="24" t="s">
        <v>25</v>
      </c>
      <c r="B16" s="17"/>
      <c r="C16" s="17"/>
      <c r="D16" s="18"/>
      <c r="E16" s="106">
        <v>4.0</v>
      </c>
      <c r="F16" s="106" t="s">
        <v>21</v>
      </c>
      <c r="G16" s="107">
        <v>2720.0</v>
      </c>
      <c r="H16" s="107" t="s">
        <v>22</v>
      </c>
      <c r="I16" s="107"/>
      <c r="J16" s="107">
        <v>1000.0</v>
      </c>
      <c r="K16" s="114"/>
      <c r="L16" s="114"/>
      <c r="M16" s="114"/>
      <c r="N16" s="114"/>
      <c r="O16" s="107"/>
      <c r="P16" s="114"/>
      <c r="Q16" s="114"/>
      <c r="R16" s="112"/>
      <c r="S16" s="112"/>
      <c r="T16" s="125"/>
      <c r="U16" s="112"/>
      <c r="V16" s="125"/>
      <c r="W16" s="112"/>
      <c r="X16" s="112"/>
      <c r="Y16" s="112"/>
      <c r="Z16" s="112"/>
      <c r="AA16" s="125"/>
      <c r="AB16" s="112"/>
      <c r="AC16" s="112"/>
      <c r="AD16" s="112"/>
      <c r="AE16" s="125"/>
      <c r="AF16" s="112"/>
      <c r="AG16" s="112"/>
      <c r="AH16" s="125"/>
      <c r="AI16" s="112"/>
      <c r="AJ16" s="112"/>
      <c r="AK16" s="112"/>
      <c r="AL16" s="112"/>
      <c r="AM16" s="112"/>
      <c r="AN16" s="113">
        <f>G16+SUM(I16:AM16)-SUM(I17:AM17)</f>
        <v>1320</v>
      </c>
      <c r="AO16" s="30">
        <f>ROUNDDOWN((AN16/E16)/$H$4,1)</f>
        <v>11</v>
      </c>
      <c r="AP16" s="30">
        <f>$M$4+AO16</f>
        <v>905</v>
      </c>
    </row>
    <row r="17">
      <c r="A17" s="31"/>
      <c r="B17" s="17"/>
      <c r="C17" s="17"/>
      <c r="D17" s="17"/>
      <c r="E17" s="17"/>
      <c r="F17" s="18"/>
      <c r="G17" s="114"/>
      <c r="H17" s="107" t="s">
        <v>23</v>
      </c>
      <c r="I17" s="107">
        <v>240.0</v>
      </c>
      <c r="J17" s="107"/>
      <c r="K17" s="107"/>
      <c r="L17" s="114"/>
      <c r="M17" s="107"/>
      <c r="N17" s="107"/>
      <c r="O17" s="114"/>
      <c r="P17" s="107">
        <v>240.0</v>
      </c>
      <c r="Q17" s="114"/>
      <c r="R17" s="112"/>
      <c r="S17" s="112"/>
      <c r="T17" s="125">
        <v>240.0</v>
      </c>
      <c r="U17" s="125"/>
      <c r="V17" s="125">
        <v>240.0</v>
      </c>
      <c r="W17" s="112"/>
      <c r="X17" s="125"/>
      <c r="Y17" s="125">
        <v>240.0</v>
      </c>
      <c r="Z17" s="125"/>
      <c r="AA17" s="125"/>
      <c r="AB17" s="125">
        <v>240.0</v>
      </c>
      <c r="AC17" s="125"/>
      <c r="AD17" s="125">
        <v>240.0</v>
      </c>
      <c r="AE17" s="112"/>
      <c r="AF17" s="125"/>
      <c r="AG17" s="112"/>
      <c r="AH17" s="125">
        <v>240.0</v>
      </c>
      <c r="AI17" s="112"/>
      <c r="AJ17" s="125"/>
      <c r="AK17" s="125">
        <v>240.0</v>
      </c>
      <c r="AL17" s="125"/>
      <c r="AM17" s="125">
        <v>240.0</v>
      </c>
      <c r="AN17" s="32"/>
    </row>
    <row r="18">
      <c r="A18" s="33"/>
      <c r="B18" s="33"/>
      <c r="C18" s="33"/>
      <c r="D18" s="33"/>
      <c r="E18" s="106"/>
      <c r="F18" s="106"/>
      <c r="G18" s="126"/>
      <c r="H18" s="107"/>
      <c r="I18" s="117"/>
      <c r="J18" s="117"/>
      <c r="K18" s="117"/>
      <c r="L18" s="114"/>
      <c r="M18" s="117"/>
      <c r="N18" s="117"/>
      <c r="O18" s="117"/>
      <c r="P18" s="118"/>
      <c r="Q18" s="117"/>
      <c r="R18" s="119"/>
      <c r="S18" s="125"/>
      <c r="T18" s="120"/>
      <c r="U18" s="121"/>
      <c r="V18" s="120"/>
      <c r="W18" s="121"/>
      <c r="X18" s="119"/>
      <c r="Y18" s="120"/>
      <c r="Z18" s="112"/>
      <c r="AA18" s="119"/>
      <c r="AB18" s="120"/>
      <c r="AC18" s="119"/>
      <c r="AD18" s="120"/>
      <c r="AE18" s="119"/>
      <c r="AF18" s="119"/>
      <c r="AG18" s="112"/>
      <c r="AH18" s="120"/>
      <c r="AI18" s="119"/>
      <c r="AJ18" s="119"/>
      <c r="AK18" s="120"/>
      <c r="AL18" s="119"/>
      <c r="AM18" s="127"/>
      <c r="AN18" s="122"/>
      <c r="AO18" s="30"/>
      <c r="AP18" s="30"/>
    </row>
    <row r="19">
      <c r="A19" s="24" t="s">
        <v>26</v>
      </c>
      <c r="B19" s="17"/>
      <c r="C19" s="17"/>
      <c r="D19" s="18"/>
      <c r="E19" s="106">
        <v>5.0</v>
      </c>
      <c r="F19" s="106" t="s">
        <v>21</v>
      </c>
      <c r="G19" s="126">
        <v>750.0</v>
      </c>
      <c r="H19" s="107" t="s">
        <v>22</v>
      </c>
      <c r="I19" s="107"/>
      <c r="J19" s="107">
        <v>600.0</v>
      </c>
      <c r="K19" s="114"/>
      <c r="L19" s="114"/>
      <c r="M19" s="107">
        <v>600.0</v>
      </c>
      <c r="N19" s="107">
        <v>300.0</v>
      </c>
      <c r="O19" s="114"/>
      <c r="P19" s="114"/>
      <c r="Q19" s="107">
        <v>900.0</v>
      </c>
      <c r="R19" s="112"/>
      <c r="S19" s="125"/>
      <c r="T19" s="112"/>
      <c r="U19" s="125">
        <v>900.0</v>
      </c>
      <c r="V19" s="112"/>
      <c r="W19" s="112"/>
      <c r="X19" s="125"/>
      <c r="Y19" s="112"/>
      <c r="Z19" s="112"/>
      <c r="AA19" s="125">
        <v>900.0</v>
      </c>
      <c r="AB19" s="125"/>
      <c r="AC19" s="125">
        <v>900.0</v>
      </c>
      <c r="AD19" s="112"/>
      <c r="AE19" s="112"/>
      <c r="AF19" s="112"/>
      <c r="AG19" s="125"/>
      <c r="AH19" s="112"/>
      <c r="AI19" s="125">
        <v>1500.0</v>
      </c>
      <c r="AJ19" s="112"/>
      <c r="AK19" s="112"/>
      <c r="AL19" s="112"/>
      <c r="AM19" s="112"/>
      <c r="AN19" s="113">
        <f>G19+SUM(I19:AM19)-SUM(I20:AM20)</f>
        <v>3870</v>
      </c>
      <c r="AO19" s="30">
        <f>ROUNDDOWN((AN19/E19)/$H$4,1)</f>
        <v>25.8</v>
      </c>
      <c r="AP19" s="30">
        <f>$M$4+AO19</f>
        <v>919.8</v>
      </c>
    </row>
    <row r="20">
      <c r="A20" s="31"/>
      <c r="B20" s="17"/>
      <c r="C20" s="17"/>
      <c r="D20" s="17"/>
      <c r="E20" s="17"/>
      <c r="F20" s="18"/>
      <c r="G20" s="114"/>
      <c r="H20" s="107" t="s">
        <v>23</v>
      </c>
      <c r="I20" s="107">
        <f>120+270</f>
        <v>390</v>
      </c>
      <c r="J20" s="107"/>
      <c r="K20" s="107">
        <v>120.0</v>
      </c>
      <c r="L20" s="107"/>
      <c r="M20" s="107"/>
      <c r="N20" s="107">
        <v>270.0</v>
      </c>
      <c r="O20" s="107">
        <v>120.0</v>
      </c>
      <c r="P20" s="107"/>
      <c r="Q20" s="114"/>
      <c r="R20" s="125">
        <v>270.0</v>
      </c>
      <c r="S20" s="125"/>
      <c r="T20" s="125"/>
      <c r="U20" s="125">
        <v>120.0</v>
      </c>
      <c r="V20" s="125">
        <v>120.0</v>
      </c>
      <c r="W20" s="125">
        <v>270.0</v>
      </c>
      <c r="X20" s="125"/>
      <c r="Y20" s="112"/>
      <c r="Z20" s="125"/>
      <c r="AA20" s="125">
        <v>120.0</v>
      </c>
      <c r="AB20" s="125">
        <v>270.0</v>
      </c>
      <c r="AC20" s="125">
        <v>120.0</v>
      </c>
      <c r="AD20" s="125">
        <f>120+270</f>
        <v>390</v>
      </c>
      <c r="AE20" s="112"/>
      <c r="AF20" s="125"/>
      <c r="AG20" s="125"/>
      <c r="AH20" s="125"/>
      <c r="AI20" s="125">
        <f>120+270</f>
        <v>390</v>
      </c>
      <c r="AJ20" s="125"/>
      <c r="AK20" s="125">
        <v>120.0</v>
      </c>
      <c r="AL20" s="112"/>
      <c r="AM20" s="125">
        <f>120+270</f>
        <v>390</v>
      </c>
      <c r="AN20" s="32"/>
    </row>
    <row r="21">
      <c r="A21" s="33"/>
      <c r="B21" s="33"/>
      <c r="C21" s="33"/>
      <c r="D21" s="33"/>
      <c r="E21" s="106"/>
      <c r="F21" s="106"/>
      <c r="G21" s="107"/>
      <c r="H21" s="107"/>
      <c r="I21" s="118"/>
      <c r="J21" s="117"/>
      <c r="K21" s="118"/>
      <c r="L21" s="114"/>
      <c r="M21" s="117"/>
      <c r="N21" s="118"/>
      <c r="O21" s="118"/>
      <c r="P21" s="117"/>
      <c r="Q21" s="117"/>
      <c r="R21" s="120"/>
      <c r="S21" s="112"/>
      <c r="T21" s="119"/>
      <c r="U21" s="120"/>
      <c r="V21" s="120"/>
      <c r="W21" s="120"/>
      <c r="X21" s="119"/>
      <c r="Y21" s="119"/>
      <c r="Z21" s="112"/>
      <c r="AA21" s="120"/>
      <c r="AB21" s="120"/>
      <c r="AC21" s="120"/>
      <c r="AD21" s="120"/>
      <c r="AE21" s="119"/>
      <c r="AF21" s="119"/>
      <c r="AG21" s="112"/>
      <c r="AH21" s="119"/>
      <c r="AI21" s="120"/>
      <c r="AJ21" s="119"/>
      <c r="AK21" s="120"/>
      <c r="AL21" s="119"/>
      <c r="AM21" s="120"/>
      <c r="AN21" s="122"/>
      <c r="AO21" s="30"/>
      <c r="AP21" s="30"/>
    </row>
    <row r="22">
      <c r="A22" s="24" t="s">
        <v>27</v>
      </c>
      <c r="B22" s="17"/>
      <c r="C22" s="17"/>
      <c r="D22" s="18"/>
      <c r="E22" s="106">
        <v>4.0</v>
      </c>
      <c r="F22" s="106" t="s">
        <v>21</v>
      </c>
      <c r="G22" s="107">
        <v>3244.0</v>
      </c>
      <c r="H22" s="107" t="s">
        <v>22</v>
      </c>
      <c r="I22" s="107"/>
      <c r="J22" s="114"/>
      <c r="K22" s="107"/>
      <c r="L22" s="114"/>
      <c r="M22" s="114"/>
      <c r="N22" s="114"/>
      <c r="O22" s="114"/>
      <c r="P22" s="107"/>
      <c r="Q22" s="114"/>
      <c r="R22" s="125"/>
      <c r="S22" s="112"/>
      <c r="T22" s="125"/>
      <c r="U22" s="112"/>
      <c r="V22" s="112"/>
      <c r="W22" s="112"/>
      <c r="X22" s="112"/>
      <c r="Y22" s="125"/>
      <c r="Z22" s="112"/>
      <c r="AA22" s="112"/>
      <c r="AB22" s="112"/>
      <c r="AC22" s="125">
        <v>600.0</v>
      </c>
      <c r="AD22" s="125"/>
      <c r="AE22" s="112"/>
      <c r="AF22" s="125"/>
      <c r="AG22" s="112"/>
      <c r="AH22" s="112"/>
      <c r="AI22" s="125">
        <v>600.0</v>
      </c>
      <c r="AJ22" s="112"/>
      <c r="AK22" s="125"/>
      <c r="AL22" s="125">
        <v>600.0</v>
      </c>
      <c r="AM22" s="112"/>
      <c r="AN22" s="113">
        <f>G22+SUM(I22:AM22)-SUM(I23:AM23)</f>
        <v>2044</v>
      </c>
      <c r="AO22" s="30">
        <f>ROUNDDOWN((AN22/E22)/$H$4,1)</f>
        <v>17</v>
      </c>
      <c r="AP22" s="30">
        <f>$M$4+AO22</f>
        <v>911</v>
      </c>
    </row>
    <row r="23">
      <c r="A23" s="31"/>
      <c r="B23" s="17"/>
      <c r="C23" s="17"/>
      <c r="D23" s="17"/>
      <c r="E23" s="17"/>
      <c r="F23" s="18"/>
      <c r="G23" s="114"/>
      <c r="H23" s="107" t="s">
        <v>23</v>
      </c>
      <c r="I23" s="107">
        <v>240.0</v>
      </c>
      <c r="J23" s="107"/>
      <c r="K23" s="107">
        <v>240.0</v>
      </c>
      <c r="L23" s="107"/>
      <c r="M23" s="107"/>
      <c r="N23" s="107">
        <v>240.0</v>
      </c>
      <c r="O23" s="107">
        <v>240.0</v>
      </c>
      <c r="P23" s="107"/>
      <c r="Q23" s="107">
        <v>240.0</v>
      </c>
      <c r="R23" s="112"/>
      <c r="S23" s="125"/>
      <c r="T23" s="125"/>
      <c r="U23" s="125">
        <v>240.0</v>
      </c>
      <c r="V23" s="125">
        <v>240.0</v>
      </c>
      <c r="W23" s="125"/>
      <c r="X23" s="125"/>
      <c r="Y23" s="112"/>
      <c r="Z23" s="112"/>
      <c r="AA23" s="125">
        <v>240.0</v>
      </c>
      <c r="AB23" s="125"/>
      <c r="AC23" s="125">
        <v>240.0</v>
      </c>
      <c r="AD23" s="125">
        <v>120.0</v>
      </c>
      <c r="AE23" s="112"/>
      <c r="AF23" s="112"/>
      <c r="AG23" s="125"/>
      <c r="AH23" s="125"/>
      <c r="AI23" s="125">
        <v>240.0</v>
      </c>
      <c r="AJ23" s="125"/>
      <c r="AK23" s="125">
        <v>240.0</v>
      </c>
      <c r="AL23" s="112"/>
      <c r="AM23" s="125">
        <v>240.0</v>
      </c>
      <c r="AN23" s="32"/>
    </row>
    <row r="24">
      <c r="A24" s="33"/>
      <c r="B24" s="33"/>
      <c r="C24" s="33"/>
      <c r="D24" s="33"/>
      <c r="E24" s="106"/>
      <c r="F24" s="106"/>
      <c r="G24" s="107"/>
      <c r="H24" s="107"/>
      <c r="I24" s="124"/>
      <c r="J24" s="117"/>
      <c r="K24" s="118"/>
      <c r="L24" s="114"/>
      <c r="M24" s="117"/>
      <c r="N24" s="118"/>
      <c r="O24" s="118"/>
      <c r="P24" s="117"/>
      <c r="Q24" s="118"/>
      <c r="R24" s="119"/>
      <c r="S24" s="112"/>
      <c r="T24" s="119"/>
      <c r="U24" s="120"/>
      <c r="V24" s="120"/>
      <c r="W24" s="119"/>
      <c r="X24" s="119"/>
      <c r="Y24" s="119"/>
      <c r="Z24" s="112"/>
      <c r="AA24" s="120"/>
      <c r="AB24" s="119"/>
      <c r="AC24" s="120"/>
      <c r="AD24" s="120"/>
      <c r="AE24" s="119"/>
      <c r="AF24" s="119"/>
      <c r="AG24" s="112"/>
      <c r="AH24" s="119"/>
      <c r="AI24" s="120"/>
      <c r="AJ24" s="119"/>
      <c r="AK24" s="120"/>
      <c r="AL24" s="119"/>
      <c r="AM24" s="120"/>
      <c r="AN24" s="122"/>
      <c r="AO24" s="30"/>
      <c r="AP24" s="30"/>
    </row>
    <row r="25">
      <c r="A25" s="24" t="s">
        <v>28</v>
      </c>
      <c r="B25" s="17"/>
      <c r="C25" s="17"/>
      <c r="D25" s="18"/>
      <c r="E25" s="106">
        <v>4.0</v>
      </c>
      <c r="F25" s="106" t="s">
        <v>21</v>
      </c>
      <c r="G25" s="107">
        <f>690*4</f>
        <v>2760</v>
      </c>
      <c r="H25" s="107" t="s">
        <v>22</v>
      </c>
      <c r="I25" s="107"/>
      <c r="J25" s="107"/>
      <c r="K25" s="114"/>
      <c r="L25" s="114"/>
      <c r="M25" s="107"/>
      <c r="N25" s="114"/>
      <c r="O25" s="114"/>
      <c r="P25" s="114"/>
      <c r="Q25" s="114"/>
      <c r="R25" s="125"/>
      <c r="S25" s="112"/>
      <c r="T25" s="125"/>
      <c r="U25" s="112"/>
      <c r="V25" s="112"/>
      <c r="W25" s="112"/>
      <c r="X25" s="112"/>
      <c r="Y25" s="125"/>
      <c r="Z25" s="112"/>
      <c r="AA25" s="125">
        <v>240.0</v>
      </c>
      <c r="AB25" s="112"/>
      <c r="AC25" s="112"/>
      <c r="AD25" s="125"/>
      <c r="AE25" s="112"/>
      <c r="AF25" s="125"/>
      <c r="AG25" s="112"/>
      <c r="AH25" s="125"/>
      <c r="AI25" s="125">
        <v>480.0</v>
      </c>
      <c r="AJ25" s="112"/>
      <c r="AK25" s="125"/>
      <c r="AL25" s="125">
        <v>480.0</v>
      </c>
      <c r="AM25" s="125"/>
      <c r="AN25" s="113">
        <f>G25+SUM(I25:AM25)-SUM(I26:AM26)</f>
        <v>1260</v>
      </c>
      <c r="AO25" s="30">
        <f>ROUNDDOWN((AN25/E25)/$H$4,1)</f>
        <v>10.5</v>
      </c>
      <c r="AP25" s="30">
        <f>$M$4+AO25</f>
        <v>904.5</v>
      </c>
    </row>
    <row r="26">
      <c r="A26" s="31"/>
      <c r="B26" s="17"/>
      <c r="C26" s="17"/>
      <c r="D26" s="17"/>
      <c r="E26" s="17"/>
      <c r="F26" s="18"/>
      <c r="G26" s="114"/>
      <c r="H26" s="107" t="s">
        <v>23</v>
      </c>
      <c r="I26" s="107">
        <v>720.0</v>
      </c>
      <c r="J26" s="107"/>
      <c r="K26" s="114"/>
      <c r="L26" s="114"/>
      <c r="M26" s="107"/>
      <c r="N26" s="114"/>
      <c r="O26" s="114"/>
      <c r="P26" s="107"/>
      <c r="Q26" s="114"/>
      <c r="R26" s="112"/>
      <c r="S26" s="112"/>
      <c r="T26" s="125">
        <v>480.0</v>
      </c>
      <c r="U26" s="112"/>
      <c r="V26" s="112"/>
      <c r="W26" s="112"/>
      <c r="X26" s="112"/>
      <c r="Y26" s="112"/>
      <c r="Z26" s="112"/>
      <c r="AA26" s="125">
        <v>420.0</v>
      </c>
      <c r="AB26" s="125"/>
      <c r="AC26" s="112"/>
      <c r="AD26" s="112"/>
      <c r="AE26" s="125">
        <v>480.0</v>
      </c>
      <c r="AF26" s="125"/>
      <c r="AG26" s="112"/>
      <c r="AH26" s="112"/>
      <c r="AI26" s="125"/>
      <c r="AJ26" s="125">
        <v>600.0</v>
      </c>
      <c r="AK26" s="112"/>
      <c r="AL26" s="112"/>
      <c r="AM26" s="112"/>
      <c r="AN26" s="32"/>
    </row>
    <row r="27">
      <c r="A27" s="33"/>
      <c r="B27" s="33"/>
      <c r="C27" s="33"/>
      <c r="D27" s="33"/>
      <c r="E27" s="106"/>
      <c r="F27" s="106"/>
      <c r="G27" s="107"/>
      <c r="H27" s="107"/>
      <c r="I27" s="124"/>
      <c r="J27" s="117"/>
      <c r="K27" s="117"/>
      <c r="L27" s="114"/>
      <c r="M27" s="117"/>
      <c r="N27" s="117"/>
      <c r="O27" s="117"/>
      <c r="P27" s="117"/>
      <c r="Q27" s="117"/>
      <c r="R27" s="119"/>
      <c r="S27" s="125"/>
      <c r="T27" s="120"/>
      <c r="U27" s="120"/>
      <c r="V27" s="121"/>
      <c r="W27" s="119"/>
      <c r="X27" s="119"/>
      <c r="Y27" s="119"/>
      <c r="Z27" s="112"/>
      <c r="AA27" s="120"/>
      <c r="AB27" s="119"/>
      <c r="AC27" s="119"/>
      <c r="AD27" s="119"/>
      <c r="AE27" s="120"/>
      <c r="AF27" s="119"/>
      <c r="AG27" s="112"/>
      <c r="AH27" s="121"/>
      <c r="AI27" s="119"/>
      <c r="AJ27" s="120"/>
      <c r="AK27" s="119"/>
      <c r="AL27" s="119"/>
      <c r="AM27" s="119"/>
      <c r="AN27" s="122"/>
      <c r="AO27" s="30"/>
      <c r="AP27" s="30"/>
    </row>
    <row r="28">
      <c r="A28" s="24" t="s">
        <v>29</v>
      </c>
      <c r="B28" s="17"/>
      <c r="C28" s="17"/>
      <c r="D28" s="18"/>
      <c r="E28" s="106">
        <v>1.0</v>
      </c>
      <c r="F28" s="106" t="s">
        <v>30</v>
      </c>
      <c r="G28" s="107">
        <v>170.0</v>
      </c>
      <c r="H28" s="107" t="s">
        <v>22</v>
      </c>
      <c r="I28" s="107"/>
      <c r="J28" s="107"/>
      <c r="K28" s="114"/>
      <c r="L28" s="114"/>
      <c r="M28" s="114"/>
      <c r="N28" s="107">
        <v>100.0</v>
      </c>
      <c r="O28" s="114"/>
      <c r="P28" s="114"/>
      <c r="Q28" s="107"/>
      <c r="R28" s="125">
        <v>60.0</v>
      </c>
      <c r="S28" s="125"/>
      <c r="T28" s="112"/>
      <c r="U28" s="112"/>
      <c r="V28" s="125">
        <v>90.0</v>
      </c>
      <c r="W28" s="112"/>
      <c r="X28" s="125">
        <v>60.0</v>
      </c>
      <c r="Y28" s="112"/>
      <c r="Z28" s="112"/>
      <c r="AA28" s="112"/>
      <c r="AB28" s="125"/>
      <c r="AC28" s="125">
        <v>60.0</v>
      </c>
      <c r="AD28" s="112"/>
      <c r="AE28" s="112"/>
      <c r="AF28" s="125"/>
      <c r="AG28" s="112"/>
      <c r="AH28" s="125"/>
      <c r="AI28" s="125"/>
      <c r="AJ28" s="125">
        <v>100.0</v>
      </c>
      <c r="AK28" s="125">
        <v>110.0</v>
      </c>
      <c r="AL28" s="112"/>
      <c r="AM28" s="125">
        <v>60.0</v>
      </c>
      <c r="AN28" s="113">
        <f>G28+SUM(I28:AM28)-SUM(I29:AM29)</f>
        <v>192</v>
      </c>
      <c r="AO28" s="30">
        <f>ROUNDDOWN((AN28/E28)/$H$4,1)</f>
        <v>6.4</v>
      </c>
      <c r="AP28" s="30">
        <f>$M$4+AO28</f>
        <v>900.4</v>
      </c>
    </row>
    <row r="29">
      <c r="A29" s="31"/>
      <c r="B29" s="17"/>
      <c r="C29" s="17"/>
      <c r="D29" s="17"/>
      <c r="E29" s="17"/>
      <c r="F29" s="18"/>
      <c r="G29" s="114"/>
      <c r="H29" s="107" t="s">
        <v>23</v>
      </c>
      <c r="I29" s="107">
        <f>15+15</f>
        <v>30</v>
      </c>
      <c r="J29" s="107">
        <v>15.0</v>
      </c>
      <c r="K29" s="107">
        <v>15.0</v>
      </c>
      <c r="L29" s="107"/>
      <c r="M29" s="107">
        <f t="shared" ref="M29:N29" si="1">15+15</f>
        <v>30</v>
      </c>
      <c r="N29" s="114">
        <f t="shared" si="1"/>
        <v>30</v>
      </c>
      <c r="O29" s="107">
        <v>15.0</v>
      </c>
      <c r="P29" s="114"/>
      <c r="Q29" s="114">
        <f t="shared" ref="Q29:R29" si="2">15+15</f>
        <v>30</v>
      </c>
      <c r="R29" s="125">
        <f t="shared" si="2"/>
        <v>30</v>
      </c>
      <c r="S29" s="112"/>
      <c r="T29" s="125">
        <v>15.0</v>
      </c>
      <c r="U29" s="125">
        <f>15+15</f>
        <v>30</v>
      </c>
      <c r="V29" s="125">
        <v>15.0</v>
      </c>
      <c r="W29" s="125">
        <f>15+16</f>
        <v>31</v>
      </c>
      <c r="X29" s="125">
        <f>15+15</f>
        <v>30</v>
      </c>
      <c r="Y29" s="125">
        <v>15.0</v>
      </c>
      <c r="Z29" s="125"/>
      <c r="AA29" s="125">
        <v>15.0</v>
      </c>
      <c r="AB29" s="125">
        <f t="shared" ref="AB29:AF29" si="3">15+15</f>
        <v>30</v>
      </c>
      <c r="AC29" s="125">
        <f t="shared" si="3"/>
        <v>30</v>
      </c>
      <c r="AD29" s="112">
        <f t="shared" si="3"/>
        <v>30</v>
      </c>
      <c r="AE29" s="112">
        <f t="shared" si="3"/>
        <v>30</v>
      </c>
      <c r="AF29" s="125">
        <f t="shared" si="3"/>
        <v>30</v>
      </c>
      <c r="AG29" s="112"/>
      <c r="AH29" s="125">
        <v>30.0</v>
      </c>
      <c r="AI29" s="125"/>
      <c r="AJ29" s="112">
        <f>17+15</f>
        <v>32</v>
      </c>
      <c r="AK29" s="125">
        <v>15.0</v>
      </c>
      <c r="AL29" s="125">
        <v>15.0</v>
      </c>
      <c r="AM29" s="125">
        <f>15+15</f>
        <v>30</v>
      </c>
      <c r="AN29" s="32"/>
    </row>
    <row r="30">
      <c r="A30" s="128"/>
      <c r="B30" s="128"/>
      <c r="C30" s="128"/>
      <c r="D30" s="128"/>
      <c r="E30" s="128"/>
      <c r="F30" s="128"/>
      <c r="G30" s="129"/>
      <c r="H30" s="129"/>
      <c r="I30" s="130"/>
      <c r="J30" s="130"/>
      <c r="K30" s="130"/>
      <c r="L30" s="131"/>
      <c r="M30" s="130"/>
      <c r="N30" s="130"/>
      <c r="O30" s="130"/>
      <c r="P30" s="213"/>
      <c r="Q30" s="130"/>
      <c r="R30" s="120"/>
      <c r="S30" s="112"/>
      <c r="T30" s="120"/>
      <c r="U30" s="120"/>
      <c r="V30" s="120"/>
      <c r="W30" s="120"/>
      <c r="X30" s="120"/>
      <c r="Y30" s="120"/>
      <c r="Z30" s="112"/>
      <c r="AA30" s="120"/>
      <c r="AB30" s="120"/>
      <c r="AC30" s="120"/>
      <c r="AD30" s="120"/>
      <c r="AE30" s="120"/>
      <c r="AF30" s="120"/>
      <c r="AG30" s="112"/>
      <c r="AH30" s="120"/>
      <c r="AI30" s="119"/>
      <c r="AJ30" s="120"/>
      <c r="AK30" s="120"/>
      <c r="AL30" s="120"/>
      <c r="AM30" s="120"/>
      <c r="AN30" s="110"/>
      <c r="AO30" s="49"/>
      <c r="AP30" s="49"/>
    </row>
    <row r="31">
      <c r="A31" s="50" t="s">
        <v>31</v>
      </c>
      <c r="B31" s="17"/>
      <c r="C31" s="17"/>
      <c r="D31" s="17"/>
      <c r="E31" s="17"/>
      <c r="F31" s="17"/>
      <c r="G31" s="132"/>
      <c r="H31" s="132"/>
      <c r="I31" s="133"/>
      <c r="J31" s="133"/>
      <c r="K31" s="133"/>
      <c r="L31" s="133"/>
      <c r="M31" s="133"/>
      <c r="N31" s="133"/>
      <c r="O31" s="133"/>
      <c r="P31" s="133"/>
      <c r="Q31" s="133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5"/>
      <c r="AM31" s="135"/>
      <c r="AN31" s="135"/>
      <c r="AO31" s="52"/>
      <c r="AP31" s="52"/>
    </row>
    <row r="32">
      <c r="A32" s="24" t="s">
        <v>32</v>
      </c>
      <c r="B32" s="17"/>
      <c r="C32" s="17"/>
      <c r="D32" s="18"/>
      <c r="E32" s="106">
        <v>2.0</v>
      </c>
      <c r="F32" s="106" t="s">
        <v>21</v>
      </c>
      <c r="G32" s="107">
        <v>191.0</v>
      </c>
      <c r="H32" s="107" t="s">
        <v>22</v>
      </c>
      <c r="I32" s="107"/>
      <c r="J32" s="107">
        <f>30+45</f>
        <v>75</v>
      </c>
      <c r="K32" s="107">
        <v>30.0</v>
      </c>
      <c r="L32" s="107"/>
      <c r="M32" s="107">
        <v>60.0</v>
      </c>
      <c r="N32" s="107">
        <v>30.0</v>
      </c>
      <c r="O32" s="107">
        <v>30.0</v>
      </c>
      <c r="P32" s="107">
        <v>60.0</v>
      </c>
      <c r="Q32" s="107">
        <f t="shared" ref="Q32:Q33" si="5">30+30</f>
        <v>60</v>
      </c>
      <c r="R32" s="125">
        <v>15.0</v>
      </c>
      <c r="S32" s="125"/>
      <c r="T32" s="125">
        <v>30.0</v>
      </c>
      <c r="U32" s="125">
        <v>30.0</v>
      </c>
      <c r="V32" s="125">
        <f>30+45</f>
        <v>75</v>
      </c>
      <c r="W32" s="125">
        <f>45+15</f>
        <v>60</v>
      </c>
      <c r="X32" s="125">
        <v>45.0</v>
      </c>
      <c r="Y32" s="125">
        <f>45+15</f>
        <v>60</v>
      </c>
      <c r="Z32" s="125"/>
      <c r="AA32" s="125">
        <v>60.0</v>
      </c>
      <c r="AB32" s="125"/>
      <c r="AC32" s="125">
        <f>30+15</f>
        <v>45</v>
      </c>
      <c r="AD32" s="125">
        <v>60.0</v>
      </c>
      <c r="AE32" s="125"/>
      <c r="AF32" s="125">
        <v>90.0</v>
      </c>
      <c r="AG32" s="125"/>
      <c r="AH32" s="125"/>
      <c r="AI32" s="125">
        <v>45.0</v>
      </c>
      <c r="AJ32" s="125">
        <f>15+30+30</f>
        <v>75</v>
      </c>
      <c r="AK32" s="125">
        <f>30+45</f>
        <v>75</v>
      </c>
      <c r="AL32" s="125">
        <f>45+30</f>
        <v>75</v>
      </c>
      <c r="AM32" s="125">
        <v>45.0</v>
      </c>
      <c r="AN32" s="113">
        <f>G32+SUM(I32:AM32)-SUM(I33:AM33)</f>
        <v>184</v>
      </c>
      <c r="AO32" s="53">
        <f>ROUNDDOWN((AN32/E32)/$H$4,1)</f>
        <v>3</v>
      </c>
      <c r="AP32" s="53">
        <f>$M$3+AO32</f>
        <v>895</v>
      </c>
    </row>
    <row r="33">
      <c r="A33" s="31"/>
      <c r="B33" s="17"/>
      <c r="C33" s="17"/>
      <c r="D33" s="17"/>
      <c r="E33" s="17"/>
      <c r="F33" s="18"/>
      <c r="G33" s="114"/>
      <c r="H33" s="107" t="s">
        <v>23</v>
      </c>
      <c r="I33" s="107">
        <f>30+30</f>
        <v>60</v>
      </c>
      <c r="J33" s="107">
        <v>30.0</v>
      </c>
      <c r="K33" s="107">
        <v>30.0</v>
      </c>
      <c r="L33" s="107"/>
      <c r="M33" s="107">
        <f t="shared" ref="M33:N33" si="4">30+30</f>
        <v>60</v>
      </c>
      <c r="N33" s="114">
        <f t="shared" si="4"/>
        <v>60</v>
      </c>
      <c r="O33" s="107">
        <v>30.0</v>
      </c>
      <c r="P33" s="114"/>
      <c r="Q33" s="114">
        <f t="shared" si="5"/>
        <v>60</v>
      </c>
      <c r="R33" s="125">
        <f>30+30</f>
        <v>60</v>
      </c>
      <c r="S33" s="112"/>
      <c r="T33" s="125">
        <v>30.0</v>
      </c>
      <c r="U33" s="125">
        <f>30+30</f>
        <v>60</v>
      </c>
      <c r="V33" s="125">
        <v>30.0</v>
      </c>
      <c r="W33" s="125">
        <f>30+32</f>
        <v>62</v>
      </c>
      <c r="X33" s="125">
        <f>30+30</f>
        <v>60</v>
      </c>
      <c r="Y33" s="125">
        <v>30.0</v>
      </c>
      <c r="Z33" s="125"/>
      <c r="AA33" s="125">
        <v>30.0</v>
      </c>
      <c r="AB33" s="125">
        <f t="shared" ref="AB33:AC33" si="6">30+30</f>
        <v>60</v>
      </c>
      <c r="AC33" s="125">
        <f t="shared" si="6"/>
        <v>60</v>
      </c>
      <c r="AD33" s="112">
        <f>30+30+1</f>
        <v>61</v>
      </c>
      <c r="AE33" s="112">
        <f t="shared" ref="AE33:AF33" si="7">30+30</f>
        <v>60</v>
      </c>
      <c r="AF33" s="125">
        <f t="shared" si="7"/>
        <v>60</v>
      </c>
      <c r="AG33" s="125"/>
      <c r="AH33" s="125">
        <v>60.0</v>
      </c>
      <c r="AI33" s="125"/>
      <c r="AJ33" s="112">
        <f>30+34</f>
        <v>64</v>
      </c>
      <c r="AK33" s="125">
        <v>30.0</v>
      </c>
      <c r="AL33" s="125">
        <v>30.0</v>
      </c>
      <c r="AM33" s="125">
        <f>30+30</f>
        <v>60</v>
      </c>
      <c r="AN33" s="32"/>
    </row>
    <row r="34">
      <c r="A34" s="33"/>
      <c r="B34" s="33"/>
      <c r="C34" s="33"/>
      <c r="D34" s="33"/>
      <c r="E34" s="106"/>
      <c r="F34" s="106"/>
      <c r="G34" s="107"/>
      <c r="H34" s="107"/>
      <c r="I34" s="124"/>
      <c r="J34" s="118"/>
      <c r="K34" s="124"/>
      <c r="L34" s="107"/>
      <c r="M34" s="124"/>
      <c r="N34" s="124"/>
      <c r="O34" s="118"/>
      <c r="P34" s="116"/>
      <c r="Q34" s="118"/>
      <c r="R34" s="127"/>
      <c r="S34" s="125"/>
      <c r="T34" s="120"/>
      <c r="U34" s="127"/>
      <c r="V34" s="127"/>
      <c r="W34" s="127"/>
      <c r="X34" s="120"/>
      <c r="Y34" s="120"/>
      <c r="Z34" s="112"/>
      <c r="AA34" s="120"/>
      <c r="AB34" s="127"/>
      <c r="AC34" s="127"/>
      <c r="AD34" s="127"/>
      <c r="AE34" s="120"/>
      <c r="AF34" s="120"/>
      <c r="AG34" s="125"/>
      <c r="AH34" s="127"/>
      <c r="AI34" s="119"/>
      <c r="AJ34" s="120"/>
      <c r="AK34" s="120"/>
      <c r="AL34" s="120"/>
      <c r="AM34" s="120"/>
      <c r="AN34" s="122"/>
      <c r="AO34" s="53"/>
      <c r="AP34" s="53"/>
    </row>
    <row r="35">
      <c r="A35" s="24" t="s">
        <v>33</v>
      </c>
      <c r="B35" s="17"/>
      <c r="C35" s="17"/>
      <c r="D35" s="18"/>
      <c r="E35" s="106">
        <v>2.0</v>
      </c>
      <c r="F35" s="106" t="s">
        <v>21</v>
      </c>
      <c r="G35" s="107">
        <v>168.0</v>
      </c>
      <c r="H35" s="107" t="s">
        <v>22</v>
      </c>
      <c r="I35" s="107"/>
      <c r="J35" s="107">
        <f>30+45</f>
        <v>75</v>
      </c>
      <c r="K35" s="107">
        <v>30.0</v>
      </c>
      <c r="L35" s="107"/>
      <c r="M35" s="107">
        <v>60.0</v>
      </c>
      <c r="N35" s="107">
        <v>30.0</v>
      </c>
      <c r="O35" s="107">
        <v>30.0</v>
      </c>
      <c r="P35" s="107">
        <v>60.0</v>
      </c>
      <c r="Q35" s="107">
        <f t="shared" ref="Q35:Q36" si="9">30+30</f>
        <v>60</v>
      </c>
      <c r="R35" s="125">
        <v>15.0</v>
      </c>
      <c r="S35" s="125"/>
      <c r="T35" s="125">
        <v>30.0</v>
      </c>
      <c r="U35" s="125">
        <v>30.0</v>
      </c>
      <c r="V35" s="125">
        <f>30+45</f>
        <v>75</v>
      </c>
      <c r="W35" s="125">
        <f>45+15</f>
        <v>60</v>
      </c>
      <c r="X35" s="125">
        <v>45.0</v>
      </c>
      <c r="Y35" s="125">
        <f>45+15</f>
        <v>60</v>
      </c>
      <c r="Z35" s="125"/>
      <c r="AA35" s="125">
        <v>60.0</v>
      </c>
      <c r="AB35" s="125"/>
      <c r="AC35" s="125">
        <f>30+15</f>
        <v>45</v>
      </c>
      <c r="AD35" s="125">
        <v>60.0</v>
      </c>
      <c r="AE35" s="125"/>
      <c r="AF35" s="125">
        <v>90.0</v>
      </c>
      <c r="AG35" s="125"/>
      <c r="AH35" s="125"/>
      <c r="AI35" s="125">
        <v>45.0</v>
      </c>
      <c r="AJ35" s="125">
        <f>15+30+30</f>
        <v>75</v>
      </c>
      <c r="AK35" s="125">
        <f>30+45</f>
        <v>75</v>
      </c>
      <c r="AL35" s="125">
        <f>45+30</f>
        <v>75</v>
      </c>
      <c r="AM35" s="125">
        <v>45.0</v>
      </c>
      <c r="AN35" s="113">
        <f>G35+SUM(I35:AM35)-SUM(I36:AM36)</f>
        <v>162</v>
      </c>
      <c r="AO35" s="53">
        <f>ROUNDDOWN((AN35/E35)/$H$4,1)</f>
        <v>2.7</v>
      </c>
      <c r="AP35" s="53">
        <f>$M$3+AO35</f>
        <v>894.7</v>
      </c>
    </row>
    <row r="36">
      <c r="A36" s="31"/>
      <c r="B36" s="17"/>
      <c r="C36" s="17"/>
      <c r="D36" s="17"/>
      <c r="E36" s="17"/>
      <c r="F36" s="18"/>
      <c r="G36" s="114"/>
      <c r="H36" s="107" t="s">
        <v>23</v>
      </c>
      <c r="I36" s="107">
        <f>30+30</f>
        <v>60</v>
      </c>
      <c r="J36" s="107">
        <v>30.0</v>
      </c>
      <c r="K36" s="107">
        <v>30.0</v>
      </c>
      <c r="L36" s="107"/>
      <c r="M36" s="107">
        <f t="shared" ref="M36:N36" si="8">30+30</f>
        <v>60</v>
      </c>
      <c r="N36" s="114">
        <f t="shared" si="8"/>
        <v>60</v>
      </c>
      <c r="O36" s="107">
        <v>30.0</v>
      </c>
      <c r="P36" s="114"/>
      <c r="Q36" s="114">
        <f t="shared" si="9"/>
        <v>60</v>
      </c>
      <c r="R36" s="125">
        <f>30+30</f>
        <v>60</v>
      </c>
      <c r="S36" s="112"/>
      <c r="T36" s="125">
        <v>30.0</v>
      </c>
      <c r="U36" s="125">
        <f>30+30</f>
        <v>60</v>
      </c>
      <c r="V36" s="125">
        <v>30.0</v>
      </c>
      <c r="W36" s="125">
        <f>30+32</f>
        <v>62</v>
      </c>
      <c r="X36" s="125">
        <f>30+30</f>
        <v>60</v>
      </c>
      <c r="Y36" s="125">
        <v>30.0</v>
      </c>
      <c r="Z36" s="125"/>
      <c r="AA36" s="125">
        <v>30.0</v>
      </c>
      <c r="AB36" s="125">
        <f t="shared" ref="AB36:AF36" si="10">30+30</f>
        <v>60</v>
      </c>
      <c r="AC36" s="125">
        <f t="shared" si="10"/>
        <v>60</v>
      </c>
      <c r="AD36" s="112">
        <f t="shared" si="10"/>
        <v>60</v>
      </c>
      <c r="AE36" s="112">
        <f t="shared" si="10"/>
        <v>60</v>
      </c>
      <c r="AF36" s="125">
        <f t="shared" si="10"/>
        <v>60</v>
      </c>
      <c r="AG36" s="112"/>
      <c r="AH36" s="125">
        <v>60.0</v>
      </c>
      <c r="AI36" s="125"/>
      <c r="AJ36" s="112">
        <f>30+34</f>
        <v>64</v>
      </c>
      <c r="AK36" s="125">
        <v>30.0</v>
      </c>
      <c r="AL36" s="125">
        <v>30.0</v>
      </c>
      <c r="AM36" s="125">
        <f>30+30</f>
        <v>60</v>
      </c>
      <c r="AN36" s="32"/>
    </row>
    <row r="37">
      <c r="A37" s="33"/>
      <c r="B37" s="33"/>
      <c r="C37" s="33"/>
      <c r="D37" s="33"/>
      <c r="E37" s="106"/>
      <c r="F37" s="106"/>
      <c r="G37" s="107"/>
      <c r="H37" s="107"/>
      <c r="I37" s="118"/>
      <c r="J37" s="118"/>
      <c r="K37" s="118"/>
      <c r="L37" s="114"/>
      <c r="M37" s="118"/>
      <c r="N37" s="118"/>
      <c r="O37" s="118"/>
      <c r="P37" s="117"/>
      <c r="Q37" s="118"/>
      <c r="R37" s="127"/>
      <c r="S37" s="112"/>
      <c r="T37" s="120"/>
      <c r="U37" s="120"/>
      <c r="V37" s="120"/>
      <c r="W37" s="120"/>
      <c r="X37" s="120"/>
      <c r="Y37" s="120"/>
      <c r="Z37" s="112"/>
      <c r="AA37" s="120"/>
      <c r="AB37" s="120"/>
      <c r="AC37" s="120"/>
      <c r="AD37" s="120"/>
      <c r="AE37" s="120"/>
      <c r="AF37" s="120"/>
      <c r="AG37" s="112"/>
      <c r="AH37" s="120"/>
      <c r="AI37" s="119"/>
      <c r="AJ37" s="120"/>
      <c r="AK37" s="120"/>
      <c r="AL37" s="120"/>
      <c r="AM37" s="120"/>
      <c r="AN37" s="122"/>
      <c r="AO37" s="53"/>
      <c r="AP37" s="53"/>
    </row>
    <row r="38">
      <c r="A38" s="24" t="s">
        <v>34</v>
      </c>
      <c r="B38" s="17"/>
      <c r="C38" s="17"/>
      <c r="D38" s="18"/>
      <c r="E38" s="106">
        <v>1.0</v>
      </c>
      <c r="F38" s="106" t="s">
        <v>21</v>
      </c>
      <c r="G38" s="107">
        <v>1615.0</v>
      </c>
      <c r="H38" s="107" t="s">
        <v>22</v>
      </c>
      <c r="I38" s="114"/>
      <c r="J38" s="114"/>
      <c r="K38" s="114"/>
      <c r="L38" s="114"/>
      <c r="M38" s="114"/>
      <c r="N38" s="114"/>
      <c r="O38" s="114"/>
      <c r="P38" s="114"/>
      <c r="Q38" s="114"/>
      <c r="R38" s="125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/>
      <c r="AH38" s="112"/>
      <c r="AI38" s="112"/>
      <c r="AJ38" s="125"/>
      <c r="AK38" s="125"/>
      <c r="AL38" s="112"/>
      <c r="AM38" s="112"/>
      <c r="AN38" s="113">
        <f>G38+SUM(I38:AM38)-SUM(I39:AM39)</f>
        <v>999</v>
      </c>
      <c r="AO38" s="53">
        <f>ROUNDDOWN((AN38/E38)/$H$4,1)</f>
        <v>33.3</v>
      </c>
      <c r="AP38" s="53">
        <f>$M$3+AO38</f>
        <v>925.3</v>
      </c>
    </row>
    <row r="39">
      <c r="A39" s="31"/>
      <c r="B39" s="17"/>
      <c r="C39" s="17"/>
      <c r="D39" s="17"/>
      <c r="E39" s="17"/>
      <c r="F39" s="18"/>
      <c r="G39" s="114"/>
      <c r="H39" s="107" t="s">
        <v>23</v>
      </c>
      <c r="I39" s="107"/>
      <c r="J39" s="107">
        <v>30.0</v>
      </c>
      <c r="K39" s="107">
        <v>60.0</v>
      </c>
      <c r="L39" s="107"/>
      <c r="M39" s="114"/>
      <c r="N39" s="107">
        <f>1+50</f>
        <v>51</v>
      </c>
      <c r="O39" s="107">
        <v>50.0</v>
      </c>
      <c r="P39" s="107"/>
      <c r="Q39" s="107"/>
      <c r="R39" s="125">
        <v>35.0</v>
      </c>
      <c r="S39" s="112"/>
      <c r="T39" s="125"/>
      <c r="U39" s="125">
        <v>45.0</v>
      </c>
      <c r="V39" s="112"/>
      <c r="W39" s="125">
        <v>50.0</v>
      </c>
      <c r="X39" s="125"/>
      <c r="Y39" s="125">
        <v>50.0</v>
      </c>
      <c r="Z39" s="112"/>
      <c r="AA39" s="125"/>
      <c r="AB39" s="125">
        <v>60.0</v>
      </c>
      <c r="AC39" s="125">
        <v>25.0</v>
      </c>
      <c r="AD39" s="112"/>
      <c r="AE39" s="125">
        <v>50.0</v>
      </c>
      <c r="AF39" s="125">
        <v>50.0</v>
      </c>
      <c r="AG39" s="112"/>
      <c r="AH39" s="125">
        <v>40.0</v>
      </c>
      <c r="AI39" s="112"/>
      <c r="AJ39" s="112"/>
      <c r="AK39" s="125">
        <v>20.0</v>
      </c>
      <c r="AL39" s="112"/>
      <c r="AM39" s="112"/>
      <c r="AN39" s="32"/>
    </row>
    <row r="40">
      <c r="A40" s="33"/>
      <c r="B40" s="33"/>
      <c r="C40" s="33"/>
      <c r="D40" s="33"/>
      <c r="E40" s="106"/>
      <c r="F40" s="106"/>
      <c r="G40" s="107"/>
      <c r="H40" s="107"/>
      <c r="I40" s="117"/>
      <c r="J40" s="118"/>
      <c r="K40" s="124"/>
      <c r="L40" s="114"/>
      <c r="M40" s="118"/>
      <c r="N40" s="118"/>
      <c r="O40" s="118"/>
      <c r="P40" s="116"/>
      <c r="Q40" s="117"/>
      <c r="R40" s="127"/>
      <c r="S40" s="112"/>
      <c r="T40" s="119"/>
      <c r="U40" s="120"/>
      <c r="V40" s="119"/>
      <c r="W40" s="120"/>
      <c r="X40" s="119"/>
      <c r="Y40" s="120"/>
      <c r="Z40" s="112"/>
      <c r="AA40" s="119"/>
      <c r="AB40" s="120"/>
      <c r="AC40" s="120"/>
      <c r="AD40" s="119"/>
      <c r="AE40" s="120"/>
      <c r="AF40" s="127"/>
      <c r="AG40" s="112"/>
      <c r="AH40" s="120"/>
      <c r="AI40" s="119"/>
      <c r="AJ40" s="119"/>
      <c r="AK40" s="120"/>
      <c r="AL40" s="119"/>
      <c r="AM40" s="119"/>
      <c r="AN40" s="122"/>
      <c r="AO40" s="53"/>
      <c r="AP40" s="53"/>
    </row>
    <row r="41">
      <c r="A41" s="24" t="s">
        <v>35</v>
      </c>
      <c r="B41" s="17"/>
      <c r="C41" s="17"/>
      <c r="D41" s="18"/>
      <c r="E41" s="106">
        <v>1.0</v>
      </c>
      <c r="F41" s="106" t="s">
        <v>21</v>
      </c>
      <c r="G41" s="107">
        <v>1730.0</v>
      </c>
      <c r="H41" s="107" t="s">
        <v>22</v>
      </c>
      <c r="I41" s="114"/>
      <c r="J41" s="114"/>
      <c r="K41" s="114"/>
      <c r="L41" s="114"/>
      <c r="M41" s="114"/>
      <c r="N41" s="107"/>
      <c r="O41" s="114"/>
      <c r="P41" s="114"/>
      <c r="Q41" s="114"/>
      <c r="R41" s="125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25"/>
      <c r="AK41" s="125"/>
      <c r="AL41" s="112"/>
      <c r="AM41" s="112"/>
      <c r="AN41" s="113">
        <f>G41+SUM(I41:AM41)-SUM(I42:AM42)</f>
        <v>1114</v>
      </c>
      <c r="AO41" s="53">
        <f>ROUNDDOWN((AN41/E41)/$H$4,1)</f>
        <v>37.1</v>
      </c>
      <c r="AP41" s="53">
        <f>$M$3+AO41</f>
        <v>929.1</v>
      </c>
    </row>
    <row r="42">
      <c r="A42" s="31"/>
      <c r="B42" s="17"/>
      <c r="C42" s="17"/>
      <c r="D42" s="17"/>
      <c r="E42" s="17"/>
      <c r="F42" s="18"/>
      <c r="G42" s="114"/>
      <c r="H42" s="107" t="s">
        <v>23</v>
      </c>
      <c r="I42" s="107"/>
      <c r="J42" s="107">
        <v>30.0</v>
      </c>
      <c r="K42" s="107">
        <v>60.0</v>
      </c>
      <c r="L42" s="107"/>
      <c r="M42" s="114"/>
      <c r="N42" s="107">
        <f>1+50</f>
        <v>51</v>
      </c>
      <c r="O42" s="107">
        <v>50.0</v>
      </c>
      <c r="P42" s="107"/>
      <c r="Q42" s="107"/>
      <c r="R42" s="125">
        <v>35.0</v>
      </c>
      <c r="S42" s="112"/>
      <c r="T42" s="125"/>
      <c r="U42" s="125">
        <v>45.0</v>
      </c>
      <c r="V42" s="112"/>
      <c r="W42" s="125">
        <v>50.0</v>
      </c>
      <c r="X42" s="125"/>
      <c r="Y42" s="125">
        <v>50.0</v>
      </c>
      <c r="Z42" s="112"/>
      <c r="AA42" s="125"/>
      <c r="AB42" s="125">
        <v>60.0</v>
      </c>
      <c r="AC42" s="125">
        <v>25.0</v>
      </c>
      <c r="AD42" s="112"/>
      <c r="AE42" s="125">
        <v>50.0</v>
      </c>
      <c r="AF42" s="125">
        <v>50.0</v>
      </c>
      <c r="AG42" s="112"/>
      <c r="AH42" s="125">
        <v>40.0</v>
      </c>
      <c r="AI42" s="112"/>
      <c r="AJ42" s="112"/>
      <c r="AK42" s="125">
        <v>20.0</v>
      </c>
      <c r="AL42" s="112"/>
      <c r="AM42" s="112"/>
      <c r="AN42" s="32"/>
    </row>
    <row r="43">
      <c r="A43" s="33"/>
      <c r="B43" s="33"/>
      <c r="C43" s="33"/>
      <c r="D43" s="33"/>
      <c r="E43" s="106"/>
      <c r="F43" s="106"/>
      <c r="G43" s="107"/>
      <c r="H43" s="107"/>
      <c r="I43" s="117"/>
      <c r="J43" s="118"/>
      <c r="K43" s="124"/>
      <c r="L43" s="114"/>
      <c r="M43" s="118"/>
      <c r="N43" s="118"/>
      <c r="O43" s="118"/>
      <c r="P43" s="116"/>
      <c r="Q43" s="117"/>
      <c r="R43" s="127"/>
      <c r="S43" s="112"/>
      <c r="T43" s="119"/>
      <c r="U43" s="120"/>
      <c r="V43" s="119"/>
      <c r="W43" s="120"/>
      <c r="X43" s="119"/>
      <c r="Y43" s="120"/>
      <c r="Z43" s="112"/>
      <c r="AA43" s="119"/>
      <c r="AB43" s="120"/>
      <c r="AC43" s="120"/>
      <c r="AD43" s="119"/>
      <c r="AE43" s="120"/>
      <c r="AF43" s="127"/>
      <c r="AG43" s="112"/>
      <c r="AH43" s="120"/>
      <c r="AI43" s="119"/>
      <c r="AJ43" s="119"/>
      <c r="AK43" s="120"/>
      <c r="AL43" s="119"/>
      <c r="AM43" s="119"/>
      <c r="AN43" s="122"/>
      <c r="AO43" s="53"/>
      <c r="AP43" s="53"/>
    </row>
    <row r="44">
      <c r="A44" s="24" t="s">
        <v>36</v>
      </c>
      <c r="B44" s="17"/>
      <c r="C44" s="17"/>
      <c r="D44" s="18"/>
      <c r="E44" s="106">
        <v>2.0</v>
      </c>
      <c r="F44" s="106">
        <v>2.0</v>
      </c>
      <c r="G44" s="107">
        <v>1595.0</v>
      </c>
      <c r="H44" s="107" t="s">
        <v>22</v>
      </c>
      <c r="I44" s="114"/>
      <c r="J44" s="114"/>
      <c r="K44" s="114"/>
      <c r="L44" s="107"/>
      <c r="M44" s="114"/>
      <c r="N44" s="114"/>
      <c r="O44" s="114"/>
      <c r="P44" s="114"/>
      <c r="Q44" s="114"/>
      <c r="R44" s="112"/>
      <c r="S44" s="112"/>
      <c r="T44" s="125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3">
        <f>G44+SUM(I44:AM44)-SUM(I45:AM45)</f>
        <v>359</v>
      </c>
      <c r="AO44" s="53">
        <f>ROUNDDOWN((AN44/E44)/$H$4,1)</f>
        <v>5.9</v>
      </c>
      <c r="AP44" s="53">
        <f>$M$3+AO44</f>
        <v>897.9</v>
      </c>
    </row>
    <row r="45">
      <c r="A45" s="31"/>
      <c r="B45" s="17"/>
      <c r="C45" s="17"/>
      <c r="D45" s="17"/>
      <c r="E45" s="17"/>
      <c r="F45" s="18"/>
      <c r="G45" s="114"/>
      <c r="H45" s="107" t="s">
        <v>23</v>
      </c>
      <c r="I45" s="107">
        <f>30+30</f>
        <v>60</v>
      </c>
      <c r="J45" s="107">
        <v>30.0</v>
      </c>
      <c r="K45" s="107">
        <v>30.0</v>
      </c>
      <c r="L45" s="107"/>
      <c r="M45" s="107">
        <f t="shared" ref="M45:N45" si="11">30+30</f>
        <v>60</v>
      </c>
      <c r="N45" s="114">
        <f t="shared" si="11"/>
        <v>60</v>
      </c>
      <c r="O45" s="107">
        <v>30.0</v>
      </c>
      <c r="P45" s="114"/>
      <c r="Q45" s="114">
        <f t="shared" ref="Q45:R45" si="12">30+30</f>
        <v>60</v>
      </c>
      <c r="R45" s="125">
        <f t="shared" si="12"/>
        <v>60</v>
      </c>
      <c r="S45" s="112"/>
      <c r="T45" s="125">
        <v>30.0</v>
      </c>
      <c r="U45" s="125">
        <f>30+30</f>
        <v>60</v>
      </c>
      <c r="V45" s="125">
        <v>30.0</v>
      </c>
      <c r="W45" s="125">
        <f>30+32</f>
        <v>62</v>
      </c>
      <c r="X45" s="125">
        <f>30+30</f>
        <v>60</v>
      </c>
      <c r="Y45" s="125">
        <v>30.0</v>
      </c>
      <c r="Z45" s="125"/>
      <c r="AA45" s="125">
        <v>30.0</v>
      </c>
      <c r="AB45" s="125">
        <f t="shared" ref="AB45:AF45" si="13">30+30</f>
        <v>60</v>
      </c>
      <c r="AC45" s="125">
        <f t="shared" si="13"/>
        <v>60</v>
      </c>
      <c r="AD45" s="112">
        <f t="shared" si="13"/>
        <v>60</v>
      </c>
      <c r="AE45" s="112">
        <f t="shared" si="13"/>
        <v>60</v>
      </c>
      <c r="AF45" s="125">
        <f t="shared" si="13"/>
        <v>60</v>
      </c>
      <c r="AG45" s="112"/>
      <c r="AH45" s="125">
        <v>60.0</v>
      </c>
      <c r="AI45" s="125"/>
      <c r="AJ45" s="112">
        <f>34+30</f>
        <v>64</v>
      </c>
      <c r="AK45" s="125">
        <v>30.0</v>
      </c>
      <c r="AL45" s="125">
        <v>30.0</v>
      </c>
      <c r="AM45" s="125">
        <f>30+30</f>
        <v>60</v>
      </c>
      <c r="AN45" s="32"/>
    </row>
    <row r="46">
      <c r="A46" s="33"/>
      <c r="B46" s="33"/>
      <c r="C46" s="33"/>
      <c r="D46" s="33"/>
      <c r="E46" s="106"/>
      <c r="F46" s="106"/>
      <c r="G46" s="107"/>
      <c r="H46" s="107"/>
      <c r="I46" s="118"/>
      <c r="J46" s="118"/>
      <c r="K46" s="124"/>
      <c r="L46" s="114"/>
      <c r="M46" s="118"/>
      <c r="N46" s="118"/>
      <c r="O46" s="118"/>
      <c r="P46" s="116"/>
      <c r="Q46" s="124"/>
      <c r="R46" s="120"/>
      <c r="S46" s="112"/>
      <c r="T46" s="120"/>
      <c r="U46" s="120"/>
      <c r="V46" s="120"/>
      <c r="W46" s="120"/>
      <c r="X46" s="120"/>
      <c r="Y46" s="120"/>
      <c r="Z46" s="112"/>
      <c r="AA46" s="120"/>
      <c r="AB46" s="120"/>
      <c r="AC46" s="120"/>
      <c r="AD46" s="120"/>
      <c r="AE46" s="120"/>
      <c r="AF46" s="127"/>
      <c r="AG46" s="112"/>
      <c r="AH46" s="120"/>
      <c r="AI46" s="119"/>
      <c r="AJ46" s="120"/>
      <c r="AK46" s="120"/>
      <c r="AL46" s="120"/>
      <c r="AM46" s="120"/>
      <c r="AN46" s="122"/>
      <c r="AO46" s="53"/>
      <c r="AP46" s="53"/>
    </row>
    <row r="47">
      <c r="A47" s="24" t="s">
        <v>37</v>
      </c>
      <c r="B47" s="17"/>
      <c r="C47" s="17"/>
      <c r="D47" s="18"/>
      <c r="E47" s="106">
        <v>2.0</v>
      </c>
      <c r="F47" s="106" t="s">
        <v>21</v>
      </c>
      <c r="G47" s="107">
        <v>568.0</v>
      </c>
      <c r="H47" s="107" t="s">
        <v>22</v>
      </c>
      <c r="I47" s="114"/>
      <c r="J47" s="107"/>
      <c r="K47" s="107"/>
      <c r="L47" s="114"/>
      <c r="M47" s="107">
        <v>100.0</v>
      </c>
      <c r="N47" s="114"/>
      <c r="O47" s="107">
        <v>120.0</v>
      </c>
      <c r="P47" s="107"/>
      <c r="Q47" s="114"/>
      <c r="R47" s="112"/>
      <c r="S47" s="112"/>
      <c r="T47" s="112"/>
      <c r="U47" s="125">
        <v>260.0</v>
      </c>
      <c r="V47" s="112"/>
      <c r="W47" s="125"/>
      <c r="X47" s="112"/>
      <c r="Y47" s="112"/>
      <c r="Z47" s="112"/>
      <c r="AA47" s="112"/>
      <c r="AB47" s="112"/>
      <c r="AC47" s="112"/>
      <c r="AD47" s="125">
        <v>300.0</v>
      </c>
      <c r="AE47" s="112"/>
      <c r="AF47" s="125"/>
      <c r="AG47" s="112"/>
      <c r="AH47" s="112"/>
      <c r="AI47" s="112"/>
      <c r="AJ47" s="112"/>
      <c r="AK47" s="125">
        <v>100.0</v>
      </c>
      <c r="AL47" s="112"/>
      <c r="AM47" s="125">
        <v>100.0</v>
      </c>
      <c r="AN47" s="113">
        <f>G47+SUM(I47:AM47)-SUM(I48:AM48)</f>
        <v>309</v>
      </c>
      <c r="AO47" s="53">
        <f>ROUNDDOWN((AN47/E47)/$H$4,1)</f>
        <v>5.1</v>
      </c>
      <c r="AP47" s="53">
        <f>$M$3+AO47</f>
        <v>897.1</v>
      </c>
    </row>
    <row r="48">
      <c r="A48" s="31"/>
      <c r="B48" s="17"/>
      <c r="C48" s="17"/>
      <c r="D48" s="17"/>
      <c r="E48" s="17"/>
      <c r="F48" s="18"/>
      <c r="G48" s="114"/>
      <c r="H48" s="107" t="s">
        <v>23</v>
      </c>
      <c r="I48" s="107">
        <f>30+30</f>
        <v>60</v>
      </c>
      <c r="J48" s="107">
        <v>30.0</v>
      </c>
      <c r="K48" s="107">
        <v>30.0</v>
      </c>
      <c r="L48" s="107"/>
      <c r="M48" s="107">
        <f t="shared" ref="M48:N48" si="14">30+30</f>
        <v>60</v>
      </c>
      <c r="N48" s="114">
        <f t="shared" si="14"/>
        <v>60</v>
      </c>
      <c r="O48" s="107">
        <v>30.0</v>
      </c>
      <c r="P48" s="114"/>
      <c r="Q48" s="114">
        <f t="shared" ref="Q48:R48" si="15">30+30</f>
        <v>60</v>
      </c>
      <c r="R48" s="125">
        <f t="shared" si="15"/>
        <v>60</v>
      </c>
      <c r="S48" s="112"/>
      <c r="T48" s="125">
        <v>30.0</v>
      </c>
      <c r="U48" s="125">
        <f>30+30</f>
        <v>60</v>
      </c>
      <c r="V48" s="125">
        <v>30.0</v>
      </c>
      <c r="W48" s="125">
        <f>30+32</f>
        <v>62</v>
      </c>
      <c r="X48" s="125">
        <f>30+30</f>
        <v>60</v>
      </c>
      <c r="Y48" s="125">
        <v>30.0</v>
      </c>
      <c r="Z48" s="125"/>
      <c r="AA48" s="125">
        <v>30.0</v>
      </c>
      <c r="AB48" s="125">
        <f>30+30</f>
        <v>60</v>
      </c>
      <c r="AC48" s="125">
        <f>30+30+2</f>
        <v>62</v>
      </c>
      <c r="AD48" s="112">
        <f>30+30+1</f>
        <v>61</v>
      </c>
      <c r="AE48" s="112">
        <f t="shared" ref="AE48:AF48" si="16">30+30</f>
        <v>60</v>
      </c>
      <c r="AF48" s="125">
        <f t="shared" si="16"/>
        <v>60</v>
      </c>
      <c r="AG48" s="112"/>
      <c r="AH48" s="125">
        <v>60.0</v>
      </c>
      <c r="AI48" s="125"/>
      <c r="AJ48" s="112">
        <f>34+30</f>
        <v>64</v>
      </c>
      <c r="AK48" s="125">
        <v>30.0</v>
      </c>
      <c r="AL48" s="125">
        <v>30.0</v>
      </c>
      <c r="AM48" s="125">
        <f>30+30</f>
        <v>60</v>
      </c>
      <c r="AN48" s="32"/>
    </row>
    <row r="49">
      <c r="A49" s="33"/>
      <c r="B49" s="33"/>
      <c r="C49" s="33"/>
      <c r="D49" s="33"/>
      <c r="E49" s="106"/>
      <c r="F49" s="106"/>
      <c r="G49" s="107"/>
      <c r="H49" s="107"/>
      <c r="I49" s="118"/>
      <c r="J49" s="118"/>
      <c r="K49" s="124"/>
      <c r="L49" s="114"/>
      <c r="M49" s="118"/>
      <c r="N49" s="118"/>
      <c r="O49" s="118"/>
      <c r="P49" s="116"/>
      <c r="Q49" s="118"/>
      <c r="R49" s="120"/>
      <c r="S49" s="112"/>
      <c r="T49" s="120"/>
      <c r="U49" s="127"/>
      <c r="V49" s="120"/>
      <c r="W49" s="120"/>
      <c r="X49" s="120"/>
      <c r="Y49" s="120"/>
      <c r="Z49" s="112"/>
      <c r="AA49" s="120"/>
      <c r="AB49" s="127"/>
      <c r="AC49" s="120"/>
      <c r="AD49" s="120"/>
      <c r="AE49" s="120"/>
      <c r="AF49" s="127"/>
      <c r="AG49" s="112"/>
      <c r="AH49" s="120"/>
      <c r="AI49" s="119"/>
      <c r="AJ49" s="120"/>
      <c r="AK49" s="120"/>
      <c r="AL49" s="120"/>
      <c r="AM49" s="120"/>
      <c r="AN49" s="122"/>
      <c r="AO49" s="53"/>
      <c r="AP49" s="53"/>
    </row>
    <row r="50">
      <c r="A50" s="24" t="s">
        <v>38</v>
      </c>
      <c r="B50" s="17"/>
      <c r="C50" s="17"/>
      <c r="D50" s="18"/>
      <c r="E50" s="106">
        <v>1.0</v>
      </c>
      <c r="F50" s="106" t="s">
        <v>21</v>
      </c>
      <c r="G50" s="107">
        <v>256.0</v>
      </c>
      <c r="H50" s="107" t="s">
        <v>22</v>
      </c>
      <c r="I50" s="114"/>
      <c r="J50" s="107"/>
      <c r="K50" s="107"/>
      <c r="L50" s="114"/>
      <c r="M50" s="107">
        <v>50.0</v>
      </c>
      <c r="N50" s="114"/>
      <c r="O50" s="107">
        <v>60.0</v>
      </c>
      <c r="P50" s="107"/>
      <c r="Q50" s="114"/>
      <c r="R50" s="112"/>
      <c r="S50" s="112"/>
      <c r="T50" s="112"/>
      <c r="U50" s="125">
        <v>130.0</v>
      </c>
      <c r="V50" s="112"/>
      <c r="W50" s="125"/>
      <c r="X50" s="112"/>
      <c r="Y50" s="112"/>
      <c r="Z50" s="112"/>
      <c r="AA50" s="112"/>
      <c r="AB50" s="112"/>
      <c r="AC50" s="112"/>
      <c r="AD50" s="125">
        <v>150.0</v>
      </c>
      <c r="AE50" s="112"/>
      <c r="AF50" s="125"/>
      <c r="AG50" s="112"/>
      <c r="AH50" s="112"/>
      <c r="AI50" s="112"/>
      <c r="AJ50" s="112"/>
      <c r="AK50" s="125">
        <v>50.0</v>
      </c>
      <c r="AL50" s="112"/>
      <c r="AM50" s="125">
        <v>50.0</v>
      </c>
      <c r="AN50" s="113">
        <f>G50+SUM(I50:AM50)-SUM(I51:AM51)</f>
        <v>128</v>
      </c>
      <c r="AO50" s="53">
        <f>ROUNDDOWN((AN50/E50)/$H$4,1)</f>
        <v>4.2</v>
      </c>
      <c r="AP50" s="53">
        <f>$M$3+AO50</f>
        <v>896.2</v>
      </c>
    </row>
    <row r="51">
      <c r="A51" s="31"/>
      <c r="B51" s="17"/>
      <c r="C51" s="17"/>
      <c r="D51" s="17"/>
      <c r="E51" s="17"/>
      <c r="F51" s="18"/>
      <c r="G51" s="114"/>
      <c r="H51" s="107" t="s">
        <v>23</v>
      </c>
      <c r="I51" s="107">
        <f>15+15</f>
        <v>30</v>
      </c>
      <c r="J51" s="107">
        <v>15.0</v>
      </c>
      <c r="K51" s="107">
        <v>15.0</v>
      </c>
      <c r="L51" s="107"/>
      <c r="M51" s="107">
        <f t="shared" ref="M51:N51" si="17">15+15</f>
        <v>30</v>
      </c>
      <c r="N51" s="114">
        <f t="shared" si="17"/>
        <v>30</v>
      </c>
      <c r="O51" s="107">
        <v>15.0</v>
      </c>
      <c r="P51" s="114"/>
      <c r="Q51" s="114">
        <f t="shared" ref="Q51:R51" si="18">15+15</f>
        <v>30</v>
      </c>
      <c r="R51" s="125">
        <f t="shared" si="18"/>
        <v>30</v>
      </c>
      <c r="S51" s="125"/>
      <c r="T51" s="125">
        <v>15.0</v>
      </c>
      <c r="U51" s="125">
        <f>15+15</f>
        <v>30</v>
      </c>
      <c r="V51" s="125">
        <v>15.0</v>
      </c>
      <c r="W51" s="125">
        <f>15+16</f>
        <v>31</v>
      </c>
      <c r="X51" s="125">
        <f>15+15</f>
        <v>30</v>
      </c>
      <c r="Y51" s="125">
        <v>15.0</v>
      </c>
      <c r="Z51" s="125"/>
      <c r="AA51" s="125">
        <v>15.0</v>
      </c>
      <c r="AB51" s="125">
        <f t="shared" ref="AB51:AF51" si="19">15+15</f>
        <v>30</v>
      </c>
      <c r="AC51" s="125">
        <f t="shared" si="19"/>
        <v>30</v>
      </c>
      <c r="AD51" s="112">
        <f t="shared" si="19"/>
        <v>30</v>
      </c>
      <c r="AE51" s="112">
        <f t="shared" si="19"/>
        <v>30</v>
      </c>
      <c r="AF51" s="125">
        <f t="shared" si="19"/>
        <v>30</v>
      </c>
      <c r="AG51" s="112"/>
      <c r="AH51" s="125">
        <v>30.0</v>
      </c>
      <c r="AI51" s="125"/>
      <c r="AJ51" s="112">
        <f>17+15</f>
        <v>32</v>
      </c>
      <c r="AK51" s="125">
        <v>15.0</v>
      </c>
      <c r="AL51" s="125">
        <v>15.0</v>
      </c>
      <c r="AM51" s="125">
        <f>15+15</f>
        <v>30</v>
      </c>
      <c r="AN51" s="32"/>
    </row>
    <row r="52">
      <c r="A52" s="33"/>
      <c r="B52" s="33"/>
      <c r="C52" s="33"/>
      <c r="D52" s="33"/>
      <c r="E52" s="106"/>
      <c r="F52" s="106"/>
      <c r="G52" s="107"/>
      <c r="H52" s="107"/>
      <c r="I52" s="118"/>
      <c r="J52" s="118"/>
      <c r="K52" s="124"/>
      <c r="L52" s="114"/>
      <c r="M52" s="118"/>
      <c r="N52" s="118"/>
      <c r="O52" s="118"/>
      <c r="P52" s="116"/>
      <c r="Q52" s="118"/>
      <c r="R52" s="120"/>
      <c r="S52" s="112"/>
      <c r="T52" s="120"/>
      <c r="U52" s="120"/>
      <c r="V52" s="120"/>
      <c r="W52" s="127"/>
      <c r="X52" s="120"/>
      <c r="Y52" s="120"/>
      <c r="Z52" s="112"/>
      <c r="AA52" s="120"/>
      <c r="AB52" s="120"/>
      <c r="AC52" s="120"/>
      <c r="AD52" s="120"/>
      <c r="AE52" s="120"/>
      <c r="AF52" s="127"/>
      <c r="AG52" s="112"/>
      <c r="AH52" s="120"/>
      <c r="AI52" s="119"/>
      <c r="AJ52" s="120"/>
      <c r="AK52" s="120"/>
      <c r="AL52" s="120"/>
      <c r="AM52" s="120"/>
      <c r="AN52" s="122"/>
      <c r="AO52" s="53"/>
      <c r="AP52" s="53"/>
    </row>
    <row r="53">
      <c r="A53" s="24" t="s">
        <v>39</v>
      </c>
      <c r="B53" s="17"/>
      <c r="C53" s="17"/>
      <c r="D53" s="18"/>
      <c r="E53" s="106">
        <v>1.0</v>
      </c>
      <c r="F53" s="106" t="s">
        <v>21</v>
      </c>
      <c r="G53" s="107">
        <v>277.0</v>
      </c>
      <c r="H53" s="107" t="s">
        <v>22</v>
      </c>
      <c r="I53" s="107"/>
      <c r="J53" s="107"/>
      <c r="K53" s="107"/>
      <c r="L53" s="114"/>
      <c r="M53" s="107">
        <v>50.0</v>
      </c>
      <c r="N53" s="114"/>
      <c r="O53" s="107">
        <v>60.0</v>
      </c>
      <c r="P53" s="107"/>
      <c r="Q53" s="114"/>
      <c r="R53" s="112"/>
      <c r="S53" s="112"/>
      <c r="T53" s="112"/>
      <c r="U53" s="125">
        <v>130.0</v>
      </c>
      <c r="V53" s="112"/>
      <c r="W53" s="125"/>
      <c r="X53" s="112"/>
      <c r="Y53" s="112"/>
      <c r="Z53" s="112"/>
      <c r="AA53" s="112"/>
      <c r="AB53" s="112"/>
      <c r="AC53" s="112"/>
      <c r="AD53" s="125">
        <v>150.0</v>
      </c>
      <c r="AE53" s="112"/>
      <c r="AF53" s="125"/>
      <c r="AG53" s="112"/>
      <c r="AH53" s="112"/>
      <c r="AI53" s="112"/>
      <c r="AJ53" s="112"/>
      <c r="AK53" s="125">
        <v>50.0</v>
      </c>
      <c r="AL53" s="112"/>
      <c r="AM53" s="125">
        <v>50.0</v>
      </c>
      <c r="AN53" s="113">
        <f>G53+SUM(I53:AM53)-SUM(I54:AM54)</f>
        <v>149</v>
      </c>
      <c r="AO53" s="53">
        <f>ROUNDDOWN((AN53/E53)/$H$4,1)</f>
        <v>4.9</v>
      </c>
      <c r="AP53" s="53">
        <f>$M$3+AO53</f>
        <v>896.9</v>
      </c>
    </row>
    <row r="54">
      <c r="A54" s="31"/>
      <c r="B54" s="17"/>
      <c r="C54" s="17"/>
      <c r="D54" s="17"/>
      <c r="E54" s="17"/>
      <c r="F54" s="18"/>
      <c r="G54" s="114"/>
      <c r="H54" s="107" t="s">
        <v>23</v>
      </c>
      <c r="I54" s="107">
        <f>15+15</f>
        <v>30</v>
      </c>
      <c r="J54" s="107">
        <v>15.0</v>
      </c>
      <c r="K54" s="107">
        <v>15.0</v>
      </c>
      <c r="L54" s="107"/>
      <c r="M54" s="107">
        <f t="shared" ref="M54:N54" si="20">15+15</f>
        <v>30</v>
      </c>
      <c r="N54" s="114">
        <f t="shared" si="20"/>
        <v>30</v>
      </c>
      <c r="O54" s="107">
        <v>15.0</v>
      </c>
      <c r="P54" s="114"/>
      <c r="Q54" s="114">
        <f t="shared" ref="Q54:R54" si="21">15+15</f>
        <v>30</v>
      </c>
      <c r="R54" s="125">
        <f t="shared" si="21"/>
        <v>30</v>
      </c>
      <c r="S54" s="125"/>
      <c r="T54" s="125">
        <v>15.0</v>
      </c>
      <c r="U54" s="125">
        <f>15+15</f>
        <v>30</v>
      </c>
      <c r="V54" s="125">
        <v>15.0</v>
      </c>
      <c r="W54" s="125">
        <f>15+16</f>
        <v>31</v>
      </c>
      <c r="X54" s="125">
        <f>15+15</f>
        <v>30</v>
      </c>
      <c r="Y54" s="125">
        <v>15.0</v>
      </c>
      <c r="Z54" s="125"/>
      <c r="AA54" s="125">
        <v>15.0</v>
      </c>
      <c r="AB54" s="125">
        <f t="shared" ref="AB54:AF54" si="22">15+15</f>
        <v>30</v>
      </c>
      <c r="AC54" s="125">
        <f t="shared" si="22"/>
        <v>30</v>
      </c>
      <c r="AD54" s="112">
        <f t="shared" si="22"/>
        <v>30</v>
      </c>
      <c r="AE54" s="112">
        <f t="shared" si="22"/>
        <v>30</v>
      </c>
      <c r="AF54" s="125">
        <f t="shared" si="22"/>
        <v>30</v>
      </c>
      <c r="AG54" s="112"/>
      <c r="AH54" s="125">
        <v>30.0</v>
      </c>
      <c r="AI54" s="125"/>
      <c r="AJ54" s="112">
        <f>17+15</f>
        <v>32</v>
      </c>
      <c r="AK54" s="125">
        <v>15.0</v>
      </c>
      <c r="AL54" s="125">
        <v>15.0</v>
      </c>
      <c r="AM54" s="125">
        <f>15+15</f>
        <v>30</v>
      </c>
      <c r="AN54" s="32"/>
    </row>
    <row r="55">
      <c r="A55" s="33"/>
      <c r="B55" s="33"/>
      <c r="C55" s="33"/>
      <c r="D55" s="33"/>
      <c r="E55" s="106"/>
      <c r="F55" s="106"/>
      <c r="G55" s="107"/>
      <c r="H55" s="107"/>
      <c r="I55" s="118"/>
      <c r="J55" s="118"/>
      <c r="K55" s="124"/>
      <c r="L55" s="114"/>
      <c r="M55" s="118"/>
      <c r="N55" s="118"/>
      <c r="O55" s="124"/>
      <c r="P55" s="116"/>
      <c r="Q55" s="118"/>
      <c r="R55" s="120"/>
      <c r="S55" s="112"/>
      <c r="T55" s="120"/>
      <c r="U55" s="120"/>
      <c r="V55" s="120"/>
      <c r="W55" s="120"/>
      <c r="X55" s="120"/>
      <c r="Y55" s="120"/>
      <c r="Z55" s="112"/>
      <c r="AA55" s="120"/>
      <c r="AB55" s="120"/>
      <c r="AC55" s="120"/>
      <c r="AD55" s="120"/>
      <c r="AE55" s="120"/>
      <c r="AF55" s="127"/>
      <c r="AG55" s="112"/>
      <c r="AH55" s="120"/>
      <c r="AI55" s="119"/>
      <c r="AJ55" s="120"/>
      <c r="AK55" s="120"/>
      <c r="AL55" s="120"/>
      <c r="AM55" s="120"/>
      <c r="AN55" s="122"/>
      <c r="AO55" s="53"/>
      <c r="AP55" s="53"/>
    </row>
    <row r="56">
      <c r="A56" s="24" t="s">
        <v>40</v>
      </c>
      <c r="B56" s="17"/>
      <c r="C56" s="17"/>
      <c r="D56" s="18"/>
      <c r="E56" s="106">
        <v>1.0</v>
      </c>
      <c r="F56" s="106" t="s">
        <v>21</v>
      </c>
      <c r="G56" s="107">
        <v>414.0</v>
      </c>
      <c r="H56" s="107" t="s">
        <v>22</v>
      </c>
      <c r="I56" s="114"/>
      <c r="J56" s="107"/>
      <c r="K56" s="107"/>
      <c r="L56" s="114"/>
      <c r="M56" s="107">
        <v>50.0</v>
      </c>
      <c r="N56" s="114"/>
      <c r="O56" s="107">
        <v>60.0</v>
      </c>
      <c r="P56" s="107"/>
      <c r="Q56" s="114"/>
      <c r="R56" s="112"/>
      <c r="S56" s="112"/>
      <c r="T56" s="112"/>
      <c r="U56" s="125">
        <v>130.0</v>
      </c>
      <c r="V56" s="112"/>
      <c r="W56" s="125"/>
      <c r="X56" s="112"/>
      <c r="Y56" s="112"/>
      <c r="Z56" s="112"/>
      <c r="AA56" s="112"/>
      <c r="AB56" s="112"/>
      <c r="AC56" s="112"/>
      <c r="AD56" s="125">
        <v>150.0</v>
      </c>
      <c r="AE56" s="112"/>
      <c r="AF56" s="125"/>
      <c r="AG56" s="112"/>
      <c r="AH56" s="112"/>
      <c r="AI56" s="112"/>
      <c r="AJ56" s="112"/>
      <c r="AK56" s="125">
        <v>50.0</v>
      </c>
      <c r="AL56" s="112"/>
      <c r="AM56" s="125">
        <v>50.0</v>
      </c>
      <c r="AN56" s="113">
        <f>G56+SUM(I56:AM56)-SUM(I57:AM57)</f>
        <v>304</v>
      </c>
      <c r="AO56" s="53">
        <f>ROUNDDOWN((AN56/E56)/$H$4,1)</f>
        <v>10.1</v>
      </c>
      <c r="AP56" s="53">
        <f>$M$5+AO56</f>
        <v>902.1</v>
      </c>
    </row>
    <row r="57">
      <c r="A57" s="31"/>
      <c r="B57" s="17"/>
      <c r="C57" s="17"/>
      <c r="D57" s="17"/>
      <c r="E57" s="17"/>
      <c r="F57" s="18"/>
      <c r="G57" s="114"/>
      <c r="H57" s="107" t="s">
        <v>23</v>
      </c>
      <c r="I57" s="107">
        <v>30.0</v>
      </c>
      <c r="J57" s="107">
        <v>15.0</v>
      </c>
      <c r="K57" s="107">
        <v>15.0</v>
      </c>
      <c r="L57" s="107"/>
      <c r="M57" s="107">
        <v>15.0</v>
      </c>
      <c r="N57" s="107">
        <v>30.0</v>
      </c>
      <c r="O57" s="107">
        <v>15.0</v>
      </c>
      <c r="P57" s="107">
        <v>15.0</v>
      </c>
      <c r="Q57" s="107">
        <v>15.0</v>
      </c>
      <c r="R57" s="125">
        <v>30.0</v>
      </c>
      <c r="S57" s="125"/>
      <c r="T57" s="125">
        <v>30.0</v>
      </c>
      <c r="U57" s="125">
        <v>15.0</v>
      </c>
      <c r="V57" s="125">
        <v>30.0</v>
      </c>
      <c r="W57" s="125">
        <v>30.0</v>
      </c>
      <c r="X57" s="125"/>
      <c r="Y57" s="125">
        <v>30.0</v>
      </c>
      <c r="Z57" s="125"/>
      <c r="AA57" s="125">
        <v>30.0</v>
      </c>
      <c r="AB57" s="125">
        <v>30.0</v>
      </c>
      <c r="AC57" s="125">
        <v>30.0</v>
      </c>
      <c r="AD57" s="125">
        <v>30.0</v>
      </c>
      <c r="AE57" s="125">
        <v>30.0</v>
      </c>
      <c r="AF57" s="125"/>
      <c r="AG57" s="125"/>
      <c r="AH57" s="125">
        <v>30.0</v>
      </c>
      <c r="AI57" s="125">
        <v>30.0</v>
      </c>
      <c r="AJ57" s="125">
        <v>15.0</v>
      </c>
      <c r="AK57" s="125">
        <v>15.0</v>
      </c>
      <c r="AL57" s="125">
        <v>15.0</v>
      </c>
      <c r="AM57" s="125">
        <v>30.0</v>
      </c>
      <c r="AN57" s="32"/>
    </row>
    <row r="58">
      <c r="A58" s="54"/>
      <c r="B58" s="54"/>
      <c r="C58" s="54"/>
      <c r="D58" s="54"/>
      <c r="E58" s="106"/>
      <c r="F58" s="106"/>
      <c r="G58" s="107"/>
      <c r="H58" s="107"/>
      <c r="I58" s="118"/>
      <c r="J58" s="118"/>
      <c r="K58" s="124"/>
      <c r="L58" s="114"/>
      <c r="M58" s="118"/>
      <c r="N58" s="118"/>
      <c r="O58" s="118"/>
      <c r="P58" s="124"/>
      <c r="Q58" s="118"/>
      <c r="R58" s="120"/>
      <c r="S58" s="112"/>
      <c r="T58" s="120"/>
      <c r="U58" s="120"/>
      <c r="V58" s="120"/>
      <c r="W58" s="127"/>
      <c r="X58" s="119"/>
      <c r="Y58" s="120"/>
      <c r="Z58" s="112"/>
      <c r="AA58" s="120"/>
      <c r="AB58" s="120"/>
      <c r="AC58" s="120"/>
      <c r="AD58" s="120"/>
      <c r="AE58" s="120"/>
      <c r="AF58" s="121"/>
      <c r="AG58" s="112"/>
      <c r="AH58" s="120"/>
      <c r="AI58" s="120"/>
      <c r="AJ58" s="120"/>
      <c r="AK58" s="120"/>
      <c r="AL58" s="120"/>
      <c r="AM58" s="120"/>
      <c r="AN58" s="122"/>
      <c r="AO58" s="53"/>
      <c r="AP58" s="53"/>
    </row>
    <row r="59">
      <c r="A59" s="55" t="s">
        <v>41</v>
      </c>
      <c r="B59" s="17"/>
      <c r="C59" s="17"/>
      <c r="D59" s="18"/>
      <c r="E59" s="106">
        <v>1.0</v>
      </c>
      <c r="F59" s="106" t="s">
        <v>21</v>
      </c>
      <c r="G59" s="107">
        <v>218.0</v>
      </c>
      <c r="H59" s="107" t="s">
        <v>22</v>
      </c>
      <c r="I59" s="114"/>
      <c r="J59" s="107"/>
      <c r="K59" s="107"/>
      <c r="L59" s="114"/>
      <c r="M59" s="107">
        <v>50.0</v>
      </c>
      <c r="N59" s="114"/>
      <c r="O59" s="107">
        <v>60.0</v>
      </c>
      <c r="P59" s="107"/>
      <c r="Q59" s="114"/>
      <c r="R59" s="112"/>
      <c r="S59" s="112"/>
      <c r="T59" s="112"/>
      <c r="U59" s="125">
        <v>130.0</v>
      </c>
      <c r="V59" s="112"/>
      <c r="W59" s="125"/>
      <c r="X59" s="112"/>
      <c r="Y59" s="112"/>
      <c r="Z59" s="112"/>
      <c r="AA59" s="112"/>
      <c r="AB59" s="112"/>
      <c r="AC59" s="112"/>
      <c r="AD59" s="125">
        <v>150.0</v>
      </c>
      <c r="AE59" s="112"/>
      <c r="AF59" s="125"/>
      <c r="AG59" s="112"/>
      <c r="AH59" s="112"/>
      <c r="AI59" s="112"/>
      <c r="AJ59" s="112"/>
      <c r="AK59" s="125">
        <v>50.0</v>
      </c>
      <c r="AL59" s="112"/>
      <c r="AM59" s="125">
        <v>50.0</v>
      </c>
      <c r="AN59" s="113">
        <f>G59+SUM(I59:AM59)-SUM(I60:AM60)</f>
        <v>92</v>
      </c>
      <c r="AO59" s="53">
        <f>ROUNDDOWN((AN59/E59)/$H$4,1)</f>
        <v>3</v>
      </c>
      <c r="AP59" s="53">
        <f>$M$3+AO59</f>
        <v>895</v>
      </c>
    </row>
    <row r="60">
      <c r="A60" s="31"/>
      <c r="B60" s="17"/>
      <c r="C60" s="17"/>
      <c r="D60" s="17"/>
      <c r="E60" s="17"/>
      <c r="F60" s="18"/>
      <c r="G60" s="114"/>
      <c r="H60" s="107" t="s">
        <v>23</v>
      </c>
      <c r="I60" s="107"/>
      <c r="J60" s="107">
        <v>30.0</v>
      </c>
      <c r="K60" s="107">
        <v>60.0</v>
      </c>
      <c r="L60" s="107"/>
      <c r="M60" s="114"/>
      <c r="N60" s="107">
        <f>1+50</f>
        <v>51</v>
      </c>
      <c r="O60" s="107">
        <v>50.0</v>
      </c>
      <c r="P60" s="107"/>
      <c r="Q60" s="107"/>
      <c r="R60" s="125">
        <v>35.0</v>
      </c>
      <c r="S60" s="112"/>
      <c r="T60" s="125"/>
      <c r="U60" s="125">
        <v>45.0</v>
      </c>
      <c r="V60" s="112"/>
      <c r="W60" s="125">
        <v>50.0</v>
      </c>
      <c r="X60" s="125"/>
      <c r="Y60" s="125">
        <v>50.0</v>
      </c>
      <c r="Z60" s="112"/>
      <c r="AA60" s="125"/>
      <c r="AB60" s="125">
        <v>60.0</v>
      </c>
      <c r="AC60" s="125">
        <v>25.0</v>
      </c>
      <c r="AD60" s="112"/>
      <c r="AE60" s="125">
        <v>50.0</v>
      </c>
      <c r="AF60" s="125">
        <v>50.0</v>
      </c>
      <c r="AG60" s="112"/>
      <c r="AH60" s="125">
        <v>40.0</v>
      </c>
      <c r="AI60" s="112"/>
      <c r="AJ60" s="112"/>
      <c r="AK60" s="125">
        <v>20.0</v>
      </c>
      <c r="AL60" s="112"/>
      <c r="AM60" s="112"/>
      <c r="AN60" s="32"/>
    </row>
    <row r="61">
      <c r="A61" s="33"/>
      <c r="B61" s="33"/>
      <c r="C61" s="33"/>
      <c r="D61" s="33"/>
      <c r="E61" s="106"/>
      <c r="F61" s="106"/>
      <c r="G61" s="107"/>
      <c r="H61" s="107"/>
      <c r="I61" s="117"/>
      <c r="J61" s="118"/>
      <c r="K61" s="124"/>
      <c r="L61" s="114"/>
      <c r="M61" s="118"/>
      <c r="N61" s="118"/>
      <c r="O61" s="118"/>
      <c r="P61" s="116"/>
      <c r="Q61" s="117"/>
      <c r="R61" s="127"/>
      <c r="S61" s="112"/>
      <c r="T61" s="119"/>
      <c r="U61" s="120"/>
      <c r="V61" s="119"/>
      <c r="W61" s="120"/>
      <c r="X61" s="119"/>
      <c r="Y61" s="120"/>
      <c r="Z61" s="112"/>
      <c r="AA61" s="119"/>
      <c r="AB61" s="120"/>
      <c r="AC61" s="120"/>
      <c r="AD61" s="119"/>
      <c r="AE61" s="120"/>
      <c r="AF61" s="127"/>
      <c r="AG61" s="112"/>
      <c r="AH61" s="120"/>
      <c r="AI61" s="119"/>
      <c r="AJ61" s="119"/>
      <c r="AK61" s="120"/>
      <c r="AL61" s="119"/>
      <c r="AM61" s="119"/>
      <c r="AN61" s="122"/>
      <c r="AO61" s="53"/>
      <c r="AP61" s="53"/>
    </row>
    <row r="62">
      <c r="A62" s="24" t="s">
        <v>42</v>
      </c>
      <c r="B62" s="17"/>
      <c r="C62" s="17"/>
      <c r="D62" s="18"/>
      <c r="E62" s="106">
        <v>1.0</v>
      </c>
      <c r="F62" s="106" t="s">
        <v>21</v>
      </c>
      <c r="G62" s="107">
        <v>282.0</v>
      </c>
      <c r="H62" s="107" t="s">
        <v>22</v>
      </c>
      <c r="I62" s="114"/>
      <c r="J62" s="107"/>
      <c r="K62" s="107"/>
      <c r="L62" s="114"/>
      <c r="M62" s="107">
        <v>50.0</v>
      </c>
      <c r="N62" s="114"/>
      <c r="O62" s="107">
        <v>60.0</v>
      </c>
      <c r="P62" s="107"/>
      <c r="Q62" s="114"/>
      <c r="R62" s="112"/>
      <c r="S62" s="112"/>
      <c r="T62" s="112"/>
      <c r="U62" s="125">
        <v>130.0</v>
      </c>
      <c r="V62" s="112"/>
      <c r="W62" s="125"/>
      <c r="X62" s="112"/>
      <c r="Y62" s="112"/>
      <c r="Z62" s="112"/>
      <c r="AA62" s="112"/>
      <c r="AB62" s="112"/>
      <c r="AC62" s="112"/>
      <c r="AD62" s="125">
        <v>150.0</v>
      </c>
      <c r="AE62" s="112"/>
      <c r="AF62" s="125"/>
      <c r="AG62" s="112"/>
      <c r="AH62" s="112"/>
      <c r="AI62" s="112"/>
      <c r="AJ62" s="112"/>
      <c r="AK62" s="125">
        <v>50.0</v>
      </c>
      <c r="AL62" s="112"/>
      <c r="AM62" s="125">
        <v>50.0</v>
      </c>
      <c r="AN62" s="113">
        <f>G62+SUM(I62:AM62)-SUM(I63:AM63)</f>
        <v>154</v>
      </c>
      <c r="AO62" s="53">
        <f>ROUNDDOWN((AN62/E62)/$H$4,1)</f>
        <v>5.1</v>
      </c>
      <c r="AP62" s="53">
        <f>$M$3+AO62</f>
        <v>897.1</v>
      </c>
    </row>
    <row r="63">
      <c r="A63" s="31"/>
      <c r="B63" s="17"/>
      <c r="C63" s="17"/>
      <c r="D63" s="17"/>
      <c r="E63" s="17"/>
      <c r="F63" s="18"/>
      <c r="G63" s="114"/>
      <c r="H63" s="107" t="s">
        <v>23</v>
      </c>
      <c r="I63" s="107">
        <f>15+15</f>
        <v>30</v>
      </c>
      <c r="J63" s="107">
        <v>15.0</v>
      </c>
      <c r="K63" s="107">
        <v>15.0</v>
      </c>
      <c r="L63" s="107"/>
      <c r="M63" s="107">
        <f t="shared" ref="M63:N63" si="23">15+15</f>
        <v>30</v>
      </c>
      <c r="N63" s="114">
        <f t="shared" si="23"/>
        <v>30</v>
      </c>
      <c r="O63" s="107">
        <v>15.0</v>
      </c>
      <c r="P63" s="114"/>
      <c r="Q63" s="114">
        <f t="shared" ref="Q63:R63" si="24">15+15</f>
        <v>30</v>
      </c>
      <c r="R63" s="125">
        <f t="shared" si="24"/>
        <v>30</v>
      </c>
      <c r="S63" s="112"/>
      <c r="T63" s="125">
        <f>15</f>
        <v>15</v>
      </c>
      <c r="U63" s="125">
        <f>15+15</f>
        <v>30</v>
      </c>
      <c r="V63" s="125">
        <v>15.0</v>
      </c>
      <c r="W63" s="125">
        <f>15+16</f>
        <v>31</v>
      </c>
      <c r="X63" s="125">
        <f>15+15</f>
        <v>30</v>
      </c>
      <c r="Y63" s="125">
        <v>15.0</v>
      </c>
      <c r="Z63" s="125"/>
      <c r="AA63" s="125">
        <v>15.0</v>
      </c>
      <c r="AB63" s="125">
        <f t="shared" ref="AB63:AF63" si="25">15+15</f>
        <v>30</v>
      </c>
      <c r="AC63" s="125">
        <f t="shared" si="25"/>
        <v>30</v>
      </c>
      <c r="AD63" s="112">
        <f t="shared" si="25"/>
        <v>30</v>
      </c>
      <c r="AE63" s="112">
        <f t="shared" si="25"/>
        <v>30</v>
      </c>
      <c r="AF63" s="125">
        <f t="shared" si="25"/>
        <v>30</v>
      </c>
      <c r="AG63" s="112"/>
      <c r="AH63" s="125">
        <v>30.0</v>
      </c>
      <c r="AI63" s="125"/>
      <c r="AJ63" s="112">
        <f>17+15</f>
        <v>32</v>
      </c>
      <c r="AK63" s="125">
        <v>15.0</v>
      </c>
      <c r="AL63" s="125">
        <v>15.0</v>
      </c>
      <c r="AM63" s="125">
        <f>15+15</f>
        <v>30</v>
      </c>
      <c r="AN63" s="32"/>
    </row>
    <row r="64">
      <c r="A64" s="54"/>
      <c r="B64" s="54"/>
      <c r="C64" s="54"/>
      <c r="D64" s="54"/>
      <c r="E64" s="106"/>
      <c r="F64" s="106"/>
      <c r="G64" s="107"/>
      <c r="H64" s="107"/>
      <c r="I64" s="118"/>
      <c r="J64" s="118"/>
      <c r="K64" s="124"/>
      <c r="L64" s="114"/>
      <c r="M64" s="118"/>
      <c r="N64" s="118"/>
      <c r="O64" s="118"/>
      <c r="P64" s="116"/>
      <c r="Q64" s="118"/>
      <c r="R64" s="120"/>
      <c r="S64" s="112"/>
      <c r="T64" s="120"/>
      <c r="U64" s="120"/>
      <c r="V64" s="120"/>
      <c r="W64" s="127"/>
      <c r="X64" s="120"/>
      <c r="Y64" s="120"/>
      <c r="Z64" s="112"/>
      <c r="AA64" s="120"/>
      <c r="AB64" s="120"/>
      <c r="AC64" s="120"/>
      <c r="AD64" s="120"/>
      <c r="AE64" s="120"/>
      <c r="AF64" s="127"/>
      <c r="AG64" s="112"/>
      <c r="AH64" s="120"/>
      <c r="AI64" s="119"/>
      <c r="AJ64" s="120"/>
      <c r="AK64" s="120"/>
      <c r="AL64" s="120"/>
      <c r="AM64" s="120"/>
      <c r="AN64" s="122"/>
      <c r="AO64" s="53"/>
      <c r="AP64" s="53"/>
    </row>
    <row r="65">
      <c r="A65" s="55" t="s">
        <v>43</v>
      </c>
      <c r="B65" s="17"/>
      <c r="C65" s="17"/>
      <c r="D65" s="18"/>
      <c r="E65" s="106">
        <v>1.0</v>
      </c>
      <c r="F65" s="106" t="s">
        <v>21</v>
      </c>
      <c r="G65" s="107">
        <v>297.0</v>
      </c>
      <c r="H65" s="107" t="s">
        <v>22</v>
      </c>
      <c r="I65" s="114"/>
      <c r="J65" s="107"/>
      <c r="K65" s="107"/>
      <c r="L65" s="114"/>
      <c r="M65" s="107">
        <v>50.0</v>
      </c>
      <c r="N65" s="114"/>
      <c r="O65" s="107">
        <v>60.0</v>
      </c>
      <c r="P65" s="107"/>
      <c r="Q65" s="114"/>
      <c r="R65" s="112"/>
      <c r="S65" s="112"/>
      <c r="T65" s="112"/>
      <c r="U65" s="125">
        <v>130.0</v>
      </c>
      <c r="V65" s="112"/>
      <c r="W65" s="125"/>
      <c r="X65" s="112"/>
      <c r="Y65" s="112"/>
      <c r="Z65" s="112"/>
      <c r="AA65" s="112"/>
      <c r="AB65" s="112"/>
      <c r="AC65" s="112"/>
      <c r="AD65" s="125">
        <v>150.0</v>
      </c>
      <c r="AE65" s="112"/>
      <c r="AF65" s="125"/>
      <c r="AG65" s="112"/>
      <c r="AH65" s="112"/>
      <c r="AI65" s="112"/>
      <c r="AJ65" s="112"/>
      <c r="AK65" s="125">
        <v>50.0</v>
      </c>
      <c r="AL65" s="112"/>
      <c r="AM65" s="125">
        <v>50.0</v>
      </c>
      <c r="AN65" s="113">
        <f>G65+SUM(I65:AM65)-SUM(I66:AM66)</f>
        <v>171</v>
      </c>
      <c r="AO65" s="53">
        <f>ROUNDDOWN((AN65/E65)/$H$4,1)</f>
        <v>5.7</v>
      </c>
      <c r="AP65" s="53">
        <f>$M$3+AO65</f>
        <v>897.7</v>
      </c>
    </row>
    <row r="66">
      <c r="A66" s="31"/>
      <c r="B66" s="17"/>
      <c r="C66" s="17"/>
      <c r="D66" s="17"/>
      <c r="E66" s="17"/>
      <c r="F66" s="18"/>
      <c r="G66" s="114"/>
      <c r="H66" s="107" t="s">
        <v>23</v>
      </c>
      <c r="I66" s="107"/>
      <c r="J66" s="107">
        <v>30.0</v>
      </c>
      <c r="K66" s="107">
        <v>60.0</v>
      </c>
      <c r="L66" s="107"/>
      <c r="M66" s="114"/>
      <c r="N66" s="107">
        <f>1+50</f>
        <v>51</v>
      </c>
      <c r="O66" s="107">
        <v>50.0</v>
      </c>
      <c r="P66" s="107"/>
      <c r="Q66" s="107"/>
      <c r="R66" s="125">
        <v>35.0</v>
      </c>
      <c r="S66" s="112"/>
      <c r="T66" s="125"/>
      <c r="U66" s="125">
        <v>45.0</v>
      </c>
      <c r="V66" s="112"/>
      <c r="W66" s="125">
        <v>50.0</v>
      </c>
      <c r="X66" s="125"/>
      <c r="Y66" s="125">
        <v>50.0</v>
      </c>
      <c r="Z66" s="112"/>
      <c r="AA66" s="125"/>
      <c r="AB66" s="125">
        <v>60.0</v>
      </c>
      <c r="AC66" s="125">
        <v>25.0</v>
      </c>
      <c r="AD66" s="112"/>
      <c r="AE66" s="125">
        <v>50.0</v>
      </c>
      <c r="AF66" s="125">
        <v>50.0</v>
      </c>
      <c r="AG66" s="112"/>
      <c r="AH66" s="125">
        <v>40.0</v>
      </c>
      <c r="AI66" s="112"/>
      <c r="AJ66" s="112"/>
      <c r="AK66" s="125">
        <v>20.0</v>
      </c>
      <c r="AL66" s="112"/>
      <c r="AM66" s="112"/>
      <c r="AN66" s="32"/>
    </row>
    <row r="67">
      <c r="A67" s="33"/>
      <c r="B67" s="33"/>
      <c r="C67" s="33"/>
      <c r="D67" s="33"/>
      <c r="E67" s="106"/>
      <c r="F67" s="106"/>
      <c r="G67" s="107"/>
      <c r="H67" s="107"/>
      <c r="I67" s="117"/>
      <c r="J67" s="118"/>
      <c r="K67" s="124"/>
      <c r="L67" s="114"/>
      <c r="M67" s="118"/>
      <c r="N67" s="118"/>
      <c r="O67" s="118"/>
      <c r="P67" s="116"/>
      <c r="Q67" s="117"/>
      <c r="R67" s="127"/>
      <c r="S67" s="112"/>
      <c r="T67" s="119"/>
      <c r="U67" s="120"/>
      <c r="V67" s="119"/>
      <c r="W67" s="120"/>
      <c r="X67" s="119"/>
      <c r="Y67" s="120"/>
      <c r="Z67" s="112"/>
      <c r="AA67" s="119"/>
      <c r="AB67" s="120"/>
      <c r="AC67" s="120"/>
      <c r="AD67" s="119"/>
      <c r="AE67" s="120"/>
      <c r="AF67" s="127"/>
      <c r="AG67" s="112"/>
      <c r="AH67" s="120"/>
      <c r="AI67" s="119"/>
      <c r="AJ67" s="119"/>
      <c r="AK67" s="120"/>
      <c r="AL67" s="119"/>
      <c r="AM67" s="119"/>
      <c r="AN67" s="122"/>
      <c r="AO67" s="53"/>
      <c r="AP67" s="53"/>
    </row>
    <row r="68">
      <c r="A68" s="24" t="s">
        <v>44</v>
      </c>
      <c r="B68" s="17"/>
      <c r="C68" s="17"/>
      <c r="D68" s="18"/>
      <c r="E68" s="106">
        <v>2.0</v>
      </c>
      <c r="F68" s="106" t="s">
        <v>21</v>
      </c>
      <c r="G68" s="107">
        <v>744.0</v>
      </c>
      <c r="H68" s="107" t="s">
        <v>22</v>
      </c>
      <c r="I68" s="114"/>
      <c r="J68" s="107"/>
      <c r="K68" s="107"/>
      <c r="L68" s="114"/>
      <c r="M68" s="107">
        <v>100.0</v>
      </c>
      <c r="N68" s="114"/>
      <c r="O68" s="107">
        <v>120.0</v>
      </c>
      <c r="P68" s="107"/>
      <c r="Q68" s="114"/>
      <c r="R68" s="112"/>
      <c r="S68" s="112"/>
      <c r="T68" s="112"/>
      <c r="U68" s="125">
        <v>260.0</v>
      </c>
      <c r="V68" s="112"/>
      <c r="W68" s="125"/>
      <c r="X68" s="112"/>
      <c r="Y68" s="112"/>
      <c r="Z68" s="112"/>
      <c r="AA68" s="112"/>
      <c r="AB68" s="112"/>
      <c r="AC68" s="112"/>
      <c r="AD68" s="125">
        <v>300.0</v>
      </c>
      <c r="AE68" s="112"/>
      <c r="AF68" s="125"/>
      <c r="AG68" s="112"/>
      <c r="AH68" s="112"/>
      <c r="AI68" s="112"/>
      <c r="AJ68" s="112"/>
      <c r="AK68" s="125">
        <v>100.0</v>
      </c>
      <c r="AL68" s="112"/>
      <c r="AM68" s="125">
        <v>100.0</v>
      </c>
      <c r="AN68" s="113">
        <f>G68+SUM(I68:AM68)-SUM(I69:AM69)</f>
        <v>494</v>
      </c>
      <c r="AO68" s="53">
        <f>ROUNDDOWN((AN68/E68)/$H$4,1)</f>
        <v>8.2</v>
      </c>
      <c r="AP68" s="53">
        <f>$M$5+AO68</f>
        <v>900.2</v>
      </c>
    </row>
    <row r="69">
      <c r="A69" s="31"/>
      <c r="B69" s="17"/>
      <c r="C69" s="17"/>
      <c r="D69" s="17"/>
      <c r="E69" s="17"/>
      <c r="F69" s="18"/>
      <c r="G69" s="114"/>
      <c r="H69" s="107" t="s">
        <v>23</v>
      </c>
      <c r="I69" s="107">
        <v>60.0</v>
      </c>
      <c r="J69" s="107">
        <v>30.0</v>
      </c>
      <c r="K69" s="107">
        <v>60.0</v>
      </c>
      <c r="L69" s="107"/>
      <c r="M69" s="107">
        <v>30.0</v>
      </c>
      <c r="N69" s="107">
        <v>60.0</v>
      </c>
      <c r="O69" s="107">
        <v>30.0</v>
      </c>
      <c r="P69" s="107">
        <v>30.0</v>
      </c>
      <c r="Q69" s="107">
        <v>30.0</v>
      </c>
      <c r="R69" s="125">
        <v>60.0</v>
      </c>
      <c r="S69" s="125"/>
      <c r="T69" s="125">
        <v>60.0</v>
      </c>
      <c r="U69" s="125">
        <v>30.0</v>
      </c>
      <c r="V69" s="125">
        <v>60.0</v>
      </c>
      <c r="W69" s="125">
        <v>60.0</v>
      </c>
      <c r="X69" s="125"/>
      <c r="Y69" s="125">
        <v>60.0</v>
      </c>
      <c r="Z69" s="125"/>
      <c r="AA69" s="125">
        <v>60.0</v>
      </c>
      <c r="AB69" s="125">
        <v>60.0</v>
      </c>
      <c r="AC69" s="125">
        <v>60.0</v>
      </c>
      <c r="AD69" s="125">
        <v>60.0</v>
      </c>
      <c r="AE69" s="125">
        <v>60.0</v>
      </c>
      <c r="AF69" s="125"/>
      <c r="AG69" s="125"/>
      <c r="AH69" s="125">
        <v>60.0</v>
      </c>
      <c r="AI69" s="125">
        <v>60.0</v>
      </c>
      <c r="AJ69" s="125">
        <v>30.0</v>
      </c>
      <c r="AK69" s="125">
        <v>30.0</v>
      </c>
      <c r="AL69" s="125">
        <v>30.0</v>
      </c>
      <c r="AM69" s="125">
        <v>60.0</v>
      </c>
      <c r="AN69" s="32"/>
    </row>
    <row r="70">
      <c r="A70" s="33"/>
      <c r="B70" s="33"/>
      <c r="C70" s="33"/>
      <c r="D70" s="33"/>
      <c r="E70" s="106"/>
      <c r="F70" s="106"/>
      <c r="G70" s="107"/>
      <c r="H70" s="107"/>
      <c r="I70" s="118"/>
      <c r="J70" s="118"/>
      <c r="K70" s="118"/>
      <c r="L70" s="114"/>
      <c r="M70" s="118"/>
      <c r="N70" s="118"/>
      <c r="O70" s="118"/>
      <c r="P70" s="118"/>
      <c r="Q70" s="118"/>
      <c r="R70" s="120"/>
      <c r="S70" s="112"/>
      <c r="T70" s="120"/>
      <c r="U70" s="120"/>
      <c r="V70" s="120"/>
      <c r="W70" s="120"/>
      <c r="X70" s="119"/>
      <c r="Y70" s="120"/>
      <c r="Z70" s="112"/>
      <c r="AA70" s="120"/>
      <c r="AB70" s="120"/>
      <c r="AC70" s="120"/>
      <c r="AD70" s="120"/>
      <c r="AE70" s="120"/>
      <c r="AF70" s="119"/>
      <c r="AG70" s="112"/>
      <c r="AH70" s="120"/>
      <c r="AI70" s="120"/>
      <c r="AJ70" s="120"/>
      <c r="AK70" s="120"/>
      <c r="AL70" s="120"/>
      <c r="AM70" s="120"/>
      <c r="AN70" s="122"/>
      <c r="AO70" s="53"/>
      <c r="AP70" s="53"/>
    </row>
    <row r="71">
      <c r="A71" s="24" t="s">
        <v>45</v>
      </c>
      <c r="B71" s="17"/>
      <c r="C71" s="17"/>
      <c r="D71" s="18"/>
      <c r="E71" s="106">
        <v>2.0</v>
      </c>
      <c r="F71" s="106" t="s">
        <v>46</v>
      </c>
      <c r="G71" s="107">
        <v>2574.0</v>
      </c>
      <c r="H71" s="107" t="s">
        <v>22</v>
      </c>
      <c r="I71" s="114"/>
      <c r="J71" s="114"/>
      <c r="K71" s="114"/>
      <c r="L71" s="114"/>
      <c r="M71" s="114"/>
      <c r="N71" s="114"/>
      <c r="O71" s="114"/>
      <c r="P71" s="114"/>
      <c r="Q71" s="114"/>
      <c r="R71" s="112"/>
      <c r="S71" s="112"/>
      <c r="T71" s="112"/>
      <c r="U71" s="112"/>
      <c r="V71" s="112"/>
      <c r="W71" s="112"/>
      <c r="X71" s="125"/>
      <c r="Y71" s="112"/>
      <c r="Z71" s="112"/>
      <c r="AA71" s="112"/>
      <c r="AB71" s="112"/>
      <c r="AC71" s="112"/>
      <c r="AD71" s="112"/>
      <c r="AE71" s="112"/>
      <c r="AF71" s="112"/>
      <c r="AG71" s="112"/>
      <c r="AH71" s="125"/>
      <c r="AI71" s="112"/>
      <c r="AJ71" s="112"/>
      <c r="AK71" s="112"/>
      <c r="AL71" s="112"/>
      <c r="AM71" s="112"/>
      <c r="AN71" s="113">
        <f>G71+SUM(I71:AM71)-SUM(I72:AM72)</f>
        <v>1404</v>
      </c>
      <c r="AO71" s="53">
        <f>ROUNDDOWN((AN71/E71)/$H$4,1)</f>
        <v>23.4</v>
      </c>
      <c r="AP71" s="53">
        <f>$M$5+AO71</f>
        <v>915.4</v>
      </c>
    </row>
    <row r="72">
      <c r="A72" s="31"/>
      <c r="B72" s="17"/>
      <c r="C72" s="17"/>
      <c r="D72" s="17"/>
      <c r="E72" s="17"/>
      <c r="F72" s="18"/>
      <c r="G72" s="114"/>
      <c r="H72" s="107" t="s">
        <v>23</v>
      </c>
      <c r="I72" s="107">
        <v>60.0</v>
      </c>
      <c r="J72" s="107">
        <v>30.0</v>
      </c>
      <c r="K72" s="107"/>
      <c r="L72" s="107"/>
      <c r="M72" s="107">
        <v>30.0</v>
      </c>
      <c r="N72" s="107">
        <v>60.0</v>
      </c>
      <c r="O72" s="107">
        <v>30.0</v>
      </c>
      <c r="P72" s="107">
        <v>30.0</v>
      </c>
      <c r="Q72" s="107">
        <v>30.0</v>
      </c>
      <c r="R72" s="125">
        <v>60.0</v>
      </c>
      <c r="S72" s="125"/>
      <c r="T72" s="125">
        <v>60.0</v>
      </c>
      <c r="U72" s="125">
        <v>30.0</v>
      </c>
      <c r="V72" s="125">
        <v>60.0</v>
      </c>
      <c r="W72" s="125">
        <v>60.0</v>
      </c>
      <c r="X72" s="125"/>
      <c r="Y72" s="125">
        <v>60.0</v>
      </c>
      <c r="Z72" s="125"/>
      <c r="AA72" s="125">
        <v>60.0</v>
      </c>
      <c r="AB72" s="125">
        <v>60.0</v>
      </c>
      <c r="AC72" s="125">
        <v>60.0</v>
      </c>
      <c r="AD72" s="125">
        <v>60.0</v>
      </c>
      <c r="AE72" s="125">
        <v>60.0</v>
      </c>
      <c r="AF72" s="125"/>
      <c r="AG72" s="125"/>
      <c r="AH72" s="125">
        <v>60.0</v>
      </c>
      <c r="AI72" s="125">
        <v>60.0</v>
      </c>
      <c r="AJ72" s="125">
        <v>30.0</v>
      </c>
      <c r="AK72" s="125">
        <v>30.0</v>
      </c>
      <c r="AL72" s="125">
        <v>30.0</v>
      </c>
      <c r="AM72" s="125">
        <v>60.0</v>
      </c>
      <c r="AN72" s="32"/>
    </row>
    <row r="73">
      <c r="A73" s="33"/>
      <c r="B73" s="33"/>
      <c r="C73" s="33"/>
      <c r="D73" s="33"/>
      <c r="E73" s="106"/>
      <c r="F73" s="106"/>
      <c r="G73" s="107"/>
      <c r="H73" s="107"/>
      <c r="I73" s="118"/>
      <c r="J73" s="118"/>
      <c r="K73" s="117"/>
      <c r="L73" s="114"/>
      <c r="M73" s="118"/>
      <c r="N73" s="118"/>
      <c r="O73" s="118"/>
      <c r="P73" s="118"/>
      <c r="Q73" s="118"/>
      <c r="R73" s="120"/>
      <c r="S73" s="112"/>
      <c r="T73" s="120"/>
      <c r="U73" s="120"/>
      <c r="V73" s="120"/>
      <c r="W73" s="120"/>
      <c r="X73" s="119"/>
      <c r="Y73" s="120"/>
      <c r="Z73" s="112"/>
      <c r="AA73" s="120"/>
      <c r="AB73" s="120"/>
      <c r="AC73" s="120"/>
      <c r="AD73" s="120"/>
      <c r="AE73" s="120"/>
      <c r="AF73" s="119"/>
      <c r="AG73" s="112"/>
      <c r="AH73" s="120"/>
      <c r="AI73" s="120"/>
      <c r="AJ73" s="120"/>
      <c r="AK73" s="120"/>
      <c r="AL73" s="120"/>
      <c r="AM73" s="120"/>
      <c r="AN73" s="122"/>
      <c r="AO73" s="53"/>
      <c r="AP73" s="53"/>
    </row>
    <row r="74">
      <c r="A74" s="24" t="s">
        <v>47</v>
      </c>
      <c r="B74" s="17"/>
      <c r="C74" s="17"/>
      <c r="D74" s="18"/>
      <c r="E74" s="106">
        <v>1.0</v>
      </c>
      <c r="F74" s="106" t="s">
        <v>21</v>
      </c>
      <c r="G74" s="107">
        <f>481+1020</f>
        <v>1501</v>
      </c>
      <c r="H74" s="107" t="s">
        <v>22</v>
      </c>
      <c r="I74" s="114"/>
      <c r="J74" s="114"/>
      <c r="K74" s="114"/>
      <c r="L74" s="114"/>
      <c r="M74" s="107"/>
      <c r="N74" s="114"/>
      <c r="O74" s="114"/>
      <c r="P74" s="114"/>
      <c r="Q74" s="114"/>
      <c r="R74" s="112"/>
      <c r="S74" s="112"/>
      <c r="T74" s="125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2"/>
      <c r="AN74" s="113">
        <f>G74+SUM(I74:AM74)-SUM(I75:AM75)</f>
        <v>886</v>
      </c>
      <c r="AO74" s="53">
        <f>ROUNDDOWN((AN74/E74)/$H$4,1)</f>
        <v>29.5</v>
      </c>
      <c r="AP74" s="53">
        <f>$M$5+AO74</f>
        <v>921.5</v>
      </c>
    </row>
    <row r="75">
      <c r="A75" s="31"/>
      <c r="B75" s="17"/>
      <c r="C75" s="17"/>
      <c r="D75" s="17"/>
      <c r="E75" s="17"/>
      <c r="F75" s="18"/>
      <c r="G75" s="114"/>
      <c r="H75" s="107" t="s">
        <v>23</v>
      </c>
      <c r="I75" s="107">
        <v>30.0</v>
      </c>
      <c r="J75" s="107">
        <v>15.0</v>
      </c>
      <c r="K75" s="107">
        <v>30.0</v>
      </c>
      <c r="L75" s="107"/>
      <c r="M75" s="107">
        <v>15.0</v>
      </c>
      <c r="N75" s="107">
        <v>30.0</v>
      </c>
      <c r="O75" s="107">
        <v>15.0</v>
      </c>
      <c r="P75" s="107">
        <v>15.0</v>
      </c>
      <c r="Q75" s="107">
        <f>15</f>
        <v>15</v>
      </c>
      <c r="R75" s="125">
        <v>30.0</v>
      </c>
      <c r="S75" s="125"/>
      <c r="T75" s="125">
        <v>30.0</v>
      </c>
      <c r="U75" s="125">
        <v>15.0</v>
      </c>
      <c r="V75" s="125">
        <v>30.0</v>
      </c>
      <c r="W75" s="125">
        <v>30.0</v>
      </c>
      <c r="X75" s="125"/>
      <c r="Y75" s="125">
        <v>30.0</v>
      </c>
      <c r="Z75" s="125"/>
      <c r="AA75" s="125">
        <v>30.0</v>
      </c>
      <c r="AB75" s="125">
        <v>30.0</v>
      </c>
      <c r="AC75" s="125">
        <v>30.0</v>
      </c>
      <c r="AD75" s="125">
        <v>30.0</v>
      </c>
      <c r="AE75" s="125">
        <v>30.0</v>
      </c>
      <c r="AF75" s="125"/>
      <c r="AG75" s="125"/>
      <c r="AH75" s="125">
        <v>30.0</v>
      </c>
      <c r="AI75" s="125">
        <v>30.0</v>
      </c>
      <c r="AJ75" s="125">
        <v>15.0</v>
      </c>
      <c r="AK75" s="125">
        <v>15.0</v>
      </c>
      <c r="AL75" s="125">
        <v>15.0</v>
      </c>
      <c r="AM75" s="125">
        <v>30.0</v>
      </c>
      <c r="AN75" s="32"/>
    </row>
    <row r="76">
      <c r="A76" s="33"/>
      <c r="B76" s="33"/>
      <c r="C76" s="33"/>
      <c r="D76" s="33"/>
      <c r="E76" s="106"/>
      <c r="F76" s="106"/>
      <c r="G76" s="107"/>
      <c r="H76" s="107"/>
      <c r="I76" s="118"/>
      <c r="J76" s="118"/>
      <c r="K76" s="124"/>
      <c r="L76" s="107"/>
      <c r="M76" s="118"/>
      <c r="N76" s="118"/>
      <c r="O76" s="118"/>
      <c r="P76" s="118"/>
      <c r="Q76" s="118"/>
      <c r="R76" s="120"/>
      <c r="S76" s="112"/>
      <c r="T76" s="120"/>
      <c r="U76" s="127"/>
      <c r="V76" s="120"/>
      <c r="W76" s="120"/>
      <c r="X76" s="119"/>
      <c r="Y76" s="120"/>
      <c r="Z76" s="125"/>
      <c r="AA76" s="127"/>
      <c r="AB76" s="120"/>
      <c r="AC76" s="127"/>
      <c r="AD76" s="127"/>
      <c r="AE76" s="120"/>
      <c r="AF76" s="119"/>
      <c r="AG76" s="112"/>
      <c r="AH76" s="120"/>
      <c r="AI76" s="120"/>
      <c r="AJ76" s="120"/>
      <c r="AK76" s="120"/>
      <c r="AL76" s="120"/>
      <c r="AM76" s="120"/>
      <c r="AN76" s="122"/>
      <c r="AO76" s="53"/>
      <c r="AP76" s="53"/>
    </row>
    <row r="77">
      <c r="A77" s="24" t="s">
        <v>48</v>
      </c>
      <c r="B77" s="17"/>
      <c r="C77" s="17"/>
      <c r="D77" s="18"/>
      <c r="E77" s="106">
        <v>2.0</v>
      </c>
      <c r="F77" s="106" t="s">
        <v>21</v>
      </c>
      <c r="G77" s="107">
        <v>48.0</v>
      </c>
      <c r="H77" s="107" t="s">
        <v>22</v>
      </c>
      <c r="I77" s="107"/>
      <c r="J77" s="107">
        <v>180.0</v>
      </c>
      <c r="K77" s="107">
        <v>120.0</v>
      </c>
      <c r="L77" s="107"/>
      <c r="M77" s="114"/>
      <c r="N77" s="107">
        <v>60.0</v>
      </c>
      <c r="O77" s="107">
        <v>120.0</v>
      </c>
      <c r="P77" s="107"/>
      <c r="Q77" s="107">
        <v>60.0</v>
      </c>
      <c r="R77" s="125"/>
      <c r="S77" s="112"/>
      <c r="T77" s="125">
        <v>180.0</v>
      </c>
      <c r="U77" s="125"/>
      <c r="V77" s="125">
        <v>180.0</v>
      </c>
      <c r="W77" s="112"/>
      <c r="X77" s="125">
        <v>120.0</v>
      </c>
      <c r="Y77" s="112"/>
      <c r="Z77" s="125"/>
      <c r="AA77" s="125">
        <v>120.0</v>
      </c>
      <c r="AB77" s="112"/>
      <c r="AC77" s="125"/>
      <c r="AD77" s="125">
        <v>120.0</v>
      </c>
      <c r="AE77" s="125">
        <v>240.0</v>
      </c>
      <c r="AF77" s="112"/>
      <c r="AG77" s="112"/>
      <c r="AH77" s="112"/>
      <c r="AI77" s="125">
        <v>120.0</v>
      </c>
      <c r="AJ77" s="125">
        <v>180.0</v>
      </c>
      <c r="AK77" s="125"/>
      <c r="AL77" s="125"/>
      <c r="AM77" s="112"/>
      <c r="AN77" s="113">
        <f>G77+SUM(I77:AM77)-SUM(I78:AM78)</f>
        <v>564</v>
      </c>
      <c r="AO77" s="53">
        <f>ROUNDDOWN((AN77/E77)/$H$4,1)</f>
        <v>9.4</v>
      </c>
      <c r="AP77" s="53">
        <f>$M$3+AO77</f>
        <v>901.4</v>
      </c>
    </row>
    <row r="78">
      <c r="A78" s="31"/>
      <c r="B78" s="17"/>
      <c r="C78" s="17"/>
      <c r="D78" s="17"/>
      <c r="E78" s="17"/>
      <c r="F78" s="18"/>
      <c r="G78" s="114"/>
      <c r="H78" s="107" t="s">
        <v>23</v>
      </c>
      <c r="I78" s="107">
        <v>36.0</v>
      </c>
      <c r="J78" s="107">
        <v>46.0</v>
      </c>
      <c r="K78" s="107">
        <v>40.0</v>
      </c>
      <c r="L78" s="107"/>
      <c r="M78" s="107">
        <v>44.0</v>
      </c>
      <c r="N78" s="107">
        <f>44+60</f>
        <v>104</v>
      </c>
      <c r="O78" s="107">
        <v>30.0</v>
      </c>
      <c r="P78" s="107">
        <v>30.0</v>
      </c>
      <c r="Q78" s="114">
        <f>30+10</f>
        <v>40</v>
      </c>
      <c r="R78" s="125">
        <f>30+22</f>
        <v>52</v>
      </c>
      <c r="S78" s="125"/>
      <c r="T78" s="112">
        <f>30+18</f>
        <v>48</v>
      </c>
      <c r="U78" s="112">
        <f>30+22</f>
        <v>52</v>
      </c>
      <c r="V78" s="112">
        <f>30+18</f>
        <v>48</v>
      </c>
      <c r="W78" s="125">
        <f t="shared" ref="W78:X78" si="26">30+20</f>
        <v>50</v>
      </c>
      <c r="X78" s="125">
        <f t="shared" si="26"/>
        <v>50</v>
      </c>
      <c r="Y78" s="125">
        <f>30+8</f>
        <v>38</v>
      </c>
      <c r="Z78" s="125"/>
      <c r="AA78" s="112">
        <f>30+10</f>
        <v>40</v>
      </c>
      <c r="AB78" s="125">
        <f>30+20</f>
        <v>50</v>
      </c>
      <c r="AC78" s="112">
        <f t="shared" ref="AC78:AF78" si="27">30+30</f>
        <v>60</v>
      </c>
      <c r="AD78" s="112">
        <f t="shared" si="27"/>
        <v>60</v>
      </c>
      <c r="AE78" s="125">
        <f t="shared" si="27"/>
        <v>60</v>
      </c>
      <c r="AF78" s="125">
        <f t="shared" si="27"/>
        <v>60</v>
      </c>
      <c r="AG78" s="112"/>
      <c r="AH78" s="125">
        <f t="shared" ref="AH78:AI78" si="28">30+10</f>
        <v>40</v>
      </c>
      <c r="AI78" s="112">
        <f t="shared" si="28"/>
        <v>40</v>
      </c>
      <c r="AJ78" s="125">
        <v>30.0</v>
      </c>
      <c r="AK78" s="125">
        <f>6+30</f>
        <v>36</v>
      </c>
      <c r="AL78" s="125">
        <f>30+30</f>
        <v>60</v>
      </c>
      <c r="AM78" s="125">
        <f>30+10</f>
        <v>40</v>
      </c>
      <c r="AN78" s="32"/>
    </row>
    <row r="79">
      <c r="A79" s="33"/>
      <c r="B79" s="33"/>
      <c r="C79" s="33"/>
      <c r="D79" s="33"/>
      <c r="E79" s="106"/>
      <c r="F79" s="106"/>
      <c r="G79" s="107"/>
      <c r="H79" s="107"/>
      <c r="I79" s="118"/>
      <c r="J79" s="118"/>
      <c r="K79" s="124"/>
      <c r="L79" s="107"/>
      <c r="M79" s="118"/>
      <c r="N79" s="118"/>
      <c r="O79" s="118"/>
      <c r="P79" s="118"/>
      <c r="Q79" s="118"/>
      <c r="R79" s="120"/>
      <c r="S79" s="112"/>
      <c r="T79" s="120"/>
      <c r="U79" s="127"/>
      <c r="V79" s="120"/>
      <c r="W79" s="120"/>
      <c r="X79" s="120"/>
      <c r="Y79" s="120"/>
      <c r="Z79" s="125"/>
      <c r="AA79" s="127"/>
      <c r="AB79" s="120"/>
      <c r="AC79" s="127"/>
      <c r="AD79" s="127"/>
      <c r="AE79" s="127"/>
      <c r="AF79" s="120"/>
      <c r="AG79" s="112"/>
      <c r="AH79" s="120"/>
      <c r="AI79" s="120"/>
      <c r="AJ79" s="120"/>
      <c r="AK79" s="120"/>
      <c r="AL79" s="120"/>
      <c r="AM79" s="120"/>
      <c r="AN79" s="122"/>
      <c r="AO79" s="53"/>
      <c r="AP79" s="53"/>
    </row>
    <row r="80">
      <c r="A80" s="24" t="s">
        <v>49</v>
      </c>
      <c r="B80" s="17"/>
      <c r="C80" s="17"/>
      <c r="D80" s="18"/>
      <c r="E80" s="106">
        <v>3.0</v>
      </c>
      <c r="F80" s="106" t="s">
        <v>21</v>
      </c>
      <c r="G80" s="107">
        <v>222.0</v>
      </c>
      <c r="H80" s="107" t="s">
        <v>22</v>
      </c>
      <c r="I80" s="107"/>
      <c r="J80" s="107">
        <v>270.0</v>
      </c>
      <c r="K80" s="107">
        <v>180.0</v>
      </c>
      <c r="L80" s="107"/>
      <c r="M80" s="114"/>
      <c r="N80" s="107">
        <v>90.0</v>
      </c>
      <c r="O80" s="107">
        <v>180.0</v>
      </c>
      <c r="P80" s="107"/>
      <c r="Q80" s="107">
        <v>90.0</v>
      </c>
      <c r="R80" s="125"/>
      <c r="S80" s="112"/>
      <c r="T80" s="125">
        <v>270.0</v>
      </c>
      <c r="U80" s="125"/>
      <c r="V80" s="125">
        <v>270.0</v>
      </c>
      <c r="W80" s="112"/>
      <c r="X80" s="125">
        <v>180.0</v>
      </c>
      <c r="Y80" s="112"/>
      <c r="Z80" s="125"/>
      <c r="AA80" s="125">
        <v>180.0</v>
      </c>
      <c r="AB80" s="112"/>
      <c r="AC80" s="125"/>
      <c r="AD80" s="125">
        <v>180.0</v>
      </c>
      <c r="AE80" s="125">
        <v>360.0</v>
      </c>
      <c r="AF80" s="112"/>
      <c r="AG80" s="112"/>
      <c r="AH80" s="112"/>
      <c r="AI80" s="125">
        <v>180.0</v>
      </c>
      <c r="AJ80" s="125">
        <v>270.0</v>
      </c>
      <c r="AK80" s="125"/>
      <c r="AL80" s="125"/>
      <c r="AM80" s="112"/>
      <c r="AN80" s="113">
        <f>G80+SUM(I80:AM80)-SUM(I81:AM81)</f>
        <v>996</v>
      </c>
      <c r="AO80" s="53">
        <f>ROUNDDOWN((AN80/E80)/$H$4,1)</f>
        <v>11</v>
      </c>
      <c r="AP80" s="53">
        <f>$M$3+AO80</f>
        <v>903</v>
      </c>
    </row>
    <row r="81">
      <c r="A81" s="136"/>
      <c r="B81" s="137"/>
      <c r="C81" s="137"/>
      <c r="D81" s="137"/>
      <c r="E81" s="138"/>
      <c r="F81" s="138"/>
      <c r="G81" s="114"/>
      <c r="H81" s="107" t="s">
        <v>23</v>
      </c>
      <c r="I81" s="107">
        <v>54.0</v>
      </c>
      <c r="J81" s="107">
        <v>69.0</v>
      </c>
      <c r="K81" s="107">
        <v>60.0</v>
      </c>
      <c r="L81" s="107"/>
      <c r="M81" s="107">
        <v>66.0</v>
      </c>
      <c r="N81" s="107">
        <f>66+90</f>
        <v>156</v>
      </c>
      <c r="O81" s="107">
        <v>45.0</v>
      </c>
      <c r="P81" s="107">
        <v>45.0</v>
      </c>
      <c r="Q81" s="114">
        <f>45+15</f>
        <v>60</v>
      </c>
      <c r="R81" s="125">
        <f>45+33</f>
        <v>78</v>
      </c>
      <c r="S81" s="125"/>
      <c r="T81" s="125">
        <f>45+27</f>
        <v>72</v>
      </c>
      <c r="U81" s="112">
        <f>45+33</f>
        <v>78</v>
      </c>
      <c r="V81" s="125">
        <f>45+27</f>
        <v>72</v>
      </c>
      <c r="W81" s="125">
        <f t="shared" ref="W81:X81" si="29">45+30</f>
        <v>75</v>
      </c>
      <c r="X81" s="125">
        <f t="shared" si="29"/>
        <v>75</v>
      </c>
      <c r="Y81" s="125">
        <f>45+12</f>
        <v>57</v>
      </c>
      <c r="Z81" s="125"/>
      <c r="AA81" s="112">
        <f>45+15</f>
        <v>60</v>
      </c>
      <c r="AB81" s="125">
        <f>45+30</f>
        <v>75</v>
      </c>
      <c r="AC81" s="112">
        <f t="shared" ref="AC81:AF81" si="30">45+45</f>
        <v>90</v>
      </c>
      <c r="AD81" s="125">
        <f t="shared" si="30"/>
        <v>90</v>
      </c>
      <c r="AE81" s="125">
        <f t="shared" si="30"/>
        <v>90</v>
      </c>
      <c r="AF81" s="125">
        <f t="shared" si="30"/>
        <v>90</v>
      </c>
      <c r="AG81" s="112"/>
      <c r="AH81" s="125">
        <f t="shared" ref="AH81:AI81" si="31">45+15</f>
        <v>60</v>
      </c>
      <c r="AI81" s="112">
        <f t="shared" si="31"/>
        <v>60</v>
      </c>
      <c r="AJ81" s="125">
        <v>45.0</v>
      </c>
      <c r="AK81" s="125">
        <f>9+45</f>
        <v>54</v>
      </c>
      <c r="AL81" s="125">
        <f>45+45</f>
        <v>90</v>
      </c>
      <c r="AM81" s="125">
        <f>45+15</f>
        <v>60</v>
      </c>
      <c r="AN81" s="32"/>
    </row>
    <row r="82">
      <c r="A82" s="139"/>
      <c r="B82" s="140"/>
      <c r="C82" s="140"/>
      <c r="D82" s="140"/>
      <c r="E82" s="140"/>
      <c r="F82" s="140"/>
      <c r="G82" s="141"/>
      <c r="H82" s="141"/>
      <c r="I82" s="142"/>
      <c r="J82" s="142"/>
      <c r="K82" s="142"/>
      <c r="L82" s="143"/>
      <c r="M82" s="142"/>
      <c r="N82" s="142"/>
      <c r="O82" s="142"/>
      <c r="P82" s="142"/>
      <c r="Q82" s="142"/>
      <c r="R82" s="144"/>
      <c r="S82" s="214"/>
      <c r="T82" s="144"/>
      <c r="U82" s="144"/>
      <c r="V82" s="144"/>
      <c r="W82" s="144"/>
      <c r="X82" s="144"/>
      <c r="Y82" s="144"/>
      <c r="Z82" s="214"/>
      <c r="AA82" s="144"/>
      <c r="AB82" s="144"/>
      <c r="AC82" s="144"/>
      <c r="AD82" s="144"/>
      <c r="AE82" s="144"/>
      <c r="AF82" s="144"/>
      <c r="AG82" s="214"/>
      <c r="AH82" s="144"/>
      <c r="AI82" s="144"/>
      <c r="AJ82" s="144"/>
      <c r="AK82" s="144"/>
      <c r="AL82" s="144"/>
      <c r="AM82" s="144"/>
      <c r="AN82" s="145"/>
      <c r="AO82" s="64"/>
      <c r="AP82" s="64"/>
    </row>
    <row r="83">
      <c r="A83" s="16" t="s">
        <v>50</v>
      </c>
      <c r="B83" s="17"/>
      <c r="C83" s="17"/>
      <c r="D83" s="17"/>
      <c r="E83" s="17"/>
      <c r="F83" s="17"/>
      <c r="G83" s="147"/>
      <c r="H83" s="147"/>
      <c r="I83" s="148"/>
      <c r="J83" s="148"/>
      <c r="K83" s="148"/>
      <c r="L83" s="148"/>
      <c r="M83" s="148"/>
      <c r="N83" s="148"/>
      <c r="O83" s="148"/>
      <c r="P83" s="148"/>
      <c r="Q83" s="148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50"/>
      <c r="AM83" s="150"/>
      <c r="AN83" s="150"/>
      <c r="AO83" s="67"/>
      <c r="AP83" s="67"/>
    </row>
    <row r="84">
      <c r="A84" s="24" t="s">
        <v>51</v>
      </c>
      <c r="B84" s="17"/>
      <c r="C84" s="17"/>
      <c r="D84" s="18"/>
      <c r="E84" s="106">
        <v>1.0</v>
      </c>
      <c r="F84" s="106" t="s">
        <v>21</v>
      </c>
      <c r="G84" s="107">
        <f>510+193</f>
        <v>703</v>
      </c>
      <c r="H84" s="107" t="s">
        <v>22</v>
      </c>
      <c r="I84" s="114"/>
      <c r="J84" s="114"/>
      <c r="K84" s="114"/>
      <c r="L84" s="114"/>
      <c r="M84" s="114"/>
      <c r="N84" s="114"/>
      <c r="O84" s="107">
        <v>250.0</v>
      </c>
      <c r="P84" s="114"/>
      <c r="Q84" s="107">
        <v>290.0</v>
      </c>
      <c r="R84" s="112"/>
      <c r="S84" s="112"/>
      <c r="T84" s="112"/>
      <c r="U84" s="112"/>
      <c r="V84" s="112"/>
      <c r="W84" s="112"/>
      <c r="X84" s="112"/>
      <c r="Y84" s="112"/>
      <c r="Z84" s="125"/>
      <c r="AA84" s="125"/>
      <c r="AB84" s="112"/>
      <c r="AC84" s="112"/>
      <c r="AD84" s="112"/>
      <c r="AE84" s="125"/>
      <c r="AF84" s="112"/>
      <c r="AG84" s="125"/>
      <c r="AH84" s="112"/>
      <c r="AI84" s="112"/>
      <c r="AJ84" s="112"/>
      <c r="AK84" s="112"/>
      <c r="AL84" s="112"/>
      <c r="AM84" s="112"/>
      <c r="AN84" s="113">
        <f>G84+SUM(I84:AM84)-SUM(I85:AM85)</f>
        <v>625</v>
      </c>
      <c r="AO84" s="53">
        <f>ROUNDDOWN((AN84/E84)/$H$4,1)</f>
        <v>20.8</v>
      </c>
      <c r="AP84" s="53">
        <f>$M$3+AO84</f>
        <v>912.8</v>
      </c>
    </row>
    <row r="85">
      <c r="A85" s="31"/>
      <c r="B85" s="17"/>
      <c r="C85" s="17"/>
      <c r="D85" s="17"/>
      <c r="E85" s="17"/>
      <c r="F85" s="18"/>
      <c r="G85" s="114"/>
      <c r="H85" s="107" t="s">
        <v>23</v>
      </c>
      <c r="I85" s="107">
        <f>15+15</f>
        <v>30</v>
      </c>
      <c r="J85" s="107">
        <v>15.0</v>
      </c>
      <c r="K85" s="107">
        <v>15.0</v>
      </c>
      <c r="L85" s="107"/>
      <c r="M85" s="107">
        <f t="shared" ref="M85:N85" si="32">15+15</f>
        <v>30</v>
      </c>
      <c r="N85" s="114">
        <f t="shared" si="32"/>
        <v>30</v>
      </c>
      <c r="O85" s="107">
        <v>15.0</v>
      </c>
      <c r="P85" s="114"/>
      <c r="Q85" s="114">
        <f t="shared" ref="Q85:R85" si="33">15+15</f>
        <v>30</v>
      </c>
      <c r="R85" s="125">
        <f t="shared" si="33"/>
        <v>30</v>
      </c>
      <c r="S85" s="112"/>
      <c r="T85" s="125">
        <v>15.0</v>
      </c>
      <c r="U85" s="125">
        <f>15+15</f>
        <v>30</v>
      </c>
      <c r="V85" s="125">
        <v>15.0</v>
      </c>
      <c r="W85" s="125">
        <f>15+16</f>
        <v>31</v>
      </c>
      <c r="X85" s="125">
        <f>15+15</f>
        <v>30</v>
      </c>
      <c r="Y85" s="125">
        <v>15.0</v>
      </c>
      <c r="Z85" s="125"/>
      <c r="AA85" s="125">
        <v>15.0</v>
      </c>
      <c r="AB85" s="125">
        <f t="shared" ref="AB85:AF85" si="34">15+15</f>
        <v>30</v>
      </c>
      <c r="AC85" s="125">
        <f t="shared" si="34"/>
        <v>30</v>
      </c>
      <c r="AD85" s="112">
        <f t="shared" si="34"/>
        <v>30</v>
      </c>
      <c r="AE85" s="112">
        <f t="shared" si="34"/>
        <v>30</v>
      </c>
      <c r="AF85" s="125">
        <f t="shared" si="34"/>
        <v>30</v>
      </c>
      <c r="AG85" s="112"/>
      <c r="AH85" s="125">
        <v>30.0</v>
      </c>
      <c r="AI85" s="125"/>
      <c r="AJ85" s="112">
        <f>17+15</f>
        <v>32</v>
      </c>
      <c r="AK85" s="125">
        <v>15.0</v>
      </c>
      <c r="AL85" s="125">
        <v>15.0</v>
      </c>
      <c r="AM85" s="125">
        <f>15+15</f>
        <v>30</v>
      </c>
      <c r="AN85" s="32"/>
    </row>
    <row r="86">
      <c r="A86" s="33"/>
      <c r="B86" s="33"/>
      <c r="C86" s="33"/>
      <c r="D86" s="33"/>
      <c r="E86" s="106"/>
      <c r="F86" s="106"/>
      <c r="G86" s="107"/>
      <c r="H86" s="107"/>
      <c r="I86" s="118"/>
      <c r="J86" s="118"/>
      <c r="K86" s="118"/>
      <c r="L86" s="114"/>
      <c r="M86" s="118"/>
      <c r="N86" s="118"/>
      <c r="O86" s="118"/>
      <c r="P86" s="117"/>
      <c r="Q86" s="118"/>
      <c r="R86" s="120"/>
      <c r="S86" s="112"/>
      <c r="T86" s="120"/>
      <c r="U86" s="120"/>
      <c r="V86" s="120"/>
      <c r="W86" s="120"/>
      <c r="X86" s="120"/>
      <c r="Y86" s="120"/>
      <c r="Z86" s="112"/>
      <c r="AA86" s="120"/>
      <c r="AB86" s="120"/>
      <c r="AC86" s="120"/>
      <c r="AD86" s="120"/>
      <c r="AE86" s="120"/>
      <c r="AF86" s="120"/>
      <c r="AG86" s="112"/>
      <c r="AH86" s="120"/>
      <c r="AI86" s="119"/>
      <c r="AJ86" s="120"/>
      <c r="AK86" s="120"/>
      <c r="AL86" s="120"/>
      <c r="AM86" s="120"/>
      <c r="AN86" s="122"/>
      <c r="AO86" s="53"/>
      <c r="AP86" s="53"/>
    </row>
    <row r="87">
      <c r="A87" s="24" t="s">
        <v>52</v>
      </c>
      <c r="B87" s="17"/>
      <c r="C87" s="17"/>
      <c r="D87" s="18"/>
      <c r="E87" s="106">
        <v>1.0</v>
      </c>
      <c r="F87" s="106" t="s">
        <v>21</v>
      </c>
      <c r="G87" s="107">
        <f>341+225+13</f>
        <v>579</v>
      </c>
      <c r="H87" s="107" t="s">
        <v>22</v>
      </c>
      <c r="I87" s="114"/>
      <c r="J87" s="114"/>
      <c r="K87" s="107"/>
      <c r="L87" s="114"/>
      <c r="M87" s="114"/>
      <c r="N87" s="107"/>
      <c r="O87" s="114"/>
      <c r="P87" s="114"/>
      <c r="Q87" s="114"/>
      <c r="R87" s="125"/>
      <c r="S87" s="112"/>
      <c r="T87" s="125"/>
      <c r="U87" s="112"/>
      <c r="V87" s="112"/>
      <c r="W87" s="112"/>
      <c r="X87" s="112"/>
      <c r="Y87" s="112"/>
      <c r="Z87" s="112"/>
      <c r="AA87" s="125">
        <v>180.0</v>
      </c>
      <c r="AB87" s="112"/>
      <c r="AC87" s="125">
        <v>180.0</v>
      </c>
      <c r="AD87" s="125"/>
      <c r="AE87" s="112"/>
      <c r="AF87" s="112"/>
      <c r="AG87" s="112"/>
      <c r="AH87" s="112"/>
      <c r="AI87" s="125">
        <v>180.0</v>
      </c>
      <c r="AJ87" s="112"/>
      <c r="AK87" s="112"/>
      <c r="AL87" s="125">
        <v>180.0</v>
      </c>
      <c r="AM87" s="125"/>
      <c r="AN87" s="113">
        <f>G87+SUM(I87:AM87)-SUM(I88:AM88)</f>
        <v>657</v>
      </c>
      <c r="AO87" s="53">
        <f>ROUNDDOWN((AN87/E87)/$H$4,1)</f>
        <v>21.9</v>
      </c>
      <c r="AP87" s="53">
        <f>$M$3+AO87</f>
        <v>913.9</v>
      </c>
    </row>
    <row r="88">
      <c r="A88" s="31"/>
      <c r="B88" s="17"/>
      <c r="C88" s="17"/>
      <c r="D88" s="17"/>
      <c r="E88" s="17"/>
      <c r="F88" s="18"/>
      <c r="G88" s="114"/>
      <c r="H88" s="107" t="s">
        <v>23</v>
      </c>
      <c r="I88" s="107">
        <v>18.0</v>
      </c>
      <c r="J88" s="107">
        <v>23.0</v>
      </c>
      <c r="K88" s="107">
        <v>20.0</v>
      </c>
      <c r="L88" s="107"/>
      <c r="M88" s="107">
        <v>22.0</v>
      </c>
      <c r="N88" s="107">
        <f>22+30</f>
        <v>52</v>
      </c>
      <c r="O88" s="107">
        <v>15.0</v>
      </c>
      <c r="P88" s="107">
        <v>15.0</v>
      </c>
      <c r="Q88" s="114">
        <f>15+5</f>
        <v>20</v>
      </c>
      <c r="R88" s="125">
        <f>15+11</f>
        <v>26</v>
      </c>
      <c r="S88" s="125"/>
      <c r="T88" s="112">
        <f>15+9</f>
        <v>24</v>
      </c>
      <c r="U88" s="112">
        <f>15+11</f>
        <v>26</v>
      </c>
      <c r="V88" s="112">
        <f>15+9</f>
        <v>24</v>
      </c>
      <c r="W88" s="125">
        <f t="shared" ref="W88:X88" si="35">15+10</f>
        <v>25</v>
      </c>
      <c r="X88" s="125">
        <f t="shared" si="35"/>
        <v>25</v>
      </c>
      <c r="Y88" s="125">
        <f>15+4</f>
        <v>19</v>
      </c>
      <c r="Z88" s="125"/>
      <c r="AA88" s="112">
        <f>15+5</f>
        <v>20</v>
      </c>
      <c r="AB88" s="125">
        <f>15+10</f>
        <v>25</v>
      </c>
      <c r="AC88" s="112">
        <f t="shared" ref="AC88:AF88" si="36">15+15</f>
        <v>30</v>
      </c>
      <c r="AD88" s="112">
        <f t="shared" si="36"/>
        <v>30</v>
      </c>
      <c r="AE88" s="125">
        <f t="shared" si="36"/>
        <v>30</v>
      </c>
      <c r="AF88" s="125">
        <f t="shared" si="36"/>
        <v>30</v>
      </c>
      <c r="AG88" s="112"/>
      <c r="AH88" s="125">
        <f t="shared" ref="AH88:AI88" si="37">15+5</f>
        <v>20</v>
      </c>
      <c r="AI88" s="112">
        <f t="shared" si="37"/>
        <v>20</v>
      </c>
      <c r="AJ88" s="125">
        <v>15.0</v>
      </c>
      <c r="AK88" s="125">
        <f>15+3</f>
        <v>18</v>
      </c>
      <c r="AL88" s="125">
        <f>15+15</f>
        <v>30</v>
      </c>
      <c r="AM88" s="125">
        <f>15+5</f>
        <v>20</v>
      </c>
      <c r="AN88" s="32"/>
    </row>
    <row r="89">
      <c r="A89" s="33"/>
      <c r="B89" s="33"/>
      <c r="C89" s="33"/>
      <c r="D89" s="33"/>
      <c r="E89" s="106"/>
      <c r="F89" s="106"/>
      <c r="G89" s="107"/>
      <c r="H89" s="107"/>
      <c r="I89" s="118"/>
      <c r="J89" s="118"/>
      <c r="K89" s="118"/>
      <c r="L89" s="114"/>
      <c r="M89" s="124"/>
      <c r="N89" s="118"/>
      <c r="O89" s="118"/>
      <c r="P89" s="118"/>
      <c r="Q89" s="118"/>
      <c r="R89" s="120"/>
      <c r="S89" s="112"/>
      <c r="T89" s="127"/>
      <c r="U89" s="120"/>
      <c r="V89" s="120"/>
      <c r="W89" s="120"/>
      <c r="X89" s="120"/>
      <c r="Y89" s="120"/>
      <c r="Z89" s="112"/>
      <c r="AA89" s="120"/>
      <c r="AB89" s="120"/>
      <c r="AC89" s="120"/>
      <c r="AD89" s="120"/>
      <c r="AE89" s="120"/>
      <c r="AF89" s="120"/>
      <c r="AG89" s="112"/>
      <c r="AH89" s="127"/>
      <c r="AI89" s="120"/>
      <c r="AJ89" s="120"/>
      <c r="AK89" s="120"/>
      <c r="AL89" s="120"/>
      <c r="AM89" s="120"/>
      <c r="AN89" s="122"/>
      <c r="AO89" s="53"/>
      <c r="AP89" s="53"/>
    </row>
    <row r="90">
      <c r="A90" s="24" t="s">
        <v>53</v>
      </c>
      <c r="B90" s="17"/>
      <c r="C90" s="17"/>
      <c r="D90" s="18"/>
      <c r="E90" s="106">
        <v>1.0</v>
      </c>
      <c r="F90" s="106" t="s">
        <v>30</v>
      </c>
      <c r="G90" s="107">
        <v>444.0</v>
      </c>
      <c r="H90" s="107" t="s">
        <v>22</v>
      </c>
      <c r="I90" s="107"/>
      <c r="J90" s="114"/>
      <c r="K90" s="107"/>
      <c r="L90" s="114"/>
      <c r="M90" s="107"/>
      <c r="N90" s="114"/>
      <c r="O90" s="114"/>
      <c r="P90" s="107"/>
      <c r="Q90" s="114"/>
      <c r="R90" s="112"/>
      <c r="S90" s="125"/>
      <c r="T90" s="125"/>
      <c r="U90" s="112"/>
      <c r="V90" s="112"/>
      <c r="W90" s="112"/>
      <c r="X90" s="112"/>
      <c r="Y90" s="125"/>
      <c r="Z90" s="112"/>
      <c r="AA90" s="125">
        <v>120.0</v>
      </c>
      <c r="AB90" s="112"/>
      <c r="AC90" s="125">
        <v>120.0</v>
      </c>
      <c r="AD90" s="112"/>
      <c r="AE90" s="112"/>
      <c r="AF90" s="125"/>
      <c r="AG90" s="112"/>
      <c r="AH90" s="125"/>
      <c r="AI90" s="125">
        <v>120.0</v>
      </c>
      <c r="AJ90" s="112"/>
      <c r="AK90" s="125"/>
      <c r="AL90" s="125">
        <v>120.0</v>
      </c>
      <c r="AM90" s="125"/>
      <c r="AN90" s="113">
        <f>G90+SUM(I90:AM90)-SUM(I91:AM91)</f>
        <v>306</v>
      </c>
      <c r="AO90" s="53">
        <f>ROUNDDOWN((AN90/E90)/$H$4,1)</f>
        <v>10.2</v>
      </c>
      <c r="AP90" s="53">
        <f>$M$3+AO90</f>
        <v>902.2</v>
      </c>
    </row>
    <row r="91">
      <c r="A91" s="136"/>
      <c r="B91" s="137"/>
      <c r="C91" s="137"/>
      <c r="D91" s="137"/>
      <c r="E91" s="138"/>
      <c r="F91" s="138"/>
      <c r="G91" s="114"/>
      <c r="H91" s="107" t="s">
        <v>23</v>
      </c>
      <c r="I91" s="107">
        <f>15+15</f>
        <v>30</v>
      </c>
      <c r="J91" s="107">
        <v>15.0</v>
      </c>
      <c r="K91" s="107">
        <v>15.0</v>
      </c>
      <c r="L91" s="107"/>
      <c r="M91" s="107">
        <f t="shared" ref="M91:N91" si="38">15+15</f>
        <v>30</v>
      </c>
      <c r="N91" s="114">
        <f t="shared" si="38"/>
        <v>30</v>
      </c>
      <c r="O91" s="107">
        <v>15.0</v>
      </c>
      <c r="P91" s="114"/>
      <c r="Q91" s="114">
        <f t="shared" ref="Q91:R91" si="39">15+15</f>
        <v>30</v>
      </c>
      <c r="R91" s="125">
        <f t="shared" si="39"/>
        <v>30</v>
      </c>
      <c r="S91" s="112"/>
      <c r="T91" s="125">
        <v>15.0</v>
      </c>
      <c r="U91" s="125">
        <f>15+15</f>
        <v>30</v>
      </c>
      <c r="V91" s="125">
        <v>15.0</v>
      </c>
      <c r="W91" s="125">
        <f>15+16</f>
        <v>31</v>
      </c>
      <c r="X91" s="125">
        <f>15+15</f>
        <v>30</v>
      </c>
      <c r="Y91" s="125">
        <v>15.0</v>
      </c>
      <c r="Z91" s="125"/>
      <c r="AA91" s="125">
        <v>15.0</v>
      </c>
      <c r="AB91" s="125">
        <f t="shared" ref="AB91:AF91" si="40">15+15</f>
        <v>30</v>
      </c>
      <c r="AC91" s="125">
        <f t="shared" si="40"/>
        <v>30</v>
      </c>
      <c r="AD91" s="112">
        <f t="shared" si="40"/>
        <v>30</v>
      </c>
      <c r="AE91" s="112">
        <f t="shared" si="40"/>
        <v>30</v>
      </c>
      <c r="AF91" s="125">
        <f t="shared" si="40"/>
        <v>30</v>
      </c>
      <c r="AG91" s="112"/>
      <c r="AH91" s="125">
        <v>30.0</v>
      </c>
      <c r="AI91" s="125"/>
      <c r="AJ91" s="112">
        <f>17+15</f>
        <v>32</v>
      </c>
      <c r="AK91" s="125">
        <v>15.0</v>
      </c>
      <c r="AL91" s="125">
        <v>15.0</v>
      </c>
      <c r="AM91" s="125">
        <f>15+15</f>
        <v>30</v>
      </c>
      <c r="AN91" s="32"/>
    </row>
    <row r="92">
      <c r="A92" s="139"/>
      <c r="B92" s="140"/>
      <c r="C92" s="140"/>
      <c r="D92" s="140"/>
      <c r="E92" s="140"/>
      <c r="F92" s="140"/>
      <c r="G92" s="151"/>
      <c r="H92" s="110"/>
      <c r="I92" s="120"/>
      <c r="J92" s="120"/>
      <c r="K92" s="120"/>
      <c r="L92" s="112"/>
      <c r="M92" s="120"/>
      <c r="N92" s="120"/>
      <c r="O92" s="120"/>
      <c r="P92" s="119"/>
      <c r="Q92" s="120"/>
      <c r="R92" s="120"/>
      <c r="S92" s="112"/>
      <c r="T92" s="120"/>
      <c r="U92" s="120"/>
      <c r="V92" s="120"/>
      <c r="W92" s="120"/>
      <c r="X92" s="120"/>
      <c r="Y92" s="120"/>
      <c r="Z92" s="112"/>
      <c r="AA92" s="120"/>
      <c r="AB92" s="120"/>
      <c r="AC92" s="120"/>
      <c r="AD92" s="120"/>
      <c r="AE92" s="120"/>
      <c r="AF92" s="120"/>
      <c r="AG92" s="112"/>
      <c r="AH92" s="120"/>
      <c r="AI92" s="119"/>
      <c r="AJ92" s="120"/>
      <c r="AK92" s="120"/>
      <c r="AL92" s="120"/>
      <c r="AM92" s="120"/>
      <c r="AN92" s="110"/>
      <c r="AO92" s="49"/>
      <c r="AP92" s="49"/>
    </row>
    <row r="93">
      <c r="A93" s="16" t="s">
        <v>54</v>
      </c>
      <c r="B93" s="17"/>
      <c r="C93" s="17"/>
      <c r="D93" s="17"/>
      <c r="E93" s="17"/>
      <c r="F93" s="17"/>
      <c r="G93" s="152"/>
      <c r="H93" s="135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5"/>
      <c r="AM93" s="135"/>
      <c r="AN93" s="135"/>
      <c r="AO93" s="52"/>
      <c r="AP93" s="52"/>
    </row>
    <row r="94">
      <c r="A94" s="24" t="s">
        <v>55</v>
      </c>
      <c r="B94" s="17"/>
      <c r="C94" s="17"/>
      <c r="D94" s="18"/>
      <c r="E94" s="106">
        <v>1.0</v>
      </c>
      <c r="F94" s="106" t="s">
        <v>21</v>
      </c>
      <c r="G94" s="107">
        <v>1584.0</v>
      </c>
      <c r="H94" s="107" t="s">
        <v>22</v>
      </c>
      <c r="I94" s="114"/>
      <c r="J94" s="114"/>
      <c r="K94" s="114"/>
      <c r="L94" s="114"/>
      <c r="M94" s="114"/>
      <c r="N94" s="114"/>
      <c r="O94" s="114"/>
      <c r="P94" s="114"/>
      <c r="Q94" s="114"/>
      <c r="R94" s="112"/>
      <c r="S94" s="125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25"/>
      <c r="AE94" s="112"/>
      <c r="AF94" s="112"/>
      <c r="AG94" s="112"/>
      <c r="AH94" s="112"/>
      <c r="AI94" s="112"/>
      <c r="AJ94" s="112"/>
      <c r="AK94" s="112"/>
      <c r="AL94" s="112"/>
      <c r="AM94" s="112"/>
      <c r="AN94" s="113">
        <f>G94+SUM(I94:AM94)-SUM(I95:AM95)</f>
        <v>966</v>
      </c>
      <c r="AO94" s="53">
        <f>ROUNDDOWN((AN94/E94)/$H$4,1)</f>
        <v>32.2</v>
      </c>
      <c r="AP94" s="53">
        <f>$M$3+AO94</f>
        <v>924.2</v>
      </c>
    </row>
    <row r="95">
      <c r="A95" s="31"/>
      <c r="B95" s="17"/>
      <c r="C95" s="17"/>
      <c r="D95" s="17"/>
      <c r="E95" s="17"/>
      <c r="F95" s="18"/>
      <c r="G95" s="114"/>
      <c r="H95" s="107" t="s">
        <v>23</v>
      </c>
      <c r="I95" s="107">
        <f>15+15</f>
        <v>30</v>
      </c>
      <c r="J95" s="107">
        <v>15.0</v>
      </c>
      <c r="K95" s="107">
        <v>15.0</v>
      </c>
      <c r="L95" s="107"/>
      <c r="M95" s="107">
        <f t="shared" ref="M95:N95" si="41">15+15</f>
        <v>30</v>
      </c>
      <c r="N95" s="114">
        <f t="shared" si="41"/>
        <v>30</v>
      </c>
      <c r="O95" s="107">
        <v>15.0</v>
      </c>
      <c r="P95" s="114"/>
      <c r="Q95" s="114">
        <f t="shared" ref="Q95:R95" si="42">15+15</f>
        <v>30</v>
      </c>
      <c r="R95" s="125">
        <f t="shared" si="42"/>
        <v>30</v>
      </c>
      <c r="S95" s="112"/>
      <c r="T95" s="125">
        <v>15.0</v>
      </c>
      <c r="U95" s="125">
        <f>15+15</f>
        <v>30</v>
      </c>
      <c r="V95" s="125">
        <v>15.0</v>
      </c>
      <c r="W95" s="125">
        <f>15+16</f>
        <v>31</v>
      </c>
      <c r="X95" s="125">
        <f>15+15</f>
        <v>30</v>
      </c>
      <c r="Y95" s="125">
        <v>15.0</v>
      </c>
      <c r="Z95" s="125"/>
      <c r="AA95" s="125">
        <v>15.0</v>
      </c>
      <c r="AB95" s="125">
        <f t="shared" ref="AB95:AF95" si="43">15+15</f>
        <v>30</v>
      </c>
      <c r="AC95" s="125">
        <f t="shared" si="43"/>
        <v>30</v>
      </c>
      <c r="AD95" s="112">
        <f t="shared" si="43"/>
        <v>30</v>
      </c>
      <c r="AE95" s="112">
        <f t="shared" si="43"/>
        <v>30</v>
      </c>
      <c r="AF95" s="125">
        <f t="shared" si="43"/>
        <v>30</v>
      </c>
      <c r="AG95" s="112"/>
      <c r="AH95" s="125">
        <v>30.0</v>
      </c>
      <c r="AI95" s="125"/>
      <c r="AJ95" s="112">
        <f>17+15</f>
        <v>32</v>
      </c>
      <c r="AK95" s="125">
        <v>15.0</v>
      </c>
      <c r="AL95" s="125">
        <v>15.0</v>
      </c>
      <c r="AM95" s="125">
        <f>15+15</f>
        <v>30</v>
      </c>
      <c r="AN95" s="32"/>
    </row>
    <row r="96">
      <c r="A96" s="33"/>
      <c r="B96" s="33"/>
      <c r="C96" s="33"/>
      <c r="D96" s="33"/>
      <c r="E96" s="106"/>
      <c r="F96" s="106"/>
      <c r="G96" s="107"/>
      <c r="H96" s="107"/>
      <c r="I96" s="118"/>
      <c r="J96" s="118"/>
      <c r="K96" s="118"/>
      <c r="L96" s="114"/>
      <c r="M96" s="118"/>
      <c r="N96" s="118"/>
      <c r="O96" s="118"/>
      <c r="P96" s="117"/>
      <c r="Q96" s="118"/>
      <c r="R96" s="120"/>
      <c r="S96" s="112"/>
      <c r="T96" s="120"/>
      <c r="U96" s="120"/>
      <c r="V96" s="120"/>
      <c r="W96" s="120"/>
      <c r="X96" s="120"/>
      <c r="Y96" s="120"/>
      <c r="Z96" s="112"/>
      <c r="AA96" s="120"/>
      <c r="AB96" s="120"/>
      <c r="AC96" s="120"/>
      <c r="AD96" s="120"/>
      <c r="AE96" s="120"/>
      <c r="AF96" s="120"/>
      <c r="AG96" s="112"/>
      <c r="AH96" s="120"/>
      <c r="AI96" s="119"/>
      <c r="AJ96" s="120"/>
      <c r="AK96" s="120"/>
      <c r="AL96" s="120"/>
      <c r="AM96" s="120"/>
      <c r="AN96" s="122"/>
      <c r="AO96" s="53"/>
      <c r="AP96" s="53"/>
    </row>
    <row r="97">
      <c r="A97" s="24" t="s">
        <v>56</v>
      </c>
      <c r="B97" s="17"/>
      <c r="C97" s="17"/>
      <c r="D97" s="18"/>
      <c r="E97" s="106">
        <v>1.0</v>
      </c>
      <c r="F97" s="106" t="s">
        <v>21</v>
      </c>
      <c r="G97" s="107">
        <v>1149.0</v>
      </c>
      <c r="H97" s="107" t="s">
        <v>22</v>
      </c>
      <c r="I97" s="114"/>
      <c r="J97" s="114"/>
      <c r="K97" s="114"/>
      <c r="L97" s="114"/>
      <c r="M97" s="114"/>
      <c r="N97" s="107"/>
      <c r="O97" s="114"/>
      <c r="P97" s="114"/>
      <c r="Q97" s="114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25"/>
      <c r="AE97" s="112"/>
      <c r="AF97" s="112"/>
      <c r="AG97" s="112"/>
      <c r="AH97" s="112"/>
      <c r="AI97" s="112"/>
      <c r="AJ97" s="112"/>
      <c r="AK97" s="112"/>
      <c r="AL97" s="112"/>
      <c r="AM97" s="112"/>
      <c r="AN97" s="113">
        <f>G97+SUM(I97:AM97)-SUM(I98:AM98)</f>
        <v>531</v>
      </c>
      <c r="AO97" s="53">
        <f>ROUNDDOWN((AN97/E97)/$H$4,1)</f>
        <v>17.7</v>
      </c>
      <c r="AP97" s="53">
        <f>$M$3+AO97</f>
        <v>909.7</v>
      </c>
    </row>
    <row r="98">
      <c r="A98" s="136"/>
      <c r="B98" s="137"/>
      <c r="C98" s="137"/>
      <c r="D98" s="137"/>
      <c r="E98" s="138"/>
      <c r="F98" s="138"/>
      <c r="G98" s="114"/>
      <c r="H98" s="107" t="s">
        <v>23</v>
      </c>
      <c r="I98" s="107">
        <f>15+15</f>
        <v>30</v>
      </c>
      <c r="J98" s="107">
        <v>15.0</v>
      </c>
      <c r="K98" s="107">
        <v>15.0</v>
      </c>
      <c r="L98" s="107"/>
      <c r="M98" s="107">
        <f t="shared" ref="M98:N98" si="44">15+15</f>
        <v>30</v>
      </c>
      <c r="N98" s="114">
        <f t="shared" si="44"/>
        <v>30</v>
      </c>
      <c r="O98" s="107">
        <v>15.0</v>
      </c>
      <c r="P98" s="114"/>
      <c r="Q98" s="114">
        <f t="shared" ref="Q98:R98" si="45">15+15</f>
        <v>30</v>
      </c>
      <c r="R98" s="125">
        <f t="shared" si="45"/>
        <v>30</v>
      </c>
      <c r="S98" s="112"/>
      <c r="T98" s="125">
        <v>15.0</v>
      </c>
      <c r="U98" s="125">
        <f>15+15</f>
        <v>30</v>
      </c>
      <c r="V98" s="125">
        <v>15.0</v>
      </c>
      <c r="W98" s="125">
        <f>15+16</f>
        <v>31</v>
      </c>
      <c r="X98" s="125">
        <f>15+15</f>
        <v>30</v>
      </c>
      <c r="Y98" s="125">
        <v>15.0</v>
      </c>
      <c r="Z98" s="125"/>
      <c r="AA98" s="125">
        <v>15.0</v>
      </c>
      <c r="AB98" s="125">
        <f t="shared" ref="AB98:AF98" si="46">15+15</f>
        <v>30</v>
      </c>
      <c r="AC98" s="125">
        <f t="shared" si="46"/>
        <v>30</v>
      </c>
      <c r="AD98" s="112">
        <f t="shared" si="46"/>
        <v>30</v>
      </c>
      <c r="AE98" s="112">
        <f t="shared" si="46"/>
        <v>30</v>
      </c>
      <c r="AF98" s="112">
        <f t="shared" si="46"/>
        <v>30</v>
      </c>
      <c r="AG98" s="112"/>
      <c r="AH98" s="125">
        <v>30.0</v>
      </c>
      <c r="AI98" s="125"/>
      <c r="AJ98" s="112">
        <f>17+15</f>
        <v>32</v>
      </c>
      <c r="AK98" s="125">
        <v>15.0</v>
      </c>
      <c r="AL98" s="125">
        <v>15.0</v>
      </c>
      <c r="AM98" s="125">
        <f>15+15</f>
        <v>30</v>
      </c>
      <c r="AN98" s="32"/>
    </row>
    <row r="99">
      <c r="A99" s="139"/>
      <c r="B99" s="140"/>
      <c r="C99" s="140"/>
      <c r="D99" s="140"/>
      <c r="E99" s="140"/>
      <c r="F99" s="140"/>
      <c r="G99" s="151"/>
      <c r="H99" s="108"/>
      <c r="I99" s="118"/>
      <c r="J99" s="118"/>
      <c r="K99" s="118"/>
      <c r="L99" s="114"/>
      <c r="M99" s="118"/>
      <c r="N99" s="118"/>
      <c r="O99" s="118"/>
      <c r="P99" s="117"/>
      <c r="Q99" s="118"/>
      <c r="R99" s="120"/>
      <c r="S99" s="112"/>
      <c r="T99" s="120"/>
      <c r="U99" s="120"/>
      <c r="V99" s="120"/>
      <c r="W99" s="120"/>
      <c r="X99" s="120"/>
      <c r="Y99" s="120"/>
      <c r="Z99" s="112"/>
      <c r="AA99" s="120"/>
      <c r="AB99" s="120"/>
      <c r="AC99" s="120"/>
      <c r="AD99" s="120"/>
      <c r="AE99" s="120"/>
      <c r="AF99" s="120"/>
      <c r="AG99" s="112"/>
      <c r="AH99" s="120"/>
      <c r="AI99" s="119"/>
      <c r="AJ99" s="120"/>
      <c r="AK99" s="120"/>
      <c r="AL99" s="120"/>
      <c r="AM99" s="120"/>
      <c r="AN99" s="110"/>
      <c r="AO99" s="49"/>
      <c r="AP99" s="49"/>
    </row>
    <row r="100">
      <c r="A100" s="16" t="s">
        <v>57</v>
      </c>
      <c r="B100" s="17"/>
      <c r="C100" s="17"/>
      <c r="D100" s="17"/>
      <c r="E100" s="17"/>
      <c r="F100" s="17"/>
      <c r="G100" s="152"/>
      <c r="H100" s="153"/>
      <c r="I100" s="154"/>
      <c r="J100" s="154"/>
      <c r="K100" s="154"/>
      <c r="L100" s="154"/>
      <c r="M100" s="154"/>
      <c r="N100" s="154"/>
      <c r="O100" s="154"/>
      <c r="P100" s="154"/>
      <c r="Q100" s="15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5"/>
      <c r="AM100" s="135"/>
      <c r="AN100" s="135"/>
      <c r="AO100" s="52"/>
      <c r="AP100" s="52"/>
    </row>
    <row r="101">
      <c r="A101" s="55" t="s">
        <v>58</v>
      </c>
      <c r="B101" s="17"/>
      <c r="C101" s="17"/>
      <c r="D101" s="18"/>
      <c r="E101" s="106">
        <v>2.0</v>
      </c>
      <c r="F101" s="106" t="s">
        <v>21</v>
      </c>
      <c r="G101" s="107">
        <v>3192.0</v>
      </c>
      <c r="H101" s="107" t="s">
        <v>22</v>
      </c>
      <c r="I101" s="114"/>
      <c r="J101" s="114"/>
      <c r="K101" s="114"/>
      <c r="L101" s="114"/>
      <c r="M101" s="114"/>
      <c r="N101" s="114"/>
      <c r="O101" s="114"/>
      <c r="P101" s="114"/>
      <c r="Q101" s="114"/>
      <c r="R101" s="112"/>
      <c r="S101" s="125"/>
      <c r="T101" s="112"/>
      <c r="U101" s="112"/>
      <c r="V101" s="112"/>
      <c r="W101" s="112"/>
      <c r="X101" s="112"/>
      <c r="Y101" s="112"/>
      <c r="Z101" s="125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3">
        <f>G101+SUM(I101:AM101)-SUM(I102:AM102)</f>
        <v>1956</v>
      </c>
      <c r="AO101" s="53">
        <f>ROUNDDOWN((AN101/E101)/$H$4,1)</f>
        <v>32.6</v>
      </c>
      <c r="AP101" s="53">
        <f>$M$3+AO101</f>
        <v>924.6</v>
      </c>
    </row>
    <row r="102">
      <c r="A102" s="70"/>
      <c r="B102" s="17"/>
      <c r="C102" s="17"/>
      <c r="D102" s="17"/>
      <c r="E102" s="17"/>
      <c r="F102" s="18"/>
      <c r="G102" s="114"/>
      <c r="H102" s="107" t="s">
        <v>23</v>
      </c>
      <c r="I102" s="107">
        <f>30+30</f>
        <v>60</v>
      </c>
      <c r="J102" s="107">
        <v>30.0</v>
      </c>
      <c r="K102" s="107">
        <v>30.0</v>
      </c>
      <c r="L102" s="107"/>
      <c r="M102" s="107">
        <f t="shared" ref="M102:N102" si="47">30+30</f>
        <v>60</v>
      </c>
      <c r="N102" s="114">
        <f t="shared" si="47"/>
        <v>60</v>
      </c>
      <c r="O102" s="107">
        <v>30.0</v>
      </c>
      <c r="P102" s="114"/>
      <c r="Q102" s="114">
        <f t="shared" ref="Q102:R102" si="48">30+30</f>
        <v>60</v>
      </c>
      <c r="R102" s="125">
        <f t="shared" si="48"/>
        <v>60</v>
      </c>
      <c r="S102" s="112"/>
      <c r="T102" s="125">
        <v>30.0</v>
      </c>
      <c r="U102" s="125">
        <f>30+30</f>
        <v>60</v>
      </c>
      <c r="V102" s="125">
        <v>30.0</v>
      </c>
      <c r="W102" s="125">
        <f>30+32</f>
        <v>62</v>
      </c>
      <c r="X102" s="125">
        <f>30+30</f>
        <v>60</v>
      </c>
      <c r="Y102" s="125">
        <v>30.0</v>
      </c>
      <c r="Z102" s="125"/>
      <c r="AA102" s="125">
        <v>30.0</v>
      </c>
      <c r="AB102" s="125">
        <f t="shared" ref="AB102:AF102" si="49">30+30</f>
        <v>60</v>
      </c>
      <c r="AC102" s="125">
        <f t="shared" si="49"/>
        <v>60</v>
      </c>
      <c r="AD102" s="112">
        <f t="shared" si="49"/>
        <v>60</v>
      </c>
      <c r="AE102" s="112">
        <f t="shared" si="49"/>
        <v>60</v>
      </c>
      <c r="AF102" s="125">
        <f t="shared" si="49"/>
        <v>60</v>
      </c>
      <c r="AG102" s="112"/>
      <c r="AH102" s="125">
        <v>60.0</v>
      </c>
      <c r="AI102" s="125"/>
      <c r="AJ102" s="112">
        <f>34+30</f>
        <v>64</v>
      </c>
      <c r="AK102" s="125">
        <v>30.0</v>
      </c>
      <c r="AL102" s="125">
        <v>30.0</v>
      </c>
      <c r="AM102" s="125">
        <f>30+30</f>
        <v>60</v>
      </c>
      <c r="AN102" s="32"/>
    </row>
    <row r="103">
      <c r="A103" s="54"/>
      <c r="B103" s="54"/>
      <c r="C103" s="54"/>
      <c r="D103" s="54"/>
      <c r="E103" s="106"/>
      <c r="F103" s="106"/>
      <c r="G103" s="107"/>
      <c r="H103" s="107"/>
      <c r="I103" s="118"/>
      <c r="J103" s="118"/>
      <c r="K103" s="118"/>
      <c r="L103" s="114"/>
      <c r="M103" s="118"/>
      <c r="N103" s="118"/>
      <c r="O103" s="118"/>
      <c r="P103" s="117"/>
      <c r="Q103" s="118"/>
      <c r="R103" s="120"/>
      <c r="S103" s="125"/>
      <c r="T103" s="120"/>
      <c r="U103" s="120"/>
      <c r="V103" s="120"/>
      <c r="W103" s="120"/>
      <c r="X103" s="120"/>
      <c r="Y103" s="120"/>
      <c r="Z103" s="112"/>
      <c r="AA103" s="120"/>
      <c r="AB103" s="120"/>
      <c r="AC103" s="120"/>
      <c r="AD103" s="120"/>
      <c r="AE103" s="120"/>
      <c r="AF103" s="120"/>
      <c r="AG103" s="112"/>
      <c r="AH103" s="120"/>
      <c r="AI103" s="119"/>
      <c r="AJ103" s="120"/>
      <c r="AK103" s="120"/>
      <c r="AL103" s="120"/>
      <c r="AM103" s="120"/>
      <c r="AN103" s="122"/>
      <c r="AO103" s="53"/>
      <c r="AP103" s="53"/>
    </row>
    <row r="104">
      <c r="A104" s="55" t="s">
        <v>59</v>
      </c>
      <c r="B104" s="17"/>
      <c r="C104" s="17"/>
      <c r="D104" s="18"/>
      <c r="E104" s="106">
        <v>2.0</v>
      </c>
      <c r="F104" s="106" t="s">
        <v>21</v>
      </c>
      <c r="G104" s="107">
        <v>3224.0</v>
      </c>
      <c r="H104" s="107" t="s">
        <v>22</v>
      </c>
      <c r="I104" s="114"/>
      <c r="J104" s="114"/>
      <c r="K104" s="114"/>
      <c r="L104" s="114"/>
      <c r="M104" s="114"/>
      <c r="N104" s="114"/>
      <c r="O104" s="114"/>
      <c r="P104" s="114"/>
      <c r="Q104" s="114"/>
      <c r="R104" s="112"/>
      <c r="S104" s="125"/>
      <c r="T104" s="112"/>
      <c r="U104" s="112"/>
      <c r="V104" s="112"/>
      <c r="W104" s="112"/>
      <c r="X104" s="112"/>
      <c r="Y104" s="112"/>
      <c r="Z104" s="125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3">
        <f>G104+SUM(I104:AM104)-SUM(I105:AM105)</f>
        <v>1988</v>
      </c>
      <c r="AO104" s="53">
        <f>ROUNDDOWN((AN104/E104)/$H$4,1)</f>
        <v>33.1</v>
      </c>
      <c r="AP104" s="53">
        <f>$M$3+AO104</f>
        <v>925.1</v>
      </c>
    </row>
    <row r="105">
      <c r="A105" s="70"/>
      <c r="B105" s="17"/>
      <c r="C105" s="17"/>
      <c r="D105" s="17"/>
      <c r="E105" s="17"/>
      <c r="F105" s="18"/>
      <c r="G105" s="114"/>
      <c r="H105" s="107" t="s">
        <v>23</v>
      </c>
      <c r="I105" s="107">
        <f>30+30</f>
        <v>60</v>
      </c>
      <c r="J105" s="107">
        <v>30.0</v>
      </c>
      <c r="K105" s="107">
        <v>30.0</v>
      </c>
      <c r="L105" s="107"/>
      <c r="M105" s="107">
        <f t="shared" ref="M105:N105" si="50">30+30</f>
        <v>60</v>
      </c>
      <c r="N105" s="114">
        <f t="shared" si="50"/>
        <v>60</v>
      </c>
      <c r="O105" s="107">
        <v>30.0</v>
      </c>
      <c r="P105" s="114"/>
      <c r="Q105" s="114">
        <f t="shared" ref="Q105:R105" si="51">30+30</f>
        <v>60</v>
      </c>
      <c r="R105" s="125">
        <f t="shared" si="51"/>
        <v>60</v>
      </c>
      <c r="S105" s="112"/>
      <c r="T105" s="125">
        <v>30.0</v>
      </c>
      <c r="U105" s="125">
        <f>30+30</f>
        <v>60</v>
      </c>
      <c r="V105" s="125">
        <v>30.0</v>
      </c>
      <c r="W105" s="125">
        <f>30+32</f>
        <v>62</v>
      </c>
      <c r="X105" s="125">
        <f>30+30</f>
        <v>60</v>
      </c>
      <c r="Y105" s="125">
        <v>30.0</v>
      </c>
      <c r="Z105" s="125"/>
      <c r="AA105" s="125">
        <v>30.0</v>
      </c>
      <c r="AB105" s="125">
        <f t="shared" ref="AB105:AF105" si="52">30+30</f>
        <v>60</v>
      </c>
      <c r="AC105" s="125">
        <f t="shared" si="52"/>
        <v>60</v>
      </c>
      <c r="AD105" s="112">
        <f t="shared" si="52"/>
        <v>60</v>
      </c>
      <c r="AE105" s="112">
        <f t="shared" si="52"/>
        <v>60</v>
      </c>
      <c r="AF105" s="125">
        <f t="shared" si="52"/>
        <v>60</v>
      </c>
      <c r="AG105" s="112"/>
      <c r="AH105" s="125">
        <v>60.0</v>
      </c>
      <c r="AI105" s="125"/>
      <c r="AJ105" s="112">
        <f>34+30</f>
        <v>64</v>
      </c>
      <c r="AK105" s="125">
        <v>30.0</v>
      </c>
      <c r="AL105" s="125">
        <v>30.0</v>
      </c>
      <c r="AM105" s="125">
        <f>30+30</f>
        <v>60</v>
      </c>
      <c r="AN105" s="32"/>
    </row>
    <row r="106">
      <c r="A106" s="54"/>
      <c r="B106" s="54"/>
      <c r="C106" s="54"/>
      <c r="D106" s="54"/>
      <c r="E106" s="106"/>
      <c r="F106" s="106"/>
      <c r="G106" s="107"/>
      <c r="H106" s="107"/>
      <c r="I106" s="118"/>
      <c r="J106" s="118"/>
      <c r="K106" s="118"/>
      <c r="L106" s="114"/>
      <c r="M106" s="118"/>
      <c r="N106" s="118"/>
      <c r="O106" s="118"/>
      <c r="P106" s="117"/>
      <c r="Q106" s="118"/>
      <c r="R106" s="120"/>
      <c r="S106" s="112"/>
      <c r="T106" s="120"/>
      <c r="U106" s="120"/>
      <c r="V106" s="120"/>
      <c r="W106" s="120"/>
      <c r="X106" s="120"/>
      <c r="Y106" s="120"/>
      <c r="Z106" s="112"/>
      <c r="AA106" s="120"/>
      <c r="AB106" s="120"/>
      <c r="AC106" s="120"/>
      <c r="AD106" s="120"/>
      <c r="AE106" s="120"/>
      <c r="AF106" s="120"/>
      <c r="AG106" s="112"/>
      <c r="AH106" s="127"/>
      <c r="AI106" s="119"/>
      <c r="AJ106" s="120"/>
      <c r="AK106" s="120"/>
      <c r="AL106" s="120"/>
      <c r="AM106" s="120"/>
      <c r="AN106" s="122"/>
      <c r="AO106" s="53"/>
      <c r="AP106" s="53"/>
    </row>
    <row r="107">
      <c r="A107" s="55" t="s">
        <v>60</v>
      </c>
      <c r="B107" s="17"/>
      <c r="C107" s="17"/>
      <c r="D107" s="18"/>
      <c r="E107" s="106">
        <v>1.0</v>
      </c>
      <c r="F107" s="106" t="s">
        <v>21</v>
      </c>
      <c r="G107" s="107">
        <v>1560.0</v>
      </c>
      <c r="H107" s="107" t="s">
        <v>22</v>
      </c>
      <c r="I107" s="114"/>
      <c r="J107" s="114"/>
      <c r="K107" s="114"/>
      <c r="L107" s="114"/>
      <c r="M107" s="114"/>
      <c r="N107" s="114"/>
      <c r="O107" s="114"/>
      <c r="P107" s="114"/>
      <c r="Q107" s="114"/>
      <c r="R107" s="112"/>
      <c r="S107" s="112"/>
      <c r="T107" s="112"/>
      <c r="U107" s="112"/>
      <c r="V107" s="112"/>
      <c r="W107" s="112"/>
      <c r="X107" s="125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25"/>
      <c r="AI107" s="112"/>
      <c r="AJ107" s="112"/>
      <c r="AK107" s="112"/>
      <c r="AL107" s="112"/>
      <c r="AM107" s="112"/>
      <c r="AN107" s="113">
        <f>G107+SUM(I107:AM107)-SUM(I108:AM108)</f>
        <v>1060</v>
      </c>
      <c r="AO107" s="53">
        <f>ROUNDDOWN((AN107/E107)/$H$4,1)</f>
        <v>35.3</v>
      </c>
      <c r="AP107" s="53">
        <f>$M$3+AO107</f>
        <v>927.3</v>
      </c>
    </row>
    <row r="108">
      <c r="A108" s="70"/>
      <c r="B108" s="17"/>
      <c r="C108" s="17"/>
      <c r="D108" s="17"/>
      <c r="E108" s="17"/>
      <c r="F108" s="18"/>
      <c r="G108" s="114"/>
      <c r="H108" s="107" t="s">
        <v>23</v>
      </c>
      <c r="I108" s="107"/>
      <c r="J108" s="107">
        <v>100.0</v>
      </c>
      <c r="K108" s="114"/>
      <c r="L108" s="107"/>
      <c r="M108" s="114"/>
      <c r="N108" s="114"/>
      <c r="O108" s="107"/>
      <c r="P108" s="114"/>
      <c r="Q108" s="107">
        <v>100.0</v>
      </c>
      <c r="R108" s="112"/>
      <c r="S108" s="112"/>
      <c r="T108" s="112"/>
      <c r="U108" s="125">
        <v>100.0</v>
      </c>
      <c r="V108" s="112"/>
      <c r="W108" s="112"/>
      <c r="X108" s="112"/>
      <c r="Y108" s="112"/>
      <c r="Z108" s="112"/>
      <c r="AA108" s="125">
        <v>100.0</v>
      </c>
      <c r="AB108" s="112"/>
      <c r="AC108" s="112"/>
      <c r="AD108" s="125"/>
      <c r="AE108" s="125">
        <v>100.0</v>
      </c>
      <c r="AF108" s="125"/>
      <c r="AG108" s="112"/>
      <c r="AH108" s="125"/>
      <c r="AI108" s="125"/>
      <c r="AJ108" s="112"/>
      <c r="AK108" s="112"/>
      <c r="AL108" s="112"/>
      <c r="AM108" s="112"/>
      <c r="AN108" s="32"/>
    </row>
    <row r="109">
      <c r="A109" s="33"/>
      <c r="B109" s="33"/>
      <c r="C109" s="33"/>
      <c r="D109" s="33"/>
      <c r="E109" s="106"/>
      <c r="F109" s="106"/>
      <c r="G109" s="107"/>
      <c r="H109" s="107"/>
      <c r="I109" s="116"/>
      <c r="J109" s="118"/>
      <c r="K109" s="116"/>
      <c r="L109" s="114"/>
      <c r="M109" s="117"/>
      <c r="N109" s="117"/>
      <c r="O109" s="117"/>
      <c r="P109" s="117"/>
      <c r="Q109" s="118"/>
      <c r="R109" s="119"/>
      <c r="S109" s="112"/>
      <c r="T109" s="119"/>
      <c r="U109" s="120"/>
      <c r="V109" s="119"/>
      <c r="W109" s="119"/>
      <c r="X109" s="119"/>
      <c r="Y109" s="119"/>
      <c r="Z109" s="112"/>
      <c r="AA109" s="120"/>
      <c r="AB109" s="119"/>
      <c r="AC109" s="119"/>
      <c r="AD109" s="119"/>
      <c r="AE109" s="120"/>
      <c r="AF109" s="119"/>
      <c r="AG109" s="112"/>
      <c r="AH109" s="121"/>
      <c r="AI109" s="119"/>
      <c r="AJ109" s="119"/>
      <c r="AK109" s="119"/>
      <c r="AL109" s="119"/>
      <c r="AM109" s="119"/>
      <c r="AN109" s="122"/>
      <c r="AO109" s="53"/>
      <c r="AP109" s="53"/>
    </row>
    <row r="110">
      <c r="A110" s="24" t="s">
        <v>61</v>
      </c>
      <c r="B110" s="17"/>
      <c r="C110" s="17"/>
      <c r="D110" s="18"/>
      <c r="E110" s="106">
        <v>1.0</v>
      </c>
      <c r="F110" s="106" t="s">
        <v>21</v>
      </c>
      <c r="G110" s="107">
        <v>1500.0</v>
      </c>
      <c r="H110" s="107" t="s">
        <v>22</v>
      </c>
      <c r="I110" s="107"/>
      <c r="J110" s="114"/>
      <c r="K110" s="107"/>
      <c r="L110" s="114"/>
      <c r="M110" s="114"/>
      <c r="N110" s="114"/>
      <c r="O110" s="114"/>
      <c r="P110" s="114"/>
      <c r="Q110" s="114"/>
      <c r="R110" s="112"/>
      <c r="S110" s="112"/>
      <c r="T110" s="112"/>
      <c r="U110" s="112"/>
      <c r="V110" s="112"/>
      <c r="W110" s="112"/>
      <c r="X110" s="125"/>
      <c r="Y110" s="112"/>
      <c r="Z110" s="112"/>
      <c r="AA110" s="112"/>
      <c r="AB110" s="112"/>
      <c r="AC110" s="112"/>
      <c r="AD110" s="112"/>
      <c r="AE110" s="112"/>
      <c r="AF110" s="112"/>
      <c r="AG110" s="112"/>
      <c r="AH110" s="125"/>
      <c r="AI110" s="112"/>
      <c r="AJ110" s="112"/>
      <c r="AK110" s="112"/>
      <c r="AL110" s="112"/>
      <c r="AM110" s="112"/>
      <c r="AN110" s="113">
        <f>G110+SUM(I110:AM110)-SUM(I111:AM111)</f>
        <v>972</v>
      </c>
      <c r="AO110" s="53">
        <f>ROUNDDOWN((AN110/E110)/$H$4,1)</f>
        <v>32.4</v>
      </c>
      <c r="AP110" s="53">
        <f>M6+AO110</f>
        <v>923.4</v>
      </c>
    </row>
    <row r="111">
      <c r="A111" s="31"/>
      <c r="B111" s="17"/>
      <c r="C111" s="17"/>
      <c r="D111" s="17"/>
      <c r="E111" s="17"/>
      <c r="F111" s="17"/>
      <c r="G111" s="114"/>
      <c r="H111" s="107" t="s">
        <v>23</v>
      </c>
      <c r="I111" s="107">
        <v>24.0</v>
      </c>
      <c r="J111" s="107">
        <v>48.0</v>
      </c>
      <c r="K111" s="107"/>
      <c r="L111" s="107"/>
      <c r="M111" s="107">
        <v>36.0</v>
      </c>
      <c r="N111" s="107">
        <v>12.0</v>
      </c>
      <c r="O111" s="107">
        <v>24.0</v>
      </c>
      <c r="P111" s="107"/>
      <c r="Q111" s="114"/>
      <c r="R111" s="125">
        <v>24.0</v>
      </c>
      <c r="S111" s="125"/>
      <c r="T111" s="125">
        <v>24.0</v>
      </c>
      <c r="U111" s="125">
        <v>24.0</v>
      </c>
      <c r="V111" s="125">
        <v>24.0</v>
      </c>
      <c r="W111" s="125">
        <v>24.0</v>
      </c>
      <c r="X111" s="112"/>
      <c r="Y111" s="125">
        <v>24.0</v>
      </c>
      <c r="Z111" s="125"/>
      <c r="AA111" s="125">
        <f>24+24</f>
        <v>48</v>
      </c>
      <c r="AB111" s="125"/>
      <c r="AC111" s="125">
        <v>24.0</v>
      </c>
      <c r="AD111" s="112"/>
      <c r="AE111" s="125"/>
      <c r="AF111" s="125">
        <v>48.0</v>
      </c>
      <c r="AG111" s="125"/>
      <c r="AH111" s="125"/>
      <c r="AI111" s="125">
        <v>24.0</v>
      </c>
      <c r="AJ111" s="125">
        <v>24.0</v>
      </c>
      <c r="AK111" s="125">
        <v>48.0</v>
      </c>
      <c r="AL111" s="125">
        <v>24.0</v>
      </c>
      <c r="AM111" s="112"/>
      <c r="AN111" s="32"/>
    </row>
    <row r="112">
      <c r="A112" s="156"/>
      <c r="B112" s="156"/>
      <c r="C112" s="156"/>
      <c r="D112" s="156"/>
      <c r="E112" s="156"/>
      <c r="F112" s="156"/>
      <c r="G112" s="108"/>
      <c r="H112" s="110"/>
      <c r="I112" s="120"/>
      <c r="J112" s="120"/>
      <c r="K112" s="119"/>
      <c r="L112" s="112"/>
      <c r="M112" s="120"/>
      <c r="N112" s="120"/>
      <c r="O112" s="120"/>
      <c r="P112" s="119"/>
      <c r="Q112" s="119"/>
      <c r="R112" s="120"/>
      <c r="S112" s="112"/>
      <c r="T112" s="120"/>
      <c r="U112" s="120"/>
      <c r="V112" s="120"/>
      <c r="W112" s="120"/>
      <c r="X112" s="119"/>
      <c r="Y112" s="120"/>
      <c r="Z112" s="112"/>
      <c r="AA112" s="120"/>
      <c r="AB112" s="119"/>
      <c r="AC112" s="120"/>
      <c r="AD112" s="119"/>
      <c r="AE112" s="119"/>
      <c r="AF112" s="120"/>
      <c r="AG112" s="112"/>
      <c r="AH112" s="119"/>
      <c r="AI112" s="120"/>
      <c r="AJ112" s="120"/>
      <c r="AK112" s="127"/>
      <c r="AL112" s="120"/>
      <c r="AM112" s="119"/>
      <c r="AN112" s="110"/>
      <c r="AO112" s="49"/>
      <c r="AP112" s="49"/>
    </row>
    <row r="113">
      <c r="A113" s="73" t="s">
        <v>62</v>
      </c>
      <c r="B113" s="17"/>
      <c r="C113" s="17"/>
      <c r="D113" s="17"/>
      <c r="E113" s="17"/>
      <c r="F113" s="17"/>
      <c r="G113" s="153"/>
      <c r="H113" s="135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5"/>
      <c r="AM113" s="135"/>
      <c r="AN113" s="135"/>
      <c r="AO113" s="52"/>
      <c r="AP113" s="52"/>
    </row>
    <row r="114">
      <c r="A114" s="24" t="s">
        <v>131</v>
      </c>
      <c r="B114" s="17"/>
      <c r="C114" s="17"/>
      <c r="D114" s="18"/>
      <c r="E114" s="106">
        <v>8.0</v>
      </c>
      <c r="F114" s="106" t="s">
        <v>21</v>
      </c>
      <c r="G114" s="107">
        <v>11340.0</v>
      </c>
      <c r="H114" s="107" t="s">
        <v>22</v>
      </c>
      <c r="I114" s="114"/>
      <c r="J114" s="114"/>
      <c r="K114" s="114"/>
      <c r="L114" s="114"/>
      <c r="M114" s="114"/>
      <c r="N114" s="114"/>
      <c r="O114" s="114"/>
      <c r="P114" s="114"/>
      <c r="Q114" s="114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25"/>
      <c r="AI114" s="112"/>
      <c r="AJ114" s="112"/>
      <c r="AK114" s="112"/>
      <c r="AL114" s="112"/>
      <c r="AM114" s="112"/>
      <c r="AN114" s="113">
        <f>G114+SUM(I114:AM114)-SUM(I115:AM115)</f>
        <v>6204</v>
      </c>
      <c r="AO114" s="53">
        <f>ROUNDDOWN((AN114/E114)/$H$4,1)</f>
        <v>25.8</v>
      </c>
      <c r="AP114" s="53">
        <f>$M$3+AO114</f>
        <v>917.8</v>
      </c>
    </row>
    <row r="115">
      <c r="A115" s="31"/>
      <c r="B115" s="17"/>
      <c r="C115" s="17"/>
      <c r="D115" s="17"/>
      <c r="E115" s="17"/>
      <c r="F115" s="18"/>
      <c r="G115" s="114"/>
      <c r="H115" s="107" t="s">
        <v>23</v>
      </c>
      <c r="I115" s="107">
        <v>144.0</v>
      </c>
      <c r="J115" s="107">
        <v>184.0</v>
      </c>
      <c r="K115" s="107">
        <v>160.0</v>
      </c>
      <c r="L115" s="107"/>
      <c r="M115" s="107">
        <v>176.0</v>
      </c>
      <c r="N115" s="107">
        <f>176+240</f>
        <v>416</v>
      </c>
      <c r="O115" s="107">
        <v>120.0</v>
      </c>
      <c r="P115" s="107">
        <v>120.0</v>
      </c>
      <c r="Q115" s="114">
        <f>40+120</f>
        <v>160</v>
      </c>
      <c r="R115" s="125">
        <f>120+88</f>
        <v>208</v>
      </c>
      <c r="S115" s="125"/>
      <c r="T115" s="112">
        <f>120+72</f>
        <v>192</v>
      </c>
      <c r="U115" s="112">
        <f>120+88</f>
        <v>208</v>
      </c>
      <c r="V115" s="112">
        <f>120+72</f>
        <v>192</v>
      </c>
      <c r="W115" s="125">
        <f t="shared" ref="W115:X115" si="53">120+80</f>
        <v>200</v>
      </c>
      <c r="X115" s="125">
        <f t="shared" si="53"/>
        <v>200</v>
      </c>
      <c r="Y115" s="125">
        <f>120+32</f>
        <v>152</v>
      </c>
      <c r="Z115" s="125"/>
      <c r="AA115" s="112">
        <f>120+40</f>
        <v>160</v>
      </c>
      <c r="AB115" s="125">
        <f>120+80</f>
        <v>200</v>
      </c>
      <c r="AC115" s="112">
        <f t="shared" ref="AC115:AF115" si="54">120+120</f>
        <v>240</v>
      </c>
      <c r="AD115" s="112">
        <f t="shared" si="54"/>
        <v>240</v>
      </c>
      <c r="AE115" s="125">
        <f t="shared" si="54"/>
        <v>240</v>
      </c>
      <c r="AF115" s="125">
        <f t="shared" si="54"/>
        <v>240</v>
      </c>
      <c r="AG115" s="112"/>
      <c r="AH115" s="125">
        <f t="shared" ref="AH115:AI115" si="55">120+40</f>
        <v>160</v>
      </c>
      <c r="AI115" s="112">
        <f t="shared" si="55"/>
        <v>160</v>
      </c>
      <c r="AJ115" s="125">
        <v>120.0</v>
      </c>
      <c r="AK115" s="125">
        <f>24+120</f>
        <v>144</v>
      </c>
      <c r="AL115" s="125">
        <f>120+120</f>
        <v>240</v>
      </c>
      <c r="AM115" s="125">
        <f>120+40</f>
        <v>160</v>
      </c>
      <c r="AN115" s="32"/>
    </row>
    <row r="116">
      <c r="A116" s="33"/>
      <c r="B116" s="33"/>
      <c r="C116" s="33"/>
      <c r="D116" s="33"/>
      <c r="E116" s="106"/>
      <c r="F116" s="106"/>
      <c r="G116" s="107"/>
      <c r="H116" s="107"/>
      <c r="I116" s="118"/>
      <c r="J116" s="118"/>
      <c r="K116" s="118"/>
      <c r="L116" s="114"/>
      <c r="M116" s="118"/>
      <c r="N116" s="124"/>
      <c r="O116" s="118"/>
      <c r="P116" s="118"/>
      <c r="Q116" s="118"/>
      <c r="R116" s="120"/>
      <c r="S116" s="112"/>
      <c r="T116" s="120"/>
      <c r="U116" s="120"/>
      <c r="V116" s="120"/>
      <c r="W116" s="120"/>
      <c r="X116" s="120"/>
      <c r="Y116" s="120"/>
      <c r="Z116" s="112"/>
      <c r="AA116" s="120"/>
      <c r="AB116" s="120"/>
      <c r="AC116" s="120"/>
      <c r="AD116" s="120"/>
      <c r="AE116" s="120"/>
      <c r="AF116" s="120"/>
      <c r="AG116" s="112"/>
      <c r="AH116" s="120"/>
      <c r="AI116" s="127"/>
      <c r="AJ116" s="120"/>
      <c r="AK116" s="120"/>
      <c r="AL116" s="120"/>
      <c r="AM116" s="120"/>
      <c r="AN116" s="122"/>
      <c r="AO116" s="53"/>
      <c r="AP116" s="53"/>
    </row>
    <row r="117">
      <c r="A117" s="24" t="s">
        <v>64</v>
      </c>
      <c r="B117" s="17"/>
      <c r="C117" s="17"/>
      <c r="D117" s="18"/>
      <c r="E117" s="106">
        <v>26.0</v>
      </c>
      <c r="F117" s="106" t="s">
        <v>21</v>
      </c>
      <c r="G117" s="107">
        <v>41400.0</v>
      </c>
      <c r="H117" s="107" t="s">
        <v>22</v>
      </c>
      <c r="I117" s="114"/>
      <c r="J117" s="114"/>
      <c r="K117" s="114"/>
      <c r="L117" s="114"/>
      <c r="M117" s="114"/>
      <c r="N117" s="114"/>
      <c r="O117" s="114"/>
      <c r="P117" s="114"/>
      <c r="Q117" s="114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25"/>
      <c r="AJ117" s="112"/>
      <c r="AK117" s="125"/>
      <c r="AL117" s="112"/>
      <c r="AM117" s="112"/>
      <c r="AN117" s="113">
        <f>G117+SUM(I117:AM117)-SUM(I118:AM118)</f>
        <v>25332</v>
      </c>
      <c r="AO117" s="53">
        <f>ROUNDDOWN((AN117/E117)/$H$4,1)</f>
        <v>32.4</v>
      </c>
      <c r="AP117" s="53">
        <f>$M$3+AO117</f>
        <v>924.4</v>
      </c>
    </row>
    <row r="118">
      <c r="A118" s="31"/>
      <c r="B118" s="17"/>
      <c r="C118" s="17"/>
      <c r="D118" s="17"/>
      <c r="E118" s="17"/>
      <c r="F118" s="18"/>
      <c r="G118" s="114"/>
      <c r="H118" s="107" t="s">
        <v>23</v>
      </c>
      <c r="I118" s="107">
        <f>390+390</f>
        <v>780</v>
      </c>
      <c r="J118" s="107">
        <v>390.0</v>
      </c>
      <c r="K118" s="107">
        <v>390.0</v>
      </c>
      <c r="L118" s="107"/>
      <c r="M118" s="107">
        <f t="shared" ref="M118:N118" si="56">390+390</f>
        <v>780</v>
      </c>
      <c r="N118" s="114">
        <f t="shared" si="56"/>
        <v>780</v>
      </c>
      <c r="O118" s="107">
        <v>390.0</v>
      </c>
      <c r="P118" s="114"/>
      <c r="Q118" s="114">
        <f t="shared" ref="Q118:R118" si="57">390+390</f>
        <v>780</v>
      </c>
      <c r="R118" s="125">
        <f t="shared" si="57"/>
        <v>780</v>
      </c>
      <c r="S118" s="112"/>
      <c r="T118" s="125">
        <v>390.0</v>
      </c>
      <c r="U118" s="125">
        <f>390+390</f>
        <v>780</v>
      </c>
      <c r="V118" s="125">
        <v>390.0</v>
      </c>
      <c r="W118" s="125">
        <f>390+416</f>
        <v>806</v>
      </c>
      <c r="X118" s="125">
        <f>390+390</f>
        <v>780</v>
      </c>
      <c r="Y118" s="125">
        <v>390.0</v>
      </c>
      <c r="Z118" s="125"/>
      <c r="AA118" s="125">
        <v>390.0</v>
      </c>
      <c r="AB118" s="125">
        <f t="shared" ref="AB118:AF118" si="58">390+390</f>
        <v>780</v>
      </c>
      <c r="AC118" s="125">
        <f t="shared" si="58"/>
        <v>780</v>
      </c>
      <c r="AD118" s="112">
        <f t="shared" si="58"/>
        <v>780</v>
      </c>
      <c r="AE118" s="112">
        <f t="shared" si="58"/>
        <v>780</v>
      </c>
      <c r="AF118" s="125">
        <f t="shared" si="58"/>
        <v>780</v>
      </c>
      <c r="AG118" s="125"/>
      <c r="AH118" s="125">
        <v>780.0</v>
      </c>
      <c r="AI118" s="125"/>
      <c r="AJ118" s="112">
        <f>442+390</f>
        <v>832</v>
      </c>
      <c r="AK118" s="125">
        <v>390.0</v>
      </c>
      <c r="AL118" s="125">
        <v>390.0</v>
      </c>
      <c r="AM118" s="125">
        <f>390+390</f>
        <v>780</v>
      </c>
      <c r="AN118" s="32"/>
    </row>
    <row r="119">
      <c r="A119" s="33"/>
      <c r="B119" s="33"/>
      <c r="C119" s="33"/>
      <c r="D119" s="33"/>
      <c r="E119" s="106"/>
      <c r="F119" s="106"/>
      <c r="G119" s="107"/>
      <c r="H119" s="107"/>
      <c r="I119" s="118"/>
      <c r="J119" s="118"/>
      <c r="K119" s="118"/>
      <c r="L119" s="114"/>
      <c r="M119" s="118"/>
      <c r="N119" s="118"/>
      <c r="O119" s="118"/>
      <c r="P119" s="117"/>
      <c r="Q119" s="118"/>
      <c r="R119" s="120"/>
      <c r="S119" s="112"/>
      <c r="T119" s="120"/>
      <c r="U119" s="120"/>
      <c r="V119" s="120"/>
      <c r="W119" s="120"/>
      <c r="X119" s="120"/>
      <c r="Y119" s="120"/>
      <c r="Z119" s="112"/>
      <c r="AA119" s="120"/>
      <c r="AB119" s="120"/>
      <c r="AC119" s="120"/>
      <c r="AD119" s="120"/>
      <c r="AE119" s="120"/>
      <c r="AF119" s="120"/>
      <c r="AG119" s="112"/>
      <c r="AH119" s="120"/>
      <c r="AI119" s="119"/>
      <c r="AJ119" s="120"/>
      <c r="AK119" s="120"/>
      <c r="AL119" s="120"/>
      <c r="AM119" s="120"/>
      <c r="AN119" s="122"/>
      <c r="AO119" s="53"/>
      <c r="AP119" s="53"/>
    </row>
    <row r="120">
      <c r="A120" s="24" t="s">
        <v>65</v>
      </c>
      <c r="B120" s="17"/>
      <c r="C120" s="17"/>
      <c r="D120" s="18"/>
      <c r="E120" s="106">
        <v>2.0</v>
      </c>
      <c r="F120" s="106" t="s">
        <v>21</v>
      </c>
      <c r="G120" s="107">
        <v>26864.0</v>
      </c>
      <c r="H120" s="107" t="s">
        <v>22</v>
      </c>
      <c r="I120" s="114"/>
      <c r="J120" s="114"/>
      <c r="K120" s="114"/>
      <c r="L120" s="114"/>
      <c r="M120" s="114"/>
      <c r="N120" s="114"/>
      <c r="O120" s="114"/>
      <c r="P120" s="114"/>
      <c r="Q120" s="114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3">
        <f>G120+SUM(I120:AM120)-SUM(I121:AM121)</f>
        <v>25628</v>
      </c>
      <c r="AO120" s="53">
        <f>ROUNDDOWN((AN120/E120)/$H$4,1)</f>
        <v>427.1</v>
      </c>
      <c r="AP120" s="53">
        <f>$M$3+AO120</f>
        <v>1319.1</v>
      </c>
    </row>
    <row r="121">
      <c r="A121" s="31"/>
      <c r="B121" s="17"/>
      <c r="C121" s="17"/>
      <c r="D121" s="17"/>
      <c r="E121" s="17"/>
      <c r="F121" s="18"/>
      <c r="G121" s="114"/>
      <c r="H121" s="107" t="s">
        <v>23</v>
      </c>
      <c r="I121" s="107">
        <f>30+30</f>
        <v>60</v>
      </c>
      <c r="J121" s="107">
        <v>30.0</v>
      </c>
      <c r="K121" s="107">
        <v>30.0</v>
      </c>
      <c r="L121" s="107"/>
      <c r="M121" s="107">
        <f t="shared" ref="M121:N121" si="59">30+30</f>
        <v>60</v>
      </c>
      <c r="N121" s="114">
        <f t="shared" si="59"/>
        <v>60</v>
      </c>
      <c r="O121" s="107">
        <v>30.0</v>
      </c>
      <c r="P121" s="114"/>
      <c r="Q121" s="114">
        <f t="shared" ref="Q121:R121" si="60">30+30</f>
        <v>60</v>
      </c>
      <c r="R121" s="125">
        <f t="shared" si="60"/>
        <v>60</v>
      </c>
      <c r="S121" s="112"/>
      <c r="T121" s="125">
        <v>30.0</v>
      </c>
      <c r="U121" s="125">
        <f>30+30</f>
        <v>60</v>
      </c>
      <c r="V121" s="125">
        <v>30.0</v>
      </c>
      <c r="W121" s="125">
        <f>30+32</f>
        <v>62</v>
      </c>
      <c r="X121" s="125">
        <f>30+30</f>
        <v>60</v>
      </c>
      <c r="Y121" s="125">
        <v>30.0</v>
      </c>
      <c r="Z121" s="125"/>
      <c r="AA121" s="125">
        <v>30.0</v>
      </c>
      <c r="AB121" s="125">
        <f t="shared" ref="AB121:AF121" si="61">30+30</f>
        <v>60</v>
      </c>
      <c r="AC121" s="125">
        <f t="shared" si="61"/>
        <v>60</v>
      </c>
      <c r="AD121" s="112">
        <f t="shared" si="61"/>
        <v>60</v>
      </c>
      <c r="AE121" s="112">
        <f t="shared" si="61"/>
        <v>60</v>
      </c>
      <c r="AF121" s="125">
        <f t="shared" si="61"/>
        <v>60</v>
      </c>
      <c r="AG121" s="125"/>
      <c r="AH121" s="125">
        <v>60.0</v>
      </c>
      <c r="AI121" s="125"/>
      <c r="AJ121" s="112">
        <f>34+30</f>
        <v>64</v>
      </c>
      <c r="AK121" s="125">
        <v>30.0</v>
      </c>
      <c r="AL121" s="125">
        <v>30.0</v>
      </c>
      <c r="AM121" s="125">
        <f>30+30</f>
        <v>60</v>
      </c>
      <c r="AN121" s="32"/>
    </row>
    <row r="122">
      <c r="A122" s="33"/>
      <c r="B122" s="33"/>
      <c r="C122" s="33"/>
      <c r="D122" s="33"/>
      <c r="E122" s="106"/>
      <c r="F122" s="106"/>
      <c r="G122" s="126"/>
      <c r="H122" s="107"/>
      <c r="I122" s="118"/>
      <c r="J122" s="118"/>
      <c r="K122" s="118"/>
      <c r="L122" s="114"/>
      <c r="M122" s="118"/>
      <c r="N122" s="118"/>
      <c r="O122" s="118"/>
      <c r="P122" s="117"/>
      <c r="Q122" s="118"/>
      <c r="R122" s="120"/>
      <c r="S122" s="112"/>
      <c r="T122" s="120"/>
      <c r="U122" s="120"/>
      <c r="V122" s="120"/>
      <c r="W122" s="120"/>
      <c r="X122" s="120"/>
      <c r="Y122" s="120"/>
      <c r="Z122" s="112"/>
      <c r="AA122" s="120"/>
      <c r="AB122" s="120"/>
      <c r="AC122" s="120"/>
      <c r="AD122" s="120"/>
      <c r="AE122" s="120"/>
      <c r="AF122" s="120"/>
      <c r="AG122" s="112"/>
      <c r="AH122" s="120"/>
      <c r="AI122" s="119"/>
      <c r="AJ122" s="120"/>
      <c r="AK122" s="120"/>
      <c r="AL122" s="120"/>
      <c r="AM122" s="120"/>
      <c r="AN122" s="122"/>
      <c r="AO122" s="53"/>
      <c r="AP122" s="53"/>
    </row>
    <row r="123">
      <c r="A123" s="24" t="s">
        <v>66</v>
      </c>
      <c r="B123" s="17"/>
      <c r="C123" s="17"/>
      <c r="D123" s="18"/>
      <c r="E123" s="106">
        <v>10.0</v>
      </c>
      <c r="F123" s="106" t="s">
        <v>21</v>
      </c>
      <c r="G123" s="126">
        <v>20192.0</v>
      </c>
      <c r="H123" s="107" t="s">
        <v>22</v>
      </c>
      <c r="I123" s="114"/>
      <c r="J123" s="114"/>
      <c r="K123" s="114"/>
      <c r="L123" s="114"/>
      <c r="M123" s="114"/>
      <c r="N123" s="114"/>
      <c r="O123" s="114"/>
      <c r="P123" s="114"/>
      <c r="Q123" s="114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3">
        <f>G123+SUM(I123:AM123)-SUM(I124:AM124)</f>
        <v>13775</v>
      </c>
      <c r="AO123" s="53">
        <f>ROUNDDOWN((AN123/E123)/$H$4,1)</f>
        <v>45.9</v>
      </c>
      <c r="AP123" s="53">
        <f>$M$3+AO123</f>
        <v>937.9</v>
      </c>
    </row>
    <row r="124">
      <c r="A124" s="31"/>
      <c r="B124" s="17"/>
      <c r="C124" s="17"/>
      <c r="D124" s="17"/>
      <c r="E124" s="17"/>
      <c r="F124" s="18"/>
      <c r="G124" s="114"/>
      <c r="H124" s="107" t="s">
        <v>23</v>
      </c>
      <c r="I124" s="107">
        <f>90+90+180</f>
        <v>360</v>
      </c>
      <c r="J124" s="107">
        <f>90+60</f>
        <v>150</v>
      </c>
      <c r="K124" s="107">
        <f>90+120</f>
        <v>210</v>
      </c>
      <c r="L124" s="107"/>
      <c r="M124" s="107">
        <f>90+90+90</f>
        <v>270</v>
      </c>
      <c r="N124" s="107">
        <f>90+90+120</f>
        <v>300</v>
      </c>
      <c r="O124" s="107">
        <f>90+60</f>
        <v>150</v>
      </c>
      <c r="P124" s="107">
        <v>60.0</v>
      </c>
      <c r="Q124" s="114">
        <f>90+90+90</f>
        <v>270</v>
      </c>
      <c r="R124" s="125">
        <f>90+90+120</f>
        <v>300</v>
      </c>
      <c r="S124" s="125"/>
      <c r="T124" s="125">
        <f>90+120</f>
        <v>210</v>
      </c>
      <c r="U124" s="125">
        <f>90+90+60</f>
        <v>240</v>
      </c>
      <c r="V124" s="125">
        <f>90+120</f>
        <v>210</v>
      </c>
      <c r="W124" s="125">
        <f>90+96+120</f>
        <v>306</v>
      </c>
      <c r="X124" s="125">
        <f>90+90</f>
        <v>180</v>
      </c>
      <c r="Y124" s="125">
        <f>90+120</f>
        <v>210</v>
      </c>
      <c r="Z124" s="125"/>
      <c r="AA124" s="125">
        <f>90+120</f>
        <v>210</v>
      </c>
      <c r="AB124" s="125">
        <f>90+90+120</f>
        <v>300</v>
      </c>
      <c r="AC124" s="125">
        <f>90+120+90+6</f>
        <v>306</v>
      </c>
      <c r="AD124" s="112">
        <f>90+90+120+3</f>
        <v>303</v>
      </c>
      <c r="AE124" s="112">
        <f>90+90+120</f>
        <v>300</v>
      </c>
      <c r="AF124" s="125">
        <f>90+90</f>
        <v>180</v>
      </c>
      <c r="AG124" s="112"/>
      <c r="AH124" s="125">
        <f>180+120</f>
        <v>300</v>
      </c>
      <c r="AI124" s="125">
        <v>180.0</v>
      </c>
      <c r="AJ124" s="112">
        <f>102+90+60</f>
        <v>252</v>
      </c>
      <c r="AK124" s="125">
        <f t="shared" ref="AK124:AL124" si="62">90+60</f>
        <v>150</v>
      </c>
      <c r="AL124" s="125">
        <f t="shared" si="62"/>
        <v>150</v>
      </c>
      <c r="AM124" s="125">
        <f>90+90+180</f>
        <v>360</v>
      </c>
      <c r="AN124" s="32"/>
    </row>
    <row r="125">
      <c r="A125" s="33"/>
      <c r="B125" s="33"/>
      <c r="C125" s="33"/>
      <c r="D125" s="33"/>
      <c r="E125" s="106"/>
      <c r="F125" s="106"/>
      <c r="G125" s="107"/>
      <c r="H125" s="107"/>
      <c r="I125" s="118"/>
      <c r="J125" s="118"/>
      <c r="K125" s="118"/>
      <c r="L125" s="114"/>
      <c r="M125" s="118"/>
      <c r="N125" s="118"/>
      <c r="O125" s="118"/>
      <c r="P125" s="118"/>
      <c r="Q125" s="118"/>
      <c r="R125" s="120"/>
      <c r="S125" s="112"/>
      <c r="T125" s="120"/>
      <c r="U125" s="120"/>
      <c r="V125" s="120"/>
      <c r="W125" s="120"/>
      <c r="X125" s="120"/>
      <c r="Y125" s="120"/>
      <c r="Z125" s="112"/>
      <c r="AA125" s="120"/>
      <c r="AB125" s="120"/>
      <c r="AC125" s="120"/>
      <c r="AD125" s="120"/>
      <c r="AE125" s="120"/>
      <c r="AF125" s="120"/>
      <c r="AG125" s="112"/>
      <c r="AH125" s="120"/>
      <c r="AI125" s="120"/>
      <c r="AJ125" s="120"/>
      <c r="AK125" s="120"/>
      <c r="AL125" s="120"/>
      <c r="AM125" s="120"/>
      <c r="AN125" s="122"/>
      <c r="AO125" s="53"/>
      <c r="AP125" s="53"/>
    </row>
    <row r="126">
      <c r="A126" s="24" t="s">
        <v>67</v>
      </c>
      <c r="B126" s="17"/>
      <c r="C126" s="17"/>
      <c r="D126" s="18"/>
      <c r="E126" s="106">
        <v>6.0</v>
      </c>
      <c r="F126" s="106" t="s">
        <v>21</v>
      </c>
      <c r="G126" s="107">
        <v>71701.0</v>
      </c>
      <c r="H126" s="107" t="s">
        <v>22</v>
      </c>
      <c r="I126" s="114"/>
      <c r="J126" s="114"/>
      <c r="K126" s="114"/>
      <c r="L126" s="114"/>
      <c r="M126" s="114"/>
      <c r="N126" s="114"/>
      <c r="O126" s="114"/>
      <c r="P126" s="114"/>
      <c r="Q126" s="114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2"/>
      <c r="AN126" s="113">
        <f>G126+SUM(I126:AM126)-SUM(I127:AM127)</f>
        <v>68011</v>
      </c>
      <c r="AO126" s="53">
        <f>ROUNDDOWN((AN126/E126)/$H$4,1)</f>
        <v>377.8</v>
      </c>
      <c r="AP126" s="53">
        <f>$M$3+AO126</f>
        <v>1269.8</v>
      </c>
    </row>
    <row r="127">
      <c r="A127" s="31"/>
      <c r="B127" s="17"/>
      <c r="C127" s="17"/>
      <c r="D127" s="17"/>
      <c r="E127" s="17"/>
      <c r="F127" s="18"/>
      <c r="G127" s="114"/>
      <c r="H127" s="107" t="s">
        <v>23</v>
      </c>
      <c r="I127" s="107">
        <v>180.0</v>
      </c>
      <c r="J127" s="107">
        <v>90.0</v>
      </c>
      <c r="K127" s="107">
        <v>180.0</v>
      </c>
      <c r="L127" s="107"/>
      <c r="M127" s="107">
        <v>90.0</v>
      </c>
      <c r="N127" s="107">
        <v>180.0</v>
      </c>
      <c r="O127" s="107">
        <v>90.0</v>
      </c>
      <c r="P127" s="107">
        <v>90.0</v>
      </c>
      <c r="Q127" s="107">
        <v>90.0</v>
      </c>
      <c r="R127" s="125">
        <v>180.0</v>
      </c>
      <c r="S127" s="125"/>
      <c r="T127" s="125">
        <v>180.0</v>
      </c>
      <c r="U127" s="125">
        <v>90.0</v>
      </c>
      <c r="V127" s="125">
        <v>180.0</v>
      </c>
      <c r="W127" s="125">
        <v>180.0</v>
      </c>
      <c r="X127" s="125"/>
      <c r="Y127" s="125">
        <v>180.0</v>
      </c>
      <c r="Z127" s="125"/>
      <c r="AA127" s="125">
        <v>180.0</v>
      </c>
      <c r="AB127" s="125">
        <v>180.0</v>
      </c>
      <c r="AC127" s="125">
        <v>180.0</v>
      </c>
      <c r="AD127" s="125">
        <v>180.0</v>
      </c>
      <c r="AE127" s="125">
        <v>180.0</v>
      </c>
      <c r="AF127" s="125"/>
      <c r="AG127" s="125"/>
      <c r="AH127" s="125">
        <v>180.0</v>
      </c>
      <c r="AI127" s="125">
        <v>180.0</v>
      </c>
      <c r="AJ127" s="125">
        <v>90.0</v>
      </c>
      <c r="AK127" s="125">
        <v>90.0</v>
      </c>
      <c r="AL127" s="125">
        <v>90.0</v>
      </c>
      <c r="AM127" s="125">
        <v>180.0</v>
      </c>
      <c r="AN127" s="32"/>
    </row>
    <row r="128">
      <c r="A128" s="33"/>
      <c r="B128" s="33"/>
      <c r="C128" s="33"/>
      <c r="D128" s="33"/>
      <c r="E128" s="106"/>
      <c r="F128" s="106"/>
      <c r="G128" s="107"/>
      <c r="H128" s="107"/>
      <c r="I128" s="118"/>
      <c r="J128" s="118"/>
      <c r="K128" s="118"/>
      <c r="L128" s="114"/>
      <c r="M128" s="118"/>
      <c r="N128" s="118"/>
      <c r="O128" s="118"/>
      <c r="P128" s="118"/>
      <c r="Q128" s="118"/>
      <c r="R128" s="120"/>
      <c r="S128" s="112"/>
      <c r="T128" s="120"/>
      <c r="U128" s="120"/>
      <c r="V128" s="120"/>
      <c r="W128" s="120"/>
      <c r="X128" s="119"/>
      <c r="Y128" s="120"/>
      <c r="Z128" s="112"/>
      <c r="AA128" s="120"/>
      <c r="AB128" s="120"/>
      <c r="AC128" s="120"/>
      <c r="AD128" s="120"/>
      <c r="AE128" s="120"/>
      <c r="AF128" s="119"/>
      <c r="AG128" s="112"/>
      <c r="AH128" s="120"/>
      <c r="AI128" s="127"/>
      <c r="AJ128" s="120"/>
      <c r="AK128" s="120"/>
      <c r="AL128" s="120"/>
      <c r="AM128" s="120"/>
      <c r="AN128" s="122"/>
      <c r="AO128" s="53"/>
      <c r="AP128" s="53"/>
    </row>
    <row r="129">
      <c r="A129" s="24" t="s">
        <v>68</v>
      </c>
      <c r="B129" s="17"/>
      <c r="C129" s="17"/>
      <c r="D129" s="18"/>
      <c r="E129" s="106">
        <v>12.0</v>
      </c>
      <c r="F129" s="106" t="s">
        <v>21</v>
      </c>
      <c r="G129" s="107">
        <v>18789.0</v>
      </c>
      <c r="H129" s="107" t="s">
        <v>22</v>
      </c>
      <c r="I129" s="114"/>
      <c r="J129" s="114"/>
      <c r="K129" s="114"/>
      <c r="L129" s="114"/>
      <c r="M129" s="114"/>
      <c r="N129" s="114"/>
      <c r="O129" s="114"/>
      <c r="P129" s="114"/>
      <c r="Q129" s="114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25"/>
      <c r="AJ129" s="112"/>
      <c r="AK129" s="125"/>
      <c r="AL129" s="112"/>
      <c r="AM129" s="112"/>
      <c r="AN129" s="113">
        <f>G129+SUM(I129:AM129)-SUM(I130:AM130)</f>
        <v>11382</v>
      </c>
      <c r="AO129" s="53">
        <f>ROUNDDOWN((AN129/E129)/$H$4,1)</f>
        <v>31.6</v>
      </c>
      <c r="AP129" s="53">
        <f>$M$3+AO129</f>
        <v>923.6</v>
      </c>
    </row>
    <row r="130">
      <c r="A130" s="31"/>
      <c r="B130" s="17"/>
      <c r="C130" s="17"/>
      <c r="D130" s="17"/>
      <c r="E130" s="17"/>
      <c r="F130" s="18"/>
      <c r="G130" s="114"/>
      <c r="H130" s="107" t="s">
        <v>23</v>
      </c>
      <c r="I130" s="107">
        <f>90+90+180</f>
        <v>360</v>
      </c>
      <c r="J130" s="107">
        <f>90+90</f>
        <v>180</v>
      </c>
      <c r="K130" s="107">
        <f>90+180</f>
        <v>270</v>
      </c>
      <c r="L130" s="107"/>
      <c r="M130" s="107">
        <f>90+90+90</f>
        <v>270</v>
      </c>
      <c r="N130" s="114">
        <f>90+90+180</f>
        <v>360</v>
      </c>
      <c r="O130" s="107">
        <f>90+90</f>
        <v>180</v>
      </c>
      <c r="P130" s="107">
        <v>90.0</v>
      </c>
      <c r="Q130" s="114">
        <f>90+90+90</f>
        <v>270</v>
      </c>
      <c r="R130" s="125">
        <f>90+90+180</f>
        <v>360</v>
      </c>
      <c r="S130" s="125"/>
      <c r="T130" s="125">
        <f>90+180</f>
        <v>270</v>
      </c>
      <c r="U130" s="125">
        <f>90+90+90</f>
        <v>270</v>
      </c>
      <c r="V130" s="125">
        <f>90+180</f>
        <v>270</v>
      </c>
      <c r="W130" s="125">
        <f>90+96+180</f>
        <v>366</v>
      </c>
      <c r="X130" s="125">
        <f>90+90</f>
        <v>180</v>
      </c>
      <c r="Y130" s="125">
        <f>90+180</f>
        <v>270</v>
      </c>
      <c r="Z130" s="125"/>
      <c r="AA130" s="125">
        <f>90+180</f>
        <v>270</v>
      </c>
      <c r="AB130" s="125">
        <f>90+90+180</f>
        <v>360</v>
      </c>
      <c r="AC130" s="125">
        <f>90+180+90+6</f>
        <v>366</v>
      </c>
      <c r="AD130" s="112">
        <f>90+90+180+3</f>
        <v>363</v>
      </c>
      <c r="AE130" s="112">
        <f>90+90+180</f>
        <v>360</v>
      </c>
      <c r="AF130" s="125">
        <f>90+90</f>
        <v>180</v>
      </c>
      <c r="AG130" s="112"/>
      <c r="AH130" s="125">
        <f>180+180</f>
        <v>360</v>
      </c>
      <c r="AI130" s="125">
        <v>180.0</v>
      </c>
      <c r="AJ130" s="112">
        <f>102+90+90</f>
        <v>282</v>
      </c>
      <c r="AK130" s="125">
        <f t="shared" ref="AK130:AL130" si="63">90+90</f>
        <v>180</v>
      </c>
      <c r="AL130" s="125">
        <f t="shared" si="63"/>
        <v>180</v>
      </c>
      <c r="AM130" s="125">
        <f>90+90+180</f>
        <v>360</v>
      </c>
      <c r="AN130" s="32"/>
    </row>
    <row r="131">
      <c r="A131" s="33"/>
      <c r="B131" s="33"/>
      <c r="C131" s="33"/>
      <c r="D131" s="33"/>
      <c r="E131" s="106"/>
      <c r="F131" s="106"/>
      <c r="G131" s="107"/>
      <c r="H131" s="107"/>
      <c r="I131" s="118"/>
      <c r="J131" s="118"/>
      <c r="K131" s="118"/>
      <c r="L131" s="114"/>
      <c r="M131" s="118"/>
      <c r="N131" s="118"/>
      <c r="O131" s="118"/>
      <c r="P131" s="118"/>
      <c r="Q131" s="118"/>
      <c r="R131" s="120"/>
      <c r="S131" s="112"/>
      <c r="T131" s="120"/>
      <c r="U131" s="120"/>
      <c r="V131" s="120"/>
      <c r="W131" s="120"/>
      <c r="X131" s="120"/>
      <c r="Y131" s="120"/>
      <c r="Z131" s="112"/>
      <c r="AA131" s="120"/>
      <c r="AB131" s="120"/>
      <c r="AC131" s="120"/>
      <c r="AD131" s="120"/>
      <c r="AE131" s="120"/>
      <c r="AF131" s="120"/>
      <c r="AG131" s="112"/>
      <c r="AH131" s="120"/>
      <c r="AI131" s="120"/>
      <c r="AJ131" s="120"/>
      <c r="AK131" s="120"/>
      <c r="AL131" s="120"/>
      <c r="AM131" s="120"/>
      <c r="AN131" s="122"/>
      <c r="AO131" s="53"/>
      <c r="AP131" s="53"/>
    </row>
    <row r="132">
      <c r="A132" s="24" t="s">
        <v>132</v>
      </c>
      <c r="B132" s="17"/>
      <c r="C132" s="17"/>
      <c r="D132" s="18"/>
      <c r="E132" s="106">
        <v>6.0</v>
      </c>
      <c r="F132" s="106" t="s">
        <v>21</v>
      </c>
      <c r="G132" s="107">
        <v>62437.0</v>
      </c>
      <c r="H132" s="107" t="s">
        <v>22</v>
      </c>
      <c r="I132" s="114"/>
      <c r="J132" s="114"/>
      <c r="K132" s="114"/>
      <c r="L132" s="114"/>
      <c r="M132" s="114"/>
      <c r="N132" s="114"/>
      <c r="O132" s="114"/>
      <c r="P132" s="114"/>
      <c r="Q132" s="107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2"/>
      <c r="AN132" s="113">
        <f>G132+SUM(I132:AM132)-SUM(I133:AM133)</f>
        <v>58687</v>
      </c>
      <c r="AO132" s="53">
        <f>ROUNDDOWN((AN132/E132)/$H$4,1)</f>
        <v>326</v>
      </c>
      <c r="AP132" s="53">
        <f>$M$3+AO132</f>
        <v>1218</v>
      </c>
    </row>
    <row r="133">
      <c r="A133" s="31"/>
      <c r="B133" s="17"/>
      <c r="C133" s="17"/>
      <c r="D133" s="17"/>
      <c r="E133" s="17"/>
      <c r="F133" s="18"/>
      <c r="G133" s="114"/>
      <c r="H133" s="107" t="s">
        <v>23</v>
      </c>
      <c r="I133" s="107">
        <v>120.0</v>
      </c>
      <c r="J133" s="107">
        <v>120.0</v>
      </c>
      <c r="K133" s="107">
        <v>90.0</v>
      </c>
      <c r="L133" s="107"/>
      <c r="M133" s="107">
        <v>180.0</v>
      </c>
      <c r="N133" s="107">
        <v>180.0</v>
      </c>
      <c r="O133" s="107">
        <v>90.0</v>
      </c>
      <c r="P133" s="107">
        <v>90.0</v>
      </c>
      <c r="Q133" s="107">
        <v>90.0</v>
      </c>
      <c r="R133" s="125">
        <v>180.0</v>
      </c>
      <c r="S133" s="125"/>
      <c r="T133" s="125">
        <v>180.0</v>
      </c>
      <c r="U133" s="125">
        <v>90.0</v>
      </c>
      <c r="V133" s="125">
        <v>180.0</v>
      </c>
      <c r="W133" s="125">
        <v>90.0</v>
      </c>
      <c r="X133" s="125">
        <v>180.0</v>
      </c>
      <c r="Y133" s="125">
        <v>90.0</v>
      </c>
      <c r="Z133" s="125"/>
      <c r="AA133" s="125">
        <v>180.0</v>
      </c>
      <c r="AB133" s="125">
        <v>180.0</v>
      </c>
      <c r="AC133" s="125">
        <v>90.0</v>
      </c>
      <c r="AD133" s="125">
        <v>180.0</v>
      </c>
      <c r="AE133" s="125">
        <v>180.0</v>
      </c>
      <c r="AF133" s="125">
        <v>180.0</v>
      </c>
      <c r="AG133" s="125"/>
      <c r="AH133" s="125">
        <v>180.0</v>
      </c>
      <c r="AI133" s="125">
        <v>90.0</v>
      </c>
      <c r="AJ133" s="125">
        <v>90.0</v>
      </c>
      <c r="AK133" s="125">
        <v>90.0</v>
      </c>
      <c r="AL133" s="125">
        <v>180.0</v>
      </c>
      <c r="AM133" s="125">
        <v>180.0</v>
      </c>
      <c r="AN133" s="32"/>
    </row>
    <row r="134">
      <c r="A134" s="33"/>
      <c r="B134" s="33"/>
      <c r="C134" s="33"/>
      <c r="D134" s="33"/>
      <c r="E134" s="106"/>
      <c r="F134" s="106"/>
      <c r="G134" s="107"/>
      <c r="H134" s="107"/>
      <c r="I134" s="118"/>
      <c r="J134" s="118"/>
      <c r="K134" s="118"/>
      <c r="L134" s="114"/>
      <c r="M134" s="118"/>
      <c r="N134" s="118"/>
      <c r="O134" s="118"/>
      <c r="P134" s="118"/>
      <c r="Q134" s="118"/>
      <c r="R134" s="120"/>
      <c r="S134" s="112"/>
      <c r="T134" s="120"/>
      <c r="U134" s="120"/>
      <c r="V134" s="120"/>
      <c r="W134" s="120"/>
      <c r="X134" s="120"/>
      <c r="Y134" s="120"/>
      <c r="Z134" s="112"/>
      <c r="AA134" s="120"/>
      <c r="AB134" s="120"/>
      <c r="AC134" s="120"/>
      <c r="AD134" s="120"/>
      <c r="AE134" s="120"/>
      <c r="AF134" s="120"/>
      <c r="AG134" s="112"/>
      <c r="AH134" s="120"/>
      <c r="AI134" s="120"/>
      <c r="AJ134" s="120"/>
      <c r="AK134" s="120"/>
      <c r="AL134" s="120"/>
      <c r="AM134" s="120"/>
      <c r="AN134" s="122"/>
      <c r="AO134" s="53"/>
      <c r="AP134" s="53"/>
    </row>
    <row r="135">
      <c r="A135" s="24" t="s">
        <v>70</v>
      </c>
      <c r="B135" s="17"/>
      <c r="C135" s="17"/>
      <c r="D135" s="18"/>
      <c r="E135" s="106">
        <v>8.0</v>
      </c>
      <c r="F135" s="106" t="s">
        <v>21</v>
      </c>
      <c r="G135" s="107">
        <v>9066.0</v>
      </c>
      <c r="H135" s="107" t="s">
        <v>22</v>
      </c>
      <c r="I135" s="114"/>
      <c r="J135" s="114"/>
      <c r="K135" s="114"/>
      <c r="L135" s="114"/>
      <c r="M135" s="114"/>
      <c r="N135" s="114"/>
      <c r="O135" s="114"/>
      <c r="P135" s="114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25"/>
      <c r="AD135" s="112"/>
      <c r="AE135" s="112"/>
      <c r="AF135" s="112"/>
      <c r="AG135" s="112"/>
      <c r="AH135" s="112"/>
      <c r="AI135" s="112"/>
      <c r="AJ135" s="112"/>
      <c r="AK135" s="112"/>
      <c r="AL135" s="112"/>
      <c r="AM135" s="112"/>
      <c r="AN135" s="113">
        <f>G135+SUM(I135:AM135)-SUM(I136:AM136)</f>
        <v>4080</v>
      </c>
      <c r="AO135" s="53">
        <f>ROUNDDOWN((AN135/E135)/$H$4,1)</f>
        <v>17</v>
      </c>
      <c r="AP135" s="53">
        <f>$M$3+AO135</f>
        <v>909</v>
      </c>
    </row>
    <row r="136">
      <c r="A136" s="31"/>
      <c r="B136" s="17"/>
      <c r="C136" s="17"/>
      <c r="D136" s="17"/>
      <c r="E136" s="17"/>
      <c r="F136" s="18"/>
      <c r="G136" s="114"/>
      <c r="H136" s="107" t="s">
        <v>23</v>
      </c>
      <c r="I136" s="107">
        <f>30+30+120</f>
        <v>180</v>
      </c>
      <c r="J136" s="107">
        <f>30+120</f>
        <v>150</v>
      </c>
      <c r="K136" s="107">
        <f>30+90</f>
        <v>120</v>
      </c>
      <c r="L136" s="107"/>
      <c r="M136" s="107">
        <f t="shared" ref="M136:N136" si="64">30+30+180</f>
        <v>240</v>
      </c>
      <c r="N136" s="107">
        <f t="shared" si="64"/>
        <v>240</v>
      </c>
      <c r="O136" s="107">
        <f>30+90</f>
        <v>120</v>
      </c>
      <c r="P136" s="107">
        <v>90.0</v>
      </c>
      <c r="Q136" s="114">
        <f>30+30+90</f>
        <v>150</v>
      </c>
      <c r="R136" s="125">
        <f>30+30+180</f>
        <v>240</v>
      </c>
      <c r="S136" s="112"/>
      <c r="T136" s="125">
        <f>30+180</f>
        <v>210</v>
      </c>
      <c r="U136" s="125">
        <f>30+30+90</f>
        <v>150</v>
      </c>
      <c r="V136" s="125">
        <f>30+180</f>
        <v>210</v>
      </c>
      <c r="W136" s="125">
        <f>30+32+90</f>
        <v>152</v>
      </c>
      <c r="X136" s="125">
        <f>30+30+180</f>
        <v>240</v>
      </c>
      <c r="Y136" s="125">
        <f>30+90</f>
        <v>120</v>
      </c>
      <c r="Z136" s="125"/>
      <c r="AA136" s="125">
        <f>30+180</f>
        <v>210</v>
      </c>
      <c r="AB136" s="125">
        <f>30+30+180</f>
        <v>240</v>
      </c>
      <c r="AC136" s="125">
        <f>30+90+30</f>
        <v>150</v>
      </c>
      <c r="AD136" s="112">
        <f t="shared" ref="AD136:AF136" si="65">30+30+180</f>
        <v>240</v>
      </c>
      <c r="AE136" s="112">
        <f t="shared" si="65"/>
        <v>240</v>
      </c>
      <c r="AF136" s="125">
        <f t="shared" si="65"/>
        <v>240</v>
      </c>
      <c r="AG136" s="112"/>
      <c r="AH136" s="125">
        <f>60+180</f>
        <v>240</v>
      </c>
      <c r="AI136" s="125">
        <v>90.0</v>
      </c>
      <c r="AJ136" s="112">
        <f>30+34+90</f>
        <v>154</v>
      </c>
      <c r="AK136" s="125">
        <f>30+90</f>
        <v>120</v>
      </c>
      <c r="AL136" s="125">
        <f>30+180</f>
        <v>210</v>
      </c>
      <c r="AM136" s="125">
        <f>30+30+180</f>
        <v>240</v>
      </c>
      <c r="AN136" s="32"/>
    </row>
    <row r="137">
      <c r="A137" s="33"/>
      <c r="B137" s="33"/>
      <c r="C137" s="33"/>
      <c r="D137" s="33"/>
      <c r="E137" s="106"/>
      <c r="F137" s="106"/>
      <c r="G137" s="107"/>
      <c r="H137" s="107"/>
      <c r="I137" s="118"/>
      <c r="J137" s="118"/>
      <c r="K137" s="118"/>
      <c r="L137" s="114"/>
      <c r="M137" s="118"/>
      <c r="N137" s="118"/>
      <c r="O137" s="118"/>
      <c r="P137" s="118"/>
      <c r="Q137" s="120"/>
      <c r="R137" s="120"/>
      <c r="S137" s="112"/>
      <c r="T137" s="120"/>
      <c r="U137" s="120"/>
      <c r="V137" s="120"/>
      <c r="W137" s="120"/>
      <c r="X137" s="120"/>
      <c r="Y137" s="120"/>
      <c r="Z137" s="112"/>
      <c r="AA137" s="120"/>
      <c r="AB137" s="120"/>
      <c r="AC137" s="120"/>
      <c r="AD137" s="120"/>
      <c r="AE137" s="120"/>
      <c r="AF137" s="120"/>
      <c r="AG137" s="112"/>
      <c r="AH137" s="120"/>
      <c r="AI137" s="127"/>
      <c r="AJ137" s="120"/>
      <c r="AK137" s="120"/>
      <c r="AL137" s="120"/>
      <c r="AM137" s="120"/>
      <c r="AN137" s="122"/>
      <c r="AO137" s="53"/>
      <c r="AP137" s="53"/>
    </row>
    <row r="138">
      <c r="A138" s="24" t="s">
        <v>71</v>
      </c>
      <c r="B138" s="17"/>
      <c r="C138" s="17"/>
      <c r="D138" s="18"/>
      <c r="E138" s="106">
        <v>8.0</v>
      </c>
      <c r="F138" s="106" t="s">
        <v>21</v>
      </c>
      <c r="G138" s="107">
        <v>11460.0</v>
      </c>
      <c r="H138" s="107" t="s">
        <v>22</v>
      </c>
      <c r="I138" s="114"/>
      <c r="J138" s="114"/>
      <c r="K138" s="114"/>
      <c r="L138" s="114"/>
      <c r="M138" s="114"/>
      <c r="N138" s="114"/>
      <c r="O138" s="114"/>
      <c r="P138" s="114"/>
      <c r="Q138" s="114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25"/>
      <c r="AJ138" s="112"/>
      <c r="AK138" s="125"/>
      <c r="AL138" s="112"/>
      <c r="AM138" s="112"/>
      <c r="AN138" s="113">
        <f>G138+SUM(I138:AM138)-SUM(I139:AM139)</f>
        <v>6474</v>
      </c>
      <c r="AO138" s="53">
        <f>ROUNDDOWN((AN138/E138)/$H$4,1)</f>
        <v>26.9</v>
      </c>
      <c r="AP138" s="53">
        <f>$M$3+AO138</f>
        <v>918.9</v>
      </c>
    </row>
    <row r="139">
      <c r="A139" s="31"/>
      <c r="B139" s="17"/>
      <c r="C139" s="17"/>
      <c r="D139" s="17"/>
      <c r="E139" s="17"/>
      <c r="F139" s="18"/>
      <c r="G139" s="114"/>
      <c r="H139" s="107" t="s">
        <v>23</v>
      </c>
      <c r="I139" s="107">
        <f>30+30+120</f>
        <v>180</v>
      </c>
      <c r="J139" s="107">
        <f>30+120</f>
        <v>150</v>
      </c>
      <c r="K139" s="107">
        <f>30+90</f>
        <v>120</v>
      </c>
      <c r="L139" s="107"/>
      <c r="M139" s="107">
        <f t="shared" ref="M139:N139" si="66">30+30+180</f>
        <v>240</v>
      </c>
      <c r="N139" s="107">
        <f t="shared" si="66"/>
        <v>240</v>
      </c>
      <c r="O139" s="107">
        <f>30+90</f>
        <v>120</v>
      </c>
      <c r="P139" s="107">
        <v>90.0</v>
      </c>
      <c r="Q139" s="114">
        <f>30+30+90</f>
        <v>150</v>
      </c>
      <c r="R139" s="125">
        <f>30+30+180</f>
        <v>240</v>
      </c>
      <c r="S139" s="112"/>
      <c r="T139" s="125">
        <f>30+180</f>
        <v>210</v>
      </c>
      <c r="U139" s="125">
        <f>30+30+90</f>
        <v>150</v>
      </c>
      <c r="V139" s="125">
        <f>30+180</f>
        <v>210</v>
      </c>
      <c r="W139" s="125">
        <f>30+32+90</f>
        <v>152</v>
      </c>
      <c r="X139" s="125">
        <f>30+30+180</f>
        <v>240</v>
      </c>
      <c r="Y139" s="125">
        <f>30+90</f>
        <v>120</v>
      </c>
      <c r="Z139" s="125"/>
      <c r="AA139" s="125">
        <f>30+180</f>
        <v>210</v>
      </c>
      <c r="AB139" s="125">
        <f>30+30+180</f>
        <v>240</v>
      </c>
      <c r="AC139" s="125">
        <f>30+90+30</f>
        <v>150</v>
      </c>
      <c r="AD139" s="112">
        <f t="shared" ref="AD139:AF139" si="67">30+30+180</f>
        <v>240</v>
      </c>
      <c r="AE139" s="112">
        <f t="shared" si="67"/>
        <v>240</v>
      </c>
      <c r="AF139" s="125">
        <f t="shared" si="67"/>
        <v>240</v>
      </c>
      <c r="AG139" s="112"/>
      <c r="AH139" s="125">
        <f>60+180</f>
        <v>240</v>
      </c>
      <c r="AI139" s="125">
        <v>90.0</v>
      </c>
      <c r="AJ139" s="112">
        <f>34+30+90</f>
        <v>154</v>
      </c>
      <c r="AK139" s="125">
        <f>30+90</f>
        <v>120</v>
      </c>
      <c r="AL139" s="125">
        <f>30+180</f>
        <v>210</v>
      </c>
      <c r="AM139" s="125">
        <f>30+30+180</f>
        <v>240</v>
      </c>
      <c r="AN139" s="32"/>
    </row>
    <row r="140">
      <c r="A140" s="33"/>
      <c r="B140" s="33"/>
      <c r="C140" s="33"/>
      <c r="D140" s="33"/>
      <c r="E140" s="106"/>
      <c r="F140" s="106"/>
      <c r="G140" s="107"/>
      <c r="H140" s="107"/>
      <c r="I140" s="118"/>
      <c r="J140" s="118"/>
      <c r="K140" s="118"/>
      <c r="L140" s="114"/>
      <c r="M140" s="118"/>
      <c r="N140" s="118"/>
      <c r="O140" s="118"/>
      <c r="P140" s="118"/>
      <c r="Q140" s="118"/>
      <c r="R140" s="120"/>
      <c r="S140" s="112"/>
      <c r="T140" s="120"/>
      <c r="U140" s="120"/>
      <c r="V140" s="120"/>
      <c r="W140" s="120"/>
      <c r="X140" s="120"/>
      <c r="Y140" s="120"/>
      <c r="Z140" s="112"/>
      <c r="AA140" s="120"/>
      <c r="AB140" s="120"/>
      <c r="AC140" s="120"/>
      <c r="AD140" s="120"/>
      <c r="AE140" s="120"/>
      <c r="AF140" s="120"/>
      <c r="AG140" s="112"/>
      <c r="AH140" s="120"/>
      <c r="AI140" s="127"/>
      <c r="AJ140" s="120"/>
      <c r="AK140" s="120"/>
      <c r="AL140" s="120"/>
      <c r="AM140" s="120"/>
      <c r="AN140" s="122"/>
      <c r="AO140" s="53"/>
      <c r="AP140" s="53"/>
    </row>
    <row r="141">
      <c r="A141" s="24" t="s">
        <v>72</v>
      </c>
      <c r="B141" s="17"/>
      <c r="C141" s="17"/>
      <c r="D141" s="18"/>
      <c r="E141" s="106">
        <v>12.0</v>
      </c>
      <c r="F141" s="106" t="s">
        <v>21</v>
      </c>
      <c r="G141" s="107">
        <v>17683.0</v>
      </c>
      <c r="H141" s="107" t="s">
        <v>22</v>
      </c>
      <c r="I141" s="114"/>
      <c r="J141" s="114"/>
      <c r="K141" s="114"/>
      <c r="L141" s="114"/>
      <c r="M141" s="114"/>
      <c r="N141" s="114"/>
      <c r="O141" s="114"/>
      <c r="P141" s="114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25"/>
      <c r="AJ141" s="112"/>
      <c r="AK141" s="125"/>
      <c r="AL141" s="112"/>
      <c r="AM141" s="112"/>
      <c r="AN141" s="113">
        <f>G141+SUM(I141:AM141)-SUM(I142:AM142)</f>
        <v>10303</v>
      </c>
      <c r="AO141" s="53">
        <f>ROUNDDOWN((AN141/E141)/$H$4,1)</f>
        <v>28.6</v>
      </c>
      <c r="AP141" s="53">
        <f>$M$5+AO141</f>
        <v>920.6</v>
      </c>
    </row>
    <row r="142">
      <c r="A142" s="31"/>
      <c r="B142" s="17"/>
      <c r="C142" s="17"/>
      <c r="D142" s="17"/>
      <c r="E142" s="17"/>
      <c r="F142" s="18"/>
      <c r="G142" s="114"/>
      <c r="H142" s="107" t="s">
        <v>23</v>
      </c>
      <c r="I142" s="107">
        <v>360.0</v>
      </c>
      <c r="J142" s="107">
        <v>180.0</v>
      </c>
      <c r="K142" s="107">
        <v>360.0</v>
      </c>
      <c r="L142" s="107"/>
      <c r="M142" s="107">
        <v>180.0</v>
      </c>
      <c r="N142" s="107">
        <v>360.0</v>
      </c>
      <c r="O142" s="107">
        <v>180.0</v>
      </c>
      <c r="P142" s="107">
        <v>180.0</v>
      </c>
      <c r="Q142" s="107">
        <v>180.0</v>
      </c>
      <c r="R142" s="125">
        <v>360.0</v>
      </c>
      <c r="S142" s="125"/>
      <c r="T142" s="125">
        <v>360.0</v>
      </c>
      <c r="U142" s="125">
        <v>180.0</v>
      </c>
      <c r="V142" s="125">
        <v>360.0</v>
      </c>
      <c r="W142" s="125">
        <v>360.0</v>
      </c>
      <c r="X142" s="125"/>
      <c r="Y142" s="125">
        <v>360.0</v>
      </c>
      <c r="Z142" s="125"/>
      <c r="AA142" s="125">
        <v>360.0</v>
      </c>
      <c r="AB142" s="125">
        <v>360.0</v>
      </c>
      <c r="AC142" s="125">
        <v>360.0</v>
      </c>
      <c r="AD142" s="125">
        <v>360.0</v>
      </c>
      <c r="AE142" s="125">
        <v>360.0</v>
      </c>
      <c r="AF142" s="125"/>
      <c r="AG142" s="125"/>
      <c r="AH142" s="125">
        <v>360.0</v>
      </c>
      <c r="AI142" s="125">
        <v>360.0</v>
      </c>
      <c r="AJ142" s="125">
        <v>180.0</v>
      </c>
      <c r="AK142" s="125">
        <v>180.0</v>
      </c>
      <c r="AL142" s="125">
        <v>180.0</v>
      </c>
      <c r="AM142" s="125">
        <v>360.0</v>
      </c>
      <c r="AN142" s="32"/>
    </row>
    <row r="143">
      <c r="A143" s="33"/>
      <c r="B143" s="33"/>
      <c r="C143" s="33"/>
      <c r="D143" s="33"/>
      <c r="E143" s="106"/>
      <c r="F143" s="106"/>
      <c r="G143" s="107"/>
      <c r="H143" s="107"/>
      <c r="I143" s="118"/>
      <c r="J143" s="118"/>
      <c r="K143" s="118"/>
      <c r="L143" s="114"/>
      <c r="M143" s="118"/>
      <c r="N143" s="118"/>
      <c r="O143" s="118"/>
      <c r="P143" s="118"/>
      <c r="Q143" s="118"/>
      <c r="R143" s="120"/>
      <c r="S143" s="112"/>
      <c r="T143" s="120"/>
      <c r="U143" s="120"/>
      <c r="V143" s="120"/>
      <c r="W143" s="120"/>
      <c r="X143" s="119"/>
      <c r="Y143" s="120"/>
      <c r="Z143" s="112"/>
      <c r="AA143" s="120"/>
      <c r="AB143" s="120"/>
      <c r="AC143" s="120"/>
      <c r="AD143" s="120"/>
      <c r="AE143" s="120"/>
      <c r="AF143" s="119"/>
      <c r="AG143" s="112"/>
      <c r="AH143" s="120"/>
      <c r="AI143" s="127"/>
      <c r="AJ143" s="120"/>
      <c r="AK143" s="120"/>
      <c r="AL143" s="120"/>
      <c r="AM143" s="120"/>
      <c r="AN143" s="122"/>
      <c r="AO143" s="53"/>
      <c r="AP143" s="53"/>
    </row>
    <row r="144">
      <c r="A144" s="24" t="s">
        <v>73</v>
      </c>
      <c r="B144" s="17"/>
      <c r="C144" s="17"/>
      <c r="D144" s="18"/>
      <c r="E144" s="106">
        <v>12.0</v>
      </c>
      <c r="F144" s="106" t="s">
        <v>21</v>
      </c>
      <c r="G144" s="107">
        <v>16201.0</v>
      </c>
      <c r="H144" s="107" t="s">
        <v>22</v>
      </c>
      <c r="I144" s="114"/>
      <c r="J144" s="114"/>
      <c r="K144" s="114"/>
      <c r="L144" s="114"/>
      <c r="M144" s="114"/>
      <c r="N144" s="114"/>
      <c r="O144" s="114"/>
      <c r="P144" s="114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25"/>
      <c r="AJ144" s="112"/>
      <c r="AK144" s="125"/>
      <c r="AL144" s="112"/>
      <c r="AM144" s="112"/>
      <c r="AN144" s="113">
        <f>G144+SUM(I144:AM144)-SUM(I145:AM145)</f>
        <v>8821</v>
      </c>
      <c r="AO144" s="53">
        <f>ROUNDDOWN((AN144/E144)/$H$4,1)</f>
        <v>24.5</v>
      </c>
      <c r="AP144" s="53">
        <f>$M$5+AO144</f>
        <v>916.5</v>
      </c>
    </row>
    <row r="145">
      <c r="A145" s="31"/>
      <c r="B145" s="17"/>
      <c r="C145" s="17"/>
      <c r="D145" s="17"/>
      <c r="E145" s="17"/>
      <c r="F145" s="18"/>
      <c r="G145" s="114"/>
      <c r="H145" s="107" t="s">
        <v>23</v>
      </c>
      <c r="I145" s="107">
        <v>360.0</v>
      </c>
      <c r="J145" s="107">
        <v>180.0</v>
      </c>
      <c r="K145" s="107">
        <v>360.0</v>
      </c>
      <c r="L145" s="107"/>
      <c r="M145" s="107">
        <v>180.0</v>
      </c>
      <c r="N145" s="107">
        <v>360.0</v>
      </c>
      <c r="O145" s="107">
        <v>180.0</v>
      </c>
      <c r="P145" s="107">
        <v>180.0</v>
      </c>
      <c r="Q145" s="107">
        <v>180.0</v>
      </c>
      <c r="R145" s="125">
        <v>360.0</v>
      </c>
      <c r="S145" s="125"/>
      <c r="T145" s="125">
        <v>360.0</v>
      </c>
      <c r="U145" s="125">
        <v>180.0</v>
      </c>
      <c r="V145" s="125">
        <v>360.0</v>
      </c>
      <c r="W145" s="125">
        <v>360.0</v>
      </c>
      <c r="X145" s="125"/>
      <c r="Y145" s="125">
        <v>360.0</v>
      </c>
      <c r="Z145" s="125"/>
      <c r="AA145" s="125">
        <v>360.0</v>
      </c>
      <c r="AB145" s="125">
        <v>360.0</v>
      </c>
      <c r="AC145" s="125">
        <v>360.0</v>
      </c>
      <c r="AD145" s="125">
        <v>360.0</v>
      </c>
      <c r="AE145" s="125">
        <v>360.0</v>
      </c>
      <c r="AF145" s="125"/>
      <c r="AG145" s="125"/>
      <c r="AH145" s="125">
        <v>360.0</v>
      </c>
      <c r="AI145" s="125">
        <v>360.0</v>
      </c>
      <c r="AJ145" s="125">
        <v>180.0</v>
      </c>
      <c r="AK145" s="125">
        <v>180.0</v>
      </c>
      <c r="AL145" s="125">
        <v>180.0</v>
      </c>
      <c r="AM145" s="125">
        <v>360.0</v>
      </c>
      <c r="AN145" s="32"/>
    </row>
    <row r="146">
      <c r="A146" s="33"/>
      <c r="B146" s="33"/>
      <c r="C146" s="33"/>
      <c r="D146" s="33"/>
      <c r="E146" s="106"/>
      <c r="F146" s="106"/>
      <c r="G146" s="107"/>
      <c r="H146" s="107"/>
      <c r="I146" s="118"/>
      <c r="J146" s="118"/>
      <c r="K146" s="118"/>
      <c r="L146" s="114"/>
      <c r="M146" s="118"/>
      <c r="N146" s="118"/>
      <c r="O146" s="118"/>
      <c r="P146" s="118"/>
      <c r="Q146" s="118"/>
      <c r="R146" s="120"/>
      <c r="S146" s="112"/>
      <c r="T146" s="120"/>
      <c r="U146" s="120"/>
      <c r="V146" s="120"/>
      <c r="W146" s="120"/>
      <c r="X146" s="119"/>
      <c r="Y146" s="120"/>
      <c r="Z146" s="112"/>
      <c r="AA146" s="120"/>
      <c r="AB146" s="120"/>
      <c r="AC146" s="120"/>
      <c r="AD146" s="120"/>
      <c r="AE146" s="120"/>
      <c r="AF146" s="119"/>
      <c r="AG146" s="112"/>
      <c r="AH146" s="120"/>
      <c r="AI146" s="120"/>
      <c r="AJ146" s="120"/>
      <c r="AK146" s="120"/>
      <c r="AL146" s="120"/>
      <c r="AM146" s="120"/>
      <c r="AN146" s="122"/>
      <c r="AO146" s="53"/>
      <c r="AP146" s="53"/>
    </row>
    <row r="147">
      <c r="A147" s="24" t="s">
        <v>74</v>
      </c>
      <c r="B147" s="17"/>
      <c r="C147" s="17"/>
      <c r="D147" s="18"/>
      <c r="E147" s="106">
        <v>18.0</v>
      </c>
      <c r="F147" s="106" t="s">
        <v>21</v>
      </c>
      <c r="G147" s="107">
        <v>23231.0</v>
      </c>
      <c r="H147" s="107" t="s">
        <v>22</v>
      </c>
      <c r="I147" s="114"/>
      <c r="J147" s="114"/>
      <c r="K147" s="114"/>
      <c r="L147" s="114"/>
      <c r="M147" s="114"/>
      <c r="N147" s="114"/>
      <c r="O147" s="114"/>
      <c r="P147" s="114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25"/>
      <c r="AK147" s="125"/>
      <c r="AL147" s="112"/>
      <c r="AM147" s="112"/>
      <c r="AN147" s="113">
        <f>G147+SUM(I147:AM147)-SUM(I148:AM148)</f>
        <v>12047</v>
      </c>
      <c r="AO147" s="53">
        <f>ROUNDDOWN((AN147/E147)/$H$4,1)</f>
        <v>22.3</v>
      </c>
      <c r="AP147" s="53">
        <f>$M$5+AO147</f>
        <v>914.3</v>
      </c>
    </row>
    <row r="148">
      <c r="A148" s="31"/>
      <c r="B148" s="17"/>
      <c r="C148" s="17"/>
      <c r="D148" s="17"/>
      <c r="E148" s="17"/>
      <c r="F148" s="18"/>
      <c r="G148" s="114"/>
      <c r="H148" s="107" t="s">
        <v>23</v>
      </c>
      <c r="I148" s="107">
        <f>270+270</f>
        <v>540</v>
      </c>
      <c r="J148" s="107">
        <v>270.0</v>
      </c>
      <c r="K148" s="107">
        <v>270.0</v>
      </c>
      <c r="L148" s="107"/>
      <c r="M148" s="107">
        <f t="shared" ref="M148:N148" si="68">270+270</f>
        <v>540</v>
      </c>
      <c r="N148" s="114">
        <f t="shared" si="68"/>
        <v>540</v>
      </c>
      <c r="O148" s="107">
        <v>270.0</v>
      </c>
      <c r="P148" s="114"/>
      <c r="Q148" s="114">
        <f t="shared" ref="Q148:R148" si="69">270+270</f>
        <v>540</v>
      </c>
      <c r="R148" s="125">
        <f t="shared" si="69"/>
        <v>540</v>
      </c>
      <c r="S148" s="125"/>
      <c r="T148" s="125">
        <v>270.0</v>
      </c>
      <c r="U148" s="125">
        <f>270+270</f>
        <v>540</v>
      </c>
      <c r="V148" s="125">
        <f>270+60</f>
        <v>330</v>
      </c>
      <c r="W148" s="125">
        <f>270+288</f>
        <v>558</v>
      </c>
      <c r="X148" s="125">
        <f>270+270</f>
        <v>540</v>
      </c>
      <c r="Y148" s="125">
        <v>270.0</v>
      </c>
      <c r="Z148" s="125"/>
      <c r="AA148" s="125">
        <v>270.0</v>
      </c>
      <c r="AB148" s="125">
        <f t="shared" ref="AB148:AF148" si="70">270+270</f>
        <v>540</v>
      </c>
      <c r="AC148" s="125">
        <f t="shared" si="70"/>
        <v>540</v>
      </c>
      <c r="AD148" s="125">
        <f t="shared" si="70"/>
        <v>540</v>
      </c>
      <c r="AE148" s="112">
        <f t="shared" si="70"/>
        <v>540</v>
      </c>
      <c r="AF148" s="125">
        <f t="shared" si="70"/>
        <v>540</v>
      </c>
      <c r="AG148" s="112"/>
      <c r="AH148" s="125">
        <v>540.0</v>
      </c>
      <c r="AI148" s="125"/>
      <c r="AJ148" s="112">
        <f>306+270</f>
        <v>576</v>
      </c>
      <c r="AK148" s="125">
        <v>270.0</v>
      </c>
      <c r="AL148" s="125">
        <v>270.0</v>
      </c>
      <c r="AM148" s="125">
        <f>270+270</f>
        <v>540</v>
      </c>
      <c r="AN148" s="32"/>
    </row>
    <row r="149">
      <c r="A149" s="33"/>
      <c r="B149" s="33"/>
      <c r="C149" s="33"/>
      <c r="D149" s="33"/>
      <c r="E149" s="106"/>
      <c r="F149" s="106"/>
      <c r="G149" s="107"/>
      <c r="H149" s="107"/>
      <c r="I149" s="118"/>
      <c r="J149" s="118"/>
      <c r="K149" s="118"/>
      <c r="L149" s="114"/>
      <c r="M149" s="118"/>
      <c r="N149" s="118"/>
      <c r="O149" s="118"/>
      <c r="P149" s="117"/>
      <c r="Q149" s="118"/>
      <c r="R149" s="120"/>
      <c r="S149" s="112"/>
      <c r="T149" s="120"/>
      <c r="U149" s="120"/>
      <c r="V149" s="120"/>
      <c r="W149" s="120"/>
      <c r="X149" s="120"/>
      <c r="Y149" s="120"/>
      <c r="Z149" s="112"/>
      <c r="AA149" s="120"/>
      <c r="AB149" s="120"/>
      <c r="AC149" s="120"/>
      <c r="AD149" s="120"/>
      <c r="AE149" s="120"/>
      <c r="AF149" s="120"/>
      <c r="AG149" s="112"/>
      <c r="AH149" s="120"/>
      <c r="AI149" s="119"/>
      <c r="AJ149" s="120"/>
      <c r="AK149" s="120"/>
      <c r="AL149" s="120"/>
      <c r="AM149" s="120"/>
      <c r="AN149" s="122"/>
      <c r="AO149" s="53"/>
      <c r="AP149" s="53"/>
    </row>
    <row r="150">
      <c r="A150" s="24" t="s">
        <v>75</v>
      </c>
      <c r="B150" s="17"/>
      <c r="C150" s="17"/>
      <c r="D150" s="18"/>
      <c r="E150" s="106">
        <v>12.0</v>
      </c>
      <c r="F150" s="106" t="s">
        <v>21</v>
      </c>
      <c r="G150" s="107">
        <v>30880.0</v>
      </c>
      <c r="H150" s="107" t="s">
        <v>22</v>
      </c>
      <c r="I150" s="114"/>
      <c r="J150" s="114"/>
      <c r="K150" s="114"/>
      <c r="L150" s="114"/>
      <c r="M150" s="114"/>
      <c r="N150" s="114"/>
      <c r="O150" s="114"/>
      <c r="P150" s="114"/>
      <c r="Q150" s="114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2"/>
      <c r="AN150" s="113">
        <f>G150+SUM(I150:AM150)-SUM(I151:AM151)</f>
        <v>23830</v>
      </c>
      <c r="AO150" s="53">
        <f>ROUNDDOWN((AN150/E150)/$H$4,1)</f>
        <v>66.1</v>
      </c>
      <c r="AP150" s="53">
        <f>$M$4+AO150</f>
        <v>960.1</v>
      </c>
    </row>
    <row r="151">
      <c r="A151" s="31"/>
      <c r="B151" s="17"/>
      <c r="C151" s="17"/>
      <c r="D151" s="17"/>
      <c r="E151" s="17"/>
      <c r="F151" s="18"/>
      <c r="G151" s="114"/>
      <c r="H151" s="107" t="s">
        <v>23</v>
      </c>
      <c r="I151" s="107">
        <v>120.0</v>
      </c>
      <c r="J151" s="107"/>
      <c r="K151" s="107">
        <f>120+270</f>
        <v>390</v>
      </c>
      <c r="L151" s="107"/>
      <c r="M151" s="107">
        <v>270.0</v>
      </c>
      <c r="N151" s="107">
        <v>270.0</v>
      </c>
      <c r="O151" s="107">
        <v>120.0</v>
      </c>
      <c r="P151" s="107">
        <f>200+270</f>
        <v>470</v>
      </c>
      <c r="Q151" s="107">
        <f>120+270</f>
        <v>390</v>
      </c>
      <c r="R151" s="125"/>
      <c r="S151" s="125"/>
      <c r="T151" s="125">
        <v>270.0</v>
      </c>
      <c r="U151" s="125">
        <f t="shared" ref="U151:V151" si="71">120+270</f>
        <v>390</v>
      </c>
      <c r="V151" s="125">
        <f t="shared" si="71"/>
        <v>390</v>
      </c>
      <c r="W151" s="125"/>
      <c r="X151" s="125"/>
      <c r="Y151" s="125">
        <v>270.0</v>
      </c>
      <c r="Z151" s="125"/>
      <c r="AA151" s="125">
        <f>120+270</f>
        <v>390</v>
      </c>
      <c r="AB151" s="125">
        <f>270+200</f>
        <v>470</v>
      </c>
      <c r="AC151" s="125">
        <f>120+270</f>
        <v>390</v>
      </c>
      <c r="AD151" s="125">
        <v>270.0</v>
      </c>
      <c r="AE151" s="112"/>
      <c r="AF151" s="125">
        <v>270.0</v>
      </c>
      <c r="AG151" s="125"/>
      <c r="AH151" s="125">
        <v>270.0</v>
      </c>
      <c r="AI151" s="125">
        <f>120+270</f>
        <v>390</v>
      </c>
      <c r="AJ151" s="125">
        <v>270.0</v>
      </c>
      <c r="AK151" s="125">
        <f>120+200+270</f>
        <v>590</v>
      </c>
      <c r="AL151" s="125">
        <v>270.0</v>
      </c>
      <c r="AM151" s="125">
        <v>120.0</v>
      </c>
      <c r="AN151" s="32"/>
    </row>
    <row r="152">
      <c r="A152" s="33"/>
      <c r="B152" s="33"/>
      <c r="C152" s="33"/>
      <c r="D152" s="33"/>
      <c r="E152" s="106"/>
      <c r="F152" s="106"/>
      <c r="G152" s="107"/>
      <c r="H152" s="107"/>
      <c r="I152" s="118"/>
      <c r="J152" s="117"/>
      <c r="K152" s="118"/>
      <c r="L152" s="114"/>
      <c r="M152" s="118"/>
      <c r="N152" s="118"/>
      <c r="O152" s="118"/>
      <c r="P152" s="118"/>
      <c r="Q152" s="118"/>
      <c r="R152" s="119"/>
      <c r="S152" s="112"/>
      <c r="T152" s="120"/>
      <c r="U152" s="120"/>
      <c r="V152" s="120"/>
      <c r="W152" s="119"/>
      <c r="X152" s="119"/>
      <c r="Y152" s="120"/>
      <c r="Z152" s="112"/>
      <c r="AA152" s="120"/>
      <c r="AB152" s="120"/>
      <c r="AC152" s="120"/>
      <c r="AD152" s="120"/>
      <c r="AE152" s="119"/>
      <c r="AF152" s="120"/>
      <c r="AG152" s="112"/>
      <c r="AH152" s="120"/>
      <c r="AI152" s="120"/>
      <c r="AJ152" s="120"/>
      <c r="AK152" s="120"/>
      <c r="AL152" s="120"/>
      <c r="AM152" s="120"/>
      <c r="AN152" s="122"/>
      <c r="AO152" s="53"/>
      <c r="AP152" s="53"/>
    </row>
    <row r="153">
      <c r="A153" s="24" t="s">
        <v>76</v>
      </c>
      <c r="B153" s="17"/>
      <c r="C153" s="17"/>
      <c r="D153" s="18"/>
      <c r="E153" s="106">
        <v>1.0</v>
      </c>
      <c r="F153" s="106" t="s">
        <v>21</v>
      </c>
      <c r="G153" s="107">
        <v>1637.0</v>
      </c>
      <c r="H153" s="107" t="s">
        <v>22</v>
      </c>
      <c r="I153" s="114"/>
      <c r="J153" s="114"/>
      <c r="K153" s="114"/>
      <c r="L153" s="114"/>
      <c r="M153" s="114"/>
      <c r="N153" s="114"/>
      <c r="O153" s="114"/>
      <c r="P153" s="114"/>
      <c r="Q153" s="114"/>
      <c r="R153" s="125"/>
      <c r="S153" s="112"/>
      <c r="T153" s="112"/>
      <c r="U153" s="112"/>
      <c r="V153" s="112"/>
      <c r="W153" s="112"/>
      <c r="X153" s="112"/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2"/>
      <c r="AN153" s="113">
        <f>G153+SUM(I153:AM153)-SUM(I154:AM154)</f>
        <v>917</v>
      </c>
      <c r="AO153" s="53">
        <f>ROUNDDOWN((AN153/E153)/$H$4,1)</f>
        <v>30.5</v>
      </c>
      <c r="AP153" s="53">
        <f>$M$4+AO153</f>
        <v>924.5</v>
      </c>
    </row>
    <row r="154">
      <c r="A154" s="31"/>
      <c r="B154" s="17"/>
      <c r="C154" s="17"/>
      <c r="D154" s="17"/>
      <c r="E154" s="17"/>
      <c r="F154" s="18"/>
      <c r="G154" s="114"/>
      <c r="H154" s="107" t="s">
        <v>23</v>
      </c>
      <c r="I154" s="107">
        <v>90.0</v>
      </c>
      <c r="J154" s="114"/>
      <c r="K154" s="107"/>
      <c r="L154" s="114"/>
      <c r="M154" s="114"/>
      <c r="N154" s="107">
        <v>90.0</v>
      </c>
      <c r="O154" s="114"/>
      <c r="P154" s="114"/>
      <c r="Q154" s="114"/>
      <c r="R154" s="125">
        <v>90.0</v>
      </c>
      <c r="S154" s="125"/>
      <c r="T154" s="125"/>
      <c r="U154" s="112"/>
      <c r="V154" s="112"/>
      <c r="W154" s="125">
        <v>90.0</v>
      </c>
      <c r="X154" s="125"/>
      <c r="Y154" s="112"/>
      <c r="Z154" s="125"/>
      <c r="AA154" s="112"/>
      <c r="AB154" s="125">
        <v>90.0</v>
      </c>
      <c r="AC154" s="112"/>
      <c r="AD154" s="125">
        <v>90.0</v>
      </c>
      <c r="AE154" s="112"/>
      <c r="AF154" s="125"/>
      <c r="AG154" s="112"/>
      <c r="AH154" s="125"/>
      <c r="AI154" s="125">
        <v>90.0</v>
      </c>
      <c r="AJ154" s="112"/>
      <c r="AK154" s="125"/>
      <c r="AL154" s="112"/>
      <c r="AM154" s="125">
        <v>90.0</v>
      </c>
      <c r="AN154" s="32"/>
    </row>
    <row r="155">
      <c r="A155" s="33"/>
      <c r="B155" s="33"/>
      <c r="C155" s="33"/>
      <c r="D155" s="33"/>
      <c r="E155" s="106"/>
      <c r="F155" s="106"/>
      <c r="G155" s="107"/>
      <c r="H155" s="107"/>
      <c r="I155" s="118"/>
      <c r="J155" s="117"/>
      <c r="K155" s="117"/>
      <c r="L155" s="114"/>
      <c r="M155" s="117"/>
      <c r="N155" s="118"/>
      <c r="O155" s="117"/>
      <c r="P155" s="117"/>
      <c r="Q155" s="117"/>
      <c r="R155" s="120"/>
      <c r="S155" s="112"/>
      <c r="T155" s="119"/>
      <c r="U155" s="119"/>
      <c r="V155" s="119"/>
      <c r="W155" s="120"/>
      <c r="X155" s="119"/>
      <c r="Y155" s="119"/>
      <c r="Z155" s="112"/>
      <c r="AA155" s="119"/>
      <c r="AB155" s="120"/>
      <c r="AC155" s="119"/>
      <c r="AD155" s="120"/>
      <c r="AE155" s="119"/>
      <c r="AF155" s="119"/>
      <c r="AG155" s="112"/>
      <c r="AH155" s="119"/>
      <c r="AI155" s="120"/>
      <c r="AJ155" s="119"/>
      <c r="AK155" s="119"/>
      <c r="AL155" s="119"/>
      <c r="AM155" s="120"/>
      <c r="AN155" s="122"/>
      <c r="AO155" s="53"/>
      <c r="AP155" s="53"/>
    </row>
    <row r="156">
      <c r="A156" s="24" t="s">
        <v>77</v>
      </c>
      <c r="B156" s="17"/>
      <c r="C156" s="17"/>
      <c r="D156" s="18"/>
      <c r="E156" s="106">
        <v>8.0</v>
      </c>
      <c r="F156" s="106" t="s">
        <v>21</v>
      </c>
      <c r="G156" s="107">
        <v>12885.0</v>
      </c>
      <c r="H156" s="107" t="s">
        <v>22</v>
      </c>
      <c r="I156" s="114"/>
      <c r="J156" s="114"/>
      <c r="K156" s="114"/>
      <c r="L156" s="114"/>
      <c r="M156" s="114"/>
      <c r="N156" s="114"/>
      <c r="O156" s="114"/>
      <c r="P156" s="114"/>
      <c r="Q156" s="114"/>
      <c r="R156" s="125"/>
      <c r="S156" s="112"/>
      <c r="T156" s="112"/>
      <c r="U156" s="112"/>
      <c r="V156" s="112"/>
      <c r="W156" s="112"/>
      <c r="X156" s="112"/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2"/>
      <c r="AN156" s="113">
        <f>G156+SUM(I156:AM156)-SUM(I157:AM157)</f>
        <v>7605</v>
      </c>
      <c r="AO156" s="53">
        <f>ROUNDDOWN((AN156/E156)/$H$4,1)</f>
        <v>31.6</v>
      </c>
      <c r="AP156" s="53">
        <f>$M$4+AO156</f>
        <v>925.6</v>
      </c>
    </row>
    <row r="157">
      <c r="A157" s="31"/>
      <c r="B157" s="17"/>
      <c r="C157" s="17"/>
      <c r="D157" s="17"/>
      <c r="E157" s="17"/>
      <c r="F157" s="18"/>
      <c r="G157" s="114"/>
      <c r="H157" s="107" t="s">
        <v>23</v>
      </c>
      <c r="I157" s="107"/>
      <c r="J157" s="107">
        <v>480.0</v>
      </c>
      <c r="K157" s="107"/>
      <c r="L157" s="114"/>
      <c r="M157" s="107"/>
      <c r="N157" s="107">
        <v>480.0</v>
      </c>
      <c r="O157" s="114"/>
      <c r="P157" s="107">
        <v>480.0</v>
      </c>
      <c r="Q157" s="114"/>
      <c r="R157" s="112"/>
      <c r="S157" s="112"/>
      <c r="T157" s="125">
        <v>480.0</v>
      </c>
      <c r="U157" s="125"/>
      <c r="V157" s="125">
        <v>480.0</v>
      </c>
      <c r="W157" s="112"/>
      <c r="X157" s="125"/>
      <c r="Y157" s="125">
        <v>480.0</v>
      </c>
      <c r="Z157" s="125"/>
      <c r="AA157" s="125"/>
      <c r="AB157" s="125">
        <v>480.0</v>
      </c>
      <c r="AC157" s="125"/>
      <c r="AD157" s="125">
        <v>480.0</v>
      </c>
      <c r="AE157" s="112"/>
      <c r="AF157" s="125"/>
      <c r="AG157" s="112"/>
      <c r="AH157" s="125">
        <v>480.0</v>
      </c>
      <c r="AI157" s="112"/>
      <c r="AJ157" s="125"/>
      <c r="AK157" s="125">
        <v>480.0</v>
      </c>
      <c r="AL157" s="125"/>
      <c r="AM157" s="125">
        <v>480.0</v>
      </c>
      <c r="AN157" s="32"/>
    </row>
    <row r="158">
      <c r="A158" s="33"/>
      <c r="B158" s="33"/>
      <c r="C158" s="33"/>
      <c r="D158" s="33"/>
      <c r="E158" s="106"/>
      <c r="F158" s="106"/>
      <c r="G158" s="107"/>
      <c r="H158" s="107"/>
      <c r="I158" s="117"/>
      <c r="J158" s="118"/>
      <c r="K158" s="117"/>
      <c r="L158" s="114"/>
      <c r="M158" s="117"/>
      <c r="N158" s="118"/>
      <c r="O158" s="117"/>
      <c r="P158" s="118"/>
      <c r="Q158" s="117"/>
      <c r="R158" s="119"/>
      <c r="S158" s="112"/>
      <c r="T158" s="120"/>
      <c r="U158" s="119"/>
      <c r="V158" s="120"/>
      <c r="W158" s="119"/>
      <c r="X158" s="119"/>
      <c r="Y158" s="120"/>
      <c r="Z158" s="112"/>
      <c r="AA158" s="119"/>
      <c r="AB158" s="120"/>
      <c r="AC158" s="119"/>
      <c r="AD158" s="120"/>
      <c r="AE158" s="119"/>
      <c r="AF158" s="119"/>
      <c r="AG158" s="112"/>
      <c r="AH158" s="120"/>
      <c r="AI158" s="119"/>
      <c r="AJ158" s="119"/>
      <c r="AK158" s="120"/>
      <c r="AL158" s="119"/>
      <c r="AM158" s="120"/>
      <c r="AN158" s="122"/>
      <c r="AO158" s="53"/>
      <c r="AP158" s="53"/>
    </row>
    <row r="159">
      <c r="A159" s="24" t="s">
        <v>78</v>
      </c>
      <c r="B159" s="17"/>
      <c r="C159" s="17"/>
      <c r="D159" s="18"/>
      <c r="E159" s="106">
        <v>6.0</v>
      </c>
      <c r="F159" s="106" t="s">
        <v>21</v>
      </c>
      <c r="G159" s="107">
        <v>12810.0</v>
      </c>
      <c r="H159" s="107" t="s">
        <v>22</v>
      </c>
      <c r="I159" s="114"/>
      <c r="J159" s="114"/>
      <c r="K159" s="114"/>
      <c r="L159" s="114"/>
      <c r="M159" s="114"/>
      <c r="N159" s="114"/>
      <c r="O159" s="114"/>
      <c r="P159" s="114"/>
      <c r="Q159" s="114"/>
      <c r="R159" s="125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2"/>
      <c r="AN159" s="113">
        <f>G159+SUM(I159:AM159)-SUM(I160:AM160)</f>
        <v>9060</v>
      </c>
      <c r="AO159" s="53">
        <f>ROUNDDOWN((AN159/E159)/$H$4,1)</f>
        <v>50.3</v>
      </c>
      <c r="AP159" s="53">
        <f>$M$3+AO159</f>
        <v>942.3</v>
      </c>
    </row>
    <row r="160">
      <c r="A160" s="31"/>
      <c r="B160" s="17"/>
      <c r="C160" s="17"/>
      <c r="D160" s="17"/>
      <c r="E160" s="17"/>
      <c r="F160" s="18"/>
      <c r="G160" s="114"/>
      <c r="H160" s="107" t="s">
        <v>23</v>
      </c>
      <c r="I160" s="107">
        <v>120.0</v>
      </c>
      <c r="J160" s="107">
        <v>120.0</v>
      </c>
      <c r="K160" s="107">
        <v>90.0</v>
      </c>
      <c r="L160" s="107"/>
      <c r="M160" s="107">
        <v>180.0</v>
      </c>
      <c r="N160" s="107">
        <v>180.0</v>
      </c>
      <c r="O160" s="107">
        <v>90.0</v>
      </c>
      <c r="P160" s="107">
        <v>90.0</v>
      </c>
      <c r="Q160" s="107">
        <v>90.0</v>
      </c>
      <c r="R160" s="125">
        <v>180.0</v>
      </c>
      <c r="S160" s="112"/>
      <c r="T160" s="125">
        <v>180.0</v>
      </c>
      <c r="U160" s="125">
        <v>90.0</v>
      </c>
      <c r="V160" s="125">
        <v>180.0</v>
      </c>
      <c r="W160" s="125">
        <v>90.0</v>
      </c>
      <c r="X160" s="125">
        <v>180.0</v>
      </c>
      <c r="Y160" s="125">
        <v>90.0</v>
      </c>
      <c r="Z160" s="125"/>
      <c r="AA160" s="125">
        <v>180.0</v>
      </c>
      <c r="AB160" s="125">
        <v>180.0</v>
      </c>
      <c r="AC160" s="125">
        <v>90.0</v>
      </c>
      <c r="AD160" s="125">
        <v>180.0</v>
      </c>
      <c r="AE160" s="125">
        <v>180.0</v>
      </c>
      <c r="AF160" s="125">
        <v>180.0</v>
      </c>
      <c r="AG160" s="125"/>
      <c r="AH160" s="125">
        <v>180.0</v>
      </c>
      <c r="AI160" s="125">
        <v>90.0</v>
      </c>
      <c r="AJ160" s="125">
        <v>90.0</v>
      </c>
      <c r="AK160" s="125">
        <v>90.0</v>
      </c>
      <c r="AL160" s="125">
        <v>180.0</v>
      </c>
      <c r="AM160" s="125">
        <v>180.0</v>
      </c>
      <c r="AN160" s="32"/>
    </row>
    <row r="161">
      <c r="A161" s="33"/>
      <c r="B161" s="33"/>
      <c r="C161" s="33"/>
      <c r="D161" s="33"/>
      <c r="E161" s="106"/>
      <c r="F161" s="106"/>
      <c r="G161" s="107"/>
      <c r="H161" s="107"/>
      <c r="I161" s="118"/>
      <c r="J161" s="118"/>
      <c r="K161" s="118"/>
      <c r="L161" s="114"/>
      <c r="M161" s="118"/>
      <c r="N161" s="118"/>
      <c r="O161" s="118"/>
      <c r="P161" s="118"/>
      <c r="Q161" s="118"/>
      <c r="R161" s="120"/>
      <c r="S161" s="112"/>
      <c r="T161" s="120"/>
      <c r="U161" s="120"/>
      <c r="V161" s="120"/>
      <c r="W161" s="120"/>
      <c r="X161" s="120"/>
      <c r="Y161" s="120"/>
      <c r="Z161" s="112"/>
      <c r="AA161" s="120"/>
      <c r="AB161" s="120"/>
      <c r="AC161" s="120"/>
      <c r="AD161" s="120"/>
      <c r="AE161" s="120"/>
      <c r="AF161" s="120"/>
      <c r="AG161" s="112"/>
      <c r="AH161" s="120"/>
      <c r="AI161" s="127"/>
      <c r="AJ161" s="120"/>
      <c r="AK161" s="120"/>
      <c r="AL161" s="120"/>
      <c r="AM161" s="120"/>
      <c r="AN161" s="122"/>
      <c r="AO161" s="53"/>
      <c r="AP161" s="53"/>
    </row>
    <row r="162">
      <c r="A162" s="24" t="s">
        <v>79</v>
      </c>
      <c r="B162" s="17"/>
      <c r="C162" s="17"/>
      <c r="D162" s="18"/>
      <c r="E162" s="106">
        <v>12.0</v>
      </c>
      <c r="F162" s="106" t="s">
        <v>21</v>
      </c>
      <c r="G162" s="107">
        <v>17373.0</v>
      </c>
      <c r="H162" s="107" t="s">
        <v>22</v>
      </c>
      <c r="I162" s="114"/>
      <c r="J162" s="114"/>
      <c r="K162" s="114"/>
      <c r="L162" s="114"/>
      <c r="M162" s="114"/>
      <c r="N162" s="114"/>
      <c r="O162" s="114"/>
      <c r="P162" s="114"/>
      <c r="Q162" s="114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25"/>
      <c r="AJ162" s="125"/>
      <c r="AK162" s="125"/>
      <c r="AL162" s="112"/>
      <c r="AM162" s="112"/>
      <c r="AN162" s="113">
        <f>G162+SUM(I162:AM162)-SUM(I163:AM163)</f>
        <v>9993</v>
      </c>
      <c r="AO162" s="53">
        <f>ROUNDDOWN((AN162/E162)/$H$4,1)</f>
        <v>27.7</v>
      </c>
      <c r="AP162" s="53">
        <f>M5+AO162</f>
        <v>919.7</v>
      </c>
    </row>
    <row r="163">
      <c r="A163" s="31"/>
      <c r="B163" s="17"/>
      <c r="C163" s="17"/>
      <c r="D163" s="17"/>
      <c r="E163" s="17"/>
      <c r="F163" s="18"/>
      <c r="G163" s="114"/>
      <c r="H163" s="107" t="s">
        <v>23</v>
      </c>
      <c r="I163" s="107">
        <v>360.0</v>
      </c>
      <c r="J163" s="107">
        <v>180.0</v>
      </c>
      <c r="K163" s="107">
        <v>360.0</v>
      </c>
      <c r="L163" s="107"/>
      <c r="M163" s="107">
        <v>180.0</v>
      </c>
      <c r="N163" s="107">
        <v>360.0</v>
      </c>
      <c r="O163" s="107">
        <v>180.0</v>
      </c>
      <c r="P163" s="107">
        <v>180.0</v>
      </c>
      <c r="Q163" s="107">
        <v>180.0</v>
      </c>
      <c r="R163" s="125">
        <v>360.0</v>
      </c>
      <c r="S163" s="125"/>
      <c r="T163" s="125">
        <f>30*12</f>
        <v>360</v>
      </c>
      <c r="U163" s="125">
        <v>180.0</v>
      </c>
      <c r="V163" s="125">
        <v>360.0</v>
      </c>
      <c r="W163" s="125">
        <v>360.0</v>
      </c>
      <c r="X163" s="125"/>
      <c r="Y163" s="125">
        <v>360.0</v>
      </c>
      <c r="Z163" s="125"/>
      <c r="AA163" s="125">
        <v>360.0</v>
      </c>
      <c r="AB163" s="125">
        <v>360.0</v>
      </c>
      <c r="AC163" s="125">
        <v>360.0</v>
      </c>
      <c r="AD163" s="125">
        <v>360.0</v>
      </c>
      <c r="AE163" s="125">
        <v>360.0</v>
      </c>
      <c r="AF163" s="125"/>
      <c r="AG163" s="125"/>
      <c r="AH163" s="125">
        <v>360.0</v>
      </c>
      <c r="AI163" s="125">
        <v>360.0</v>
      </c>
      <c r="AJ163" s="125">
        <v>180.0</v>
      </c>
      <c r="AK163" s="125">
        <v>180.0</v>
      </c>
      <c r="AL163" s="125">
        <v>180.0</v>
      </c>
      <c r="AM163" s="125">
        <v>360.0</v>
      </c>
      <c r="AN163" s="32"/>
    </row>
    <row r="164">
      <c r="A164" s="33"/>
      <c r="B164" s="33"/>
      <c r="C164" s="33"/>
      <c r="D164" s="33"/>
      <c r="E164" s="106"/>
      <c r="F164" s="106"/>
      <c r="G164" s="107"/>
      <c r="H164" s="107"/>
      <c r="I164" s="118"/>
      <c r="J164" s="118"/>
      <c r="K164" s="118"/>
      <c r="L164" s="114"/>
      <c r="M164" s="118"/>
      <c r="N164" s="118"/>
      <c r="O164" s="118"/>
      <c r="P164" s="118"/>
      <c r="Q164" s="118"/>
      <c r="R164" s="120"/>
      <c r="S164" s="112"/>
      <c r="T164" s="120"/>
      <c r="U164" s="120"/>
      <c r="V164" s="120"/>
      <c r="W164" s="120"/>
      <c r="X164" s="119"/>
      <c r="Y164" s="120"/>
      <c r="Z164" s="112"/>
      <c r="AA164" s="120"/>
      <c r="AB164" s="120"/>
      <c r="AC164" s="120"/>
      <c r="AD164" s="120"/>
      <c r="AE164" s="120"/>
      <c r="AF164" s="119"/>
      <c r="AG164" s="112"/>
      <c r="AH164" s="120"/>
      <c r="AI164" s="127"/>
      <c r="AJ164" s="120"/>
      <c r="AK164" s="120"/>
      <c r="AL164" s="120"/>
      <c r="AM164" s="120"/>
      <c r="AN164" s="122"/>
      <c r="AO164" s="53"/>
      <c r="AP164" s="53"/>
    </row>
    <row r="165">
      <c r="A165" s="24" t="s">
        <v>80</v>
      </c>
      <c r="B165" s="17"/>
      <c r="C165" s="17"/>
      <c r="D165" s="18"/>
      <c r="E165" s="106">
        <v>6.0</v>
      </c>
      <c r="F165" s="106" t="s">
        <v>21</v>
      </c>
      <c r="G165" s="107">
        <v>16661.0</v>
      </c>
      <c r="H165" s="107" t="s">
        <v>22</v>
      </c>
      <c r="I165" s="114"/>
      <c r="J165" s="114"/>
      <c r="K165" s="114"/>
      <c r="L165" s="114"/>
      <c r="M165" s="114"/>
      <c r="N165" s="114"/>
      <c r="O165" s="114"/>
      <c r="P165" s="114"/>
      <c r="Q165" s="114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25"/>
      <c r="AJ165" s="125"/>
      <c r="AK165" s="125"/>
      <c r="AL165" s="112"/>
      <c r="AM165" s="112"/>
      <c r="AN165" s="113">
        <f>G165+SUM(I165:AM165)-SUM(I166:AM166)</f>
        <v>12944</v>
      </c>
      <c r="AO165" s="53">
        <f>ROUNDDOWN((AN165/E165)/$H$4,1)</f>
        <v>71.9</v>
      </c>
      <c r="AP165" s="53">
        <f>$M$3+AO165</f>
        <v>963.9</v>
      </c>
    </row>
    <row r="166">
      <c r="A166" s="31"/>
      <c r="B166" s="17"/>
      <c r="C166" s="17"/>
      <c r="D166" s="17"/>
      <c r="E166" s="17"/>
      <c r="F166" s="18"/>
      <c r="G166" s="114"/>
      <c r="H166" s="107" t="s">
        <v>23</v>
      </c>
      <c r="I166" s="107">
        <f>90+90</f>
        <v>180</v>
      </c>
      <c r="J166" s="107">
        <v>90.0</v>
      </c>
      <c r="K166" s="107">
        <v>90.0</v>
      </c>
      <c r="L166" s="107"/>
      <c r="M166" s="107">
        <f t="shared" ref="M166:N166" si="72">90+90</f>
        <v>180</v>
      </c>
      <c r="N166" s="107">
        <f t="shared" si="72"/>
        <v>180</v>
      </c>
      <c r="O166" s="107">
        <v>90.0</v>
      </c>
      <c r="P166" s="114"/>
      <c r="Q166" s="114">
        <f t="shared" ref="Q166:R166" si="73">90+90</f>
        <v>180</v>
      </c>
      <c r="R166" s="112">
        <f t="shared" si="73"/>
        <v>180</v>
      </c>
      <c r="S166" s="112"/>
      <c r="T166" s="125">
        <v>90.0</v>
      </c>
      <c r="U166" s="125">
        <f>90+90</f>
        <v>180</v>
      </c>
      <c r="V166" s="125">
        <v>90.0</v>
      </c>
      <c r="W166" s="125">
        <f>90+96</f>
        <v>186</v>
      </c>
      <c r="X166" s="125">
        <f>90+90</f>
        <v>180</v>
      </c>
      <c r="Y166" s="125">
        <v>90.0</v>
      </c>
      <c r="Z166" s="125"/>
      <c r="AA166" s="125">
        <v>90.0</v>
      </c>
      <c r="AB166" s="125">
        <f>90+90</f>
        <v>180</v>
      </c>
      <c r="AC166" s="125">
        <f>90+90+6</f>
        <v>186</v>
      </c>
      <c r="AD166" s="112">
        <f>90+90+3</f>
        <v>183</v>
      </c>
      <c r="AE166" s="112">
        <f t="shared" ref="AE166:AF166" si="74">90+90</f>
        <v>180</v>
      </c>
      <c r="AF166" s="125">
        <f t="shared" si="74"/>
        <v>180</v>
      </c>
      <c r="AG166" s="112"/>
      <c r="AH166" s="125">
        <v>180.0</v>
      </c>
      <c r="AI166" s="125"/>
      <c r="AJ166" s="112">
        <f>102+90</f>
        <v>192</v>
      </c>
      <c r="AK166" s="125">
        <v>90.0</v>
      </c>
      <c r="AL166" s="125">
        <v>90.0</v>
      </c>
      <c r="AM166" s="125">
        <f>90+90</f>
        <v>180</v>
      </c>
      <c r="AN166" s="32"/>
    </row>
    <row r="167">
      <c r="A167" s="33"/>
      <c r="B167" s="33"/>
      <c r="C167" s="33"/>
      <c r="D167" s="33"/>
      <c r="E167" s="106"/>
      <c r="F167" s="106"/>
      <c r="G167" s="107"/>
      <c r="H167" s="107"/>
      <c r="I167" s="118"/>
      <c r="J167" s="118"/>
      <c r="K167" s="118"/>
      <c r="L167" s="114"/>
      <c r="M167" s="118"/>
      <c r="N167" s="118"/>
      <c r="O167" s="118"/>
      <c r="P167" s="117"/>
      <c r="Q167" s="118"/>
      <c r="R167" s="120"/>
      <c r="S167" s="112"/>
      <c r="T167" s="120"/>
      <c r="U167" s="120"/>
      <c r="V167" s="120"/>
      <c r="W167" s="120"/>
      <c r="X167" s="120"/>
      <c r="Y167" s="120"/>
      <c r="Z167" s="112"/>
      <c r="AA167" s="120"/>
      <c r="AB167" s="120"/>
      <c r="AC167" s="120"/>
      <c r="AD167" s="120"/>
      <c r="AE167" s="120"/>
      <c r="AF167" s="120"/>
      <c r="AG167" s="112"/>
      <c r="AH167" s="120"/>
      <c r="AI167" s="121"/>
      <c r="AJ167" s="120"/>
      <c r="AK167" s="120"/>
      <c r="AL167" s="120"/>
      <c r="AM167" s="120"/>
      <c r="AN167" s="122"/>
      <c r="AO167" s="53"/>
      <c r="AP167" s="53"/>
    </row>
    <row r="168">
      <c r="A168" s="24" t="s">
        <v>81</v>
      </c>
      <c r="B168" s="17"/>
      <c r="C168" s="17"/>
      <c r="D168" s="18"/>
      <c r="E168" s="106">
        <v>6.0</v>
      </c>
      <c r="F168" s="106" t="s">
        <v>21</v>
      </c>
      <c r="G168" s="107">
        <v>9306.0</v>
      </c>
      <c r="H168" s="107" t="s">
        <v>22</v>
      </c>
      <c r="I168" s="114"/>
      <c r="J168" s="114"/>
      <c r="K168" s="114"/>
      <c r="L168" s="114"/>
      <c r="M168" s="114"/>
      <c r="N168" s="114"/>
      <c r="O168" s="114"/>
      <c r="P168" s="114"/>
      <c r="Q168" s="114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25"/>
      <c r="AJ168" s="112"/>
      <c r="AK168" s="125"/>
      <c r="AL168" s="112"/>
      <c r="AM168" s="112"/>
      <c r="AN168" s="113">
        <f>G168+SUM(I168:AM168)-SUM(I169:AM169)</f>
        <v>5616</v>
      </c>
      <c r="AO168" s="53">
        <f>ROUNDDOWN((AN168/E168)/$H$4,1)</f>
        <v>31.2</v>
      </c>
      <c r="AP168" s="53">
        <f>$M$5+AO168</f>
        <v>923.2</v>
      </c>
    </row>
    <row r="169">
      <c r="A169" s="31"/>
      <c r="B169" s="17"/>
      <c r="C169" s="17"/>
      <c r="D169" s="17"/>
      <c r="E169" s="17"/>
      <c r="F169" s="18"/>
      <c r="G169" s="114"/>
      <c r="H169" s="107" t="s">
        <v>23</v>
      </c>
      <c r="I169" s="107">
        <v>180.0</v>
      </c>
      <c r="J169" s="107">
        <v>90.0</v>
      </c>
      <c r="K169" s="107">
        <v>180.0</v>
      </c>
      <c r="L169" s="107"/>
      <c r="M169" s="107">
        <v>90.0</v>
      </c>
      <c r="N169" s="107">
        <v>180.0</v>
      </c>
      <c r="O169" s="107">
        <v>90.0</v>
      </c>
      <c r="P169" s="107">
        <v>90.0</v>
      </c>
      <c r="Q169" s="107">
        <v>90.0</v>
      </c>
      <c r="R169" s="125">
        <v>180.0</v>
      </c>
      <c r="S169" s="125"/>
      <c r="T169" s="125">
        <v>180.0</v>
      </c>
      <c r="U169" s="125">
        <v>90.0</v>
      </c>
      <c r="V169" s="125">
        <v>180.0</v>
      </c>
      <c r="W169" s="125">
        <v>180.0</v>
      </c>
      <c r="X169" s="125"/>
      <c r="Y169" s="125">
        <v>180.0</v>
      </c>
      <c r="Z169" s="125"/>
      <c r="AA169" s="125">
        <v>180.0</v>
      </c>
      <c r="AB169" s="125">
        <v>180.0</v>
      </c>
      <c r="AC169" s="125">
        <v>180.0</v>
      </c>
      <c r="AD169" s="125">
        <v>180.0</v>
      </c>
      <c r="AE169" s="125">
        <v>180.0</v>
      </c>
      <c r="AF169" s="125"/>
      <c r="AG169" s="125"/>
      <c r="AH169" s="125">
        <v>180.0</v>
      </c>
      <c r="AI169" s="125">
        <v>180.0</v>
      </c>
      <c r="AJ169" s="125">
        <v>90.0</v>
      </c>
      <c r="AK169" s="125">
        <v>90.0</v>
      </c>
      <c r="AL169" s="125">
        <v>90.0</v>
      </c>
      <c r="AM169" s="125">
        <v>180.0</v>
      </c>
      <c r="AN169" s="32"/>
    </row>
    <row r="170">
      <c r="A170" s="33"/>
      <c r="B170" s="33"/>
      <c r="C170" s="33"/>
      <c r="D170" s="33"/>
      <c r="E170" s="106"/>
      <c r="F170" s="106"/>
      <c r="G170" s="107"/>
      <c r="H170" s="107"/>
      <c r="I170" s="118"/>
      <c r="J170" s="118"/>
      <c r="K170" s="118"/>
      <c r="L170" s="114"/>
      <c r="M170" s="118"/>
      <c r="N170" s="118"/>
      <c r="O170" s="118"/>
      <c r="P170" s="118"/>
      <c r="Q170" s="118"/>
      <c r="R170" s="120"/>
      <c r="S170" s="112"/>
      <c r="T170" s="120"/>
      <c r="U170" s="120"/>
      <c r="V170" s="120"/>
      <c r="W170" s="120"/>
      <c r="X170" s="119"/>
      <c r="Y170" s="120"/>
      <c r="Z170" s="112"/>
      <c r="AA170" s="120"/>
      <c r="AB170" s="120"/>
      <c r="AC170" s="120"/>
      <c r="AD170" s="120"/>
      <c r="AE170" s="120"/>
      <c r="AF170" s="119"/>
      <c r="AG170" s="112"/>
      <c r="AH170" s="120"/>
      <c r="AI170" s="127"/>
      <c r="AJ170" s="120"/>
      <c r="AK170" s="120"/>
      <c r="AL170" s="120"/>
      <c r="AM170" s="120"/>
      <c r="AN170" s="122"/>
      <c r="AO170" s="53"/>
      <c r="AP170" s="53"/>
    </row>
    <row r="171">
      <c r="A171" s="24" t="s">
        <v>82</v>
      </c>
      <c r="B171" s="17"/>
      <c r="C171" s="17"/>
      <c r="D171" s="18"/>
      <c r="E171" s="106">
        <v>2.0</v>
      </c>
      <c r="F171" s="106" t="s">
        <v>21</v>
      </c>
      <c r="G171" s="107">
        <v>3889.0</v>
      </c>
      <c r="H171" s="107" t="s">
        <v>22</v>
      </c>
      <c r="I171" s="114"/>
      <c r="J171" s="114"/>
      <c r="K171" s="114"/>
      <c r="L171" s="114"/>
      <c r="M171" s="114"/>
      <c r="N171" s="114"/>
      <c r="O171" s="107"/>
      <c r="P171" s="114"/>
      <c r="Q171" s="114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25"/>
      <c r="AJ171" s="112"/>
      <c r="AK171" s="112"/>
      <c r="AL171" s="112"/>
      <c r="AM171" s="112"/>
      <c r="AN171" s="113">
        <f>G171+SUM(I171:AM171)-SUM(I172:AM172)</f>
        <v>2645</v>
      </c>
      <c r="AO171" s="53">
        <f>ROUNDDOWN((AN171/E171)/$H$4,1)</f>
        <v>44</v>
      </c>
      <c r="AP171" s="53">
        <f>$M$3+AO171</f>
        <v>936</v>
      </c>
    </row>
    <row r="172">
      <c r="A172" s="31"/>
      <c r="B172" s="17"/>
      <c r="C172" s="17"/>
      <c r="D172" s="17"/>
      <c r="E172" s="17"/>
      <c r="F172" s="18"/>
      <c r="G172" s="114"/>
      <c r="H172" s="107" t="s">
        <v>23</v>
      </c>
      <c r="I172" s="107">
        <v>36.0</v>
      </c>
      <c r="J172" s="107">
        <v>46.0</v>
      </c>
      <c r="K172" s="107">
        <v>40.0</v>
      </c>
      <c r="L172" s="107"/>
      <c r="M172" s="107">
        <v>44.0</v>
      </c>
      <c r="N172" s="107">
        <f>44+60</f>
        <v>104</v>
      </c>
      <c r="O172" s="107">
        <v>30.0</v>
      </c>
      <c r="P172" s="107">
        <v>30.0</v>
      </c>
      <c r="Q172" s="114">
        <f>30+10</f>
        <v>40</v>
      </c>
      <c r="R172" s="125">
        <f>30+22</f>
        <v>52</v>
      </c>
      <c r="S172" s="125"/>
      <c r="T172" s="125">
        <f>30+18</f>
        <v>48</v>
      </c>
      <c r="U172" s="112">
        <f>30+22</f>
        <v>52</v>
      </c>
      <c r="V172" s="112">
        <f>30+18</f>
        <v>48</v>
      </c>
      <c r="W172" s="125">
        <f t="shared" ref="W172:X172" si="75">30+20</f>
        <v>50</v>
      </c>
      <c r="X172" s="125">
        <f t="shared" si="75"/>
        <v>50</v>
      </c>
      <c r="Y172" s="125">
        <f>30+8</f>
        <v>38</v>
      </c>
      <c r="Z172" s="125"/>
      <c r="AA172" s="112">
        <f>30+10</f>
        <v>40</v>
      </c>
      <c r="AB172" s="125">
        <f>30+20</f>
        <v>50</v>
      </c>
      <c r="AC172" s="112">
        <f t="shared" ref="AC172:AF172" si="76">30+30</f>
        <v>60</v>
      </c>
      <c r="AD172" s="112">
        <f t="shared" si="76"/>
        <v>60</v>
      </c>
      <c r="AE172" s="125">
        <f t="shared" si="76"/>
        <v>60</v>
      </c>
      <c r="AF172" s="125">
        <f t="shared" si="76"/>
        <v>60</v>
      </c>
      <c r="AG172" s="125"/>
      <c r="AH172" s="125">
        <f t="shared" ref="AH172:AI172" si="77">30+10</f>
        <v>40</v>
      </c>
      <c r="AI172" s="112">
        <f t="shared" si="77"/>
        <v>40</v>
      </c>
      <c r="AJ172" s="125">
        <v>30.0</v>
      </c>
      <c r="AK172" s="125">
        <f>30+6</f>
        <v>36</v>
      </c>
      <c r="AL172" s="125">
        <f>30+30</f>
        <v>60</v>
      </c>
      <c r="AM172" s="125"/>
      <c r="AN172" s="32"/>
    </row>
    <row r="173">
      <c r="A173" s="33"/>
      <c r="B173" s="33"/>
      <c r="C173" s="33"/>
      <c r="D173" s="33"/>
      <c r="E173" s="106"/>
      <c r="F173" s="106"/>
      <c r="G173" s="126"/>
      <c r="H173" s="107"/>
      <c r="I173" s="118"/>
      <c r="J173" s="118"/>
      <c r="K173" s="118"/>
      <c r="L173" s="114"/>
      <c r="M173" s="118"/>
      <c r="N173" s="118"/>
      <c r="O173" s="118"/>
      <c r="P173" s="118"/>
      <c r="Q173" s="118"/>
      <c r="R173" s="120"/>
      <c r="S173" s="112"/>
      <c r="T173" s="120"/>
      <c r="U173" s="120"/>
      <c r="V173" s="120"/>
      <c r="W173" s="120"/>
      <c r="X173" s="120"/>
      <c r="Y173" s="120"/>
      <c r="Z173" s="112"/>
      <c r="AA173" s="120"/>
      <c r="AB173" s="120"/>
      <c r="AC173" s="120"/>
      <c r="AD173" s="120"/>
      <c r="AE173" s="120"/>
      <c r="AF173" s="120"/>
      <c r="AG173" s="112"/>
      <c r="AH173" s="120"/>
      <c r="AI173" s="120"/>
      <c r="AJ173" s="120"/>
      <c r="AK173" s="120"/>
      <c r="AL173" s="120"/>
      <c r="AM173" s="119"/>
      <c r="AN173" s="122"/>
      <c r="AO173" s="53"/>
      <c r="AP173" s="53"/>
    </row>
    <row r="174">
      <c r="A174" s="24" t="s">
        <v>83</v>
      </c>
      <c r="B174" s="17"/>
      <c r="C174" s="17"/>
      <c r="D174" s="18"/>
      <c r="E174" s="106">
        <v>12.0</v>
      </c>
      <c r="F174" s="106" t="s">
        <v>21</v>
      </c>
      <c r="G174" s="126">
        <v>8441.0</v>
      </c>
      <c r="H174" s="107" t="s">
        <v>22</v>
      </c>
      <c r="I174" s="114"/>
      <c r="J174" s="114"/>
      <c r="K174" s="114"/>
      <c r="L174" s="114"/>
      <c r="M174" s="107"/>
      <c r="N174" s="114"/>
      <c r="O174" s="114"/>
      <c r="P174" s="114"/>
      <c r="Q174" s="114"/>
      <c r="R174" s="125"/>
      <c r="S174" s="112"/>
      <c r="T174" s="125"/>
      <c r="U174" s="112"/>
      <c r="V174" s="112"/>
      <c r="W174" s="125"/>
      <c r="X174" s="112"/>
      <c r="Y174" s="112"/>
      <c r="Z174" s="112"/>
      <c r="AA174" s="125">
        <v>2160.0</v>
      </c>
      <c r="AB174" s="112"/>
      <c r="AC174" s="125">
        <v>2160.0</v>
      </c>
      <c r="AD174" s="125"/>
      <c r="AE174" s="112"/>
      <c r="AF174" s="112"/>
      <c r="AG174" s="125"/>
      <c r="AH174" s="112"/>
      <c r="AI174" s="125">
        <v>2160.0</v>
      </c>
      <c r="AJ174" s="112"/>
      <c r="AK174" s="125"/>
      <c r="AL174" s="125">
        <v>2160.0</v>
      </c>
      <c r="AM174" s="112"/>
      <c r="AN174" s="113">
        <f>G174+SUM(I174:AM174)-SUM(I175:AM175)</f>
        <v>9701</v>
      </c>
      <c r="AO174" s="53">
        <f>ROUNDDOWN((AN174/E174)/$H$4,1)</f>
        <v>26.9</v>
      </c>
      <c r="AP174" s="53">
        <f>$M$5+AO174</f>
        <v>918.9</v>
      </c>
    </row>
    <row r="175">
      <c r="A175" s="31"/>
      <c r="B175" s="17"/>
      <c r="C175" s="17"/>
      <c r="D175" s="17"/>
      <c r="E175" s="17"/>
      <c r="F175" s="18"/>
      <c r="G175" s="114"/>
      <c r="H175" s="107" t="s">
        <v>23</v>
      </c>
      <c r="I175" s="107">
        <v>360.0</v>
      </c>
      <c r="J175" s="107">
        <v>180.0</v>
      </c>
      <c r="K175" s="107">
        <v>360.0</v>
      </c>
      <c r="L175" s="107"/>
      <c r="M175" s="107">
        <v>180.0</v>
      </c>
      <c r="N175" s="107">
        <v>360.0</v>
      </c>
      <c r="O175" s="107">
        <v>180.0</v>
      </c>
      <c r="P175" s="107">
        <v>180.0</v>
      </c>
      <c r="Q175" s="107">
        <v>180.0</v>
      </c>
      <c r="R175" s="125">
        <v>360.0</v>
      </c>
      <c r="S175" s="125"/>
      <c r="T175" s="125">
        <v>360.0</v>
      </c>
      <c r="U175" s="125">
        <v>180.0</v>
      </c>
      <c r="V175" s="125">
        <v>360.0</v>
      </c>
      <c r="W175" s="125">
        <v>360.0</v>
      </c>
      <c r="X175" s="125"/>
      <c r="Y175" s="125">
        <v>360.0</v>
      </c>
      <c r="Z175" s="125"/>
      <c r="AA175" s="125">
        <v>360.0</v>
      </c>
      <c r="AB175" s="125">
        <v>360.0</v>
      </c>
      <c r="AC175" s="125">
        <v>360.0</v>
      </c>
      <c r="AD175" s="125">
        <v>360.0</v>
      </c>
      <c r="AE175" s="125">
        <v>360.0</v>
      </c>
      <c r="AF175" s="125"/>
      <c r="AG175" s="125"/>
      <c r="AH175" s="125">
        <v>360.0</v>
      </c>
      <c r="AI175" s="125">
        <v>360.0</v>
      </c>
      <c r="AJ175" s="125">
        <v>180.0</v>
      </c>
      <c r="AK175" s="125">
        <v>180.0</v>
      </c>
      <c r="AL175" s="125">
        <v>180.0</v>
      </c>
      <c r="AM175" s="125">
        <v>360.0</v>
      </c>
      <c r="AN175" s="32"/>
    </row>
    <row r="176">
      <c r="A176" s="33"/>
      <c r="B176" s="33"/>
      <c r="C176" s="33"/>
      <c r="D176" s="33"/>
      <c r="E176" s="106"/>
      <c r="F176" s="106"/>
      <c r="G176" s="107"/>
      <c r="H176" s="107"/>
      <c r="I176" s="118"/>
      <c r="J176" s="118"/>
      <c r="K176" s="118"/>
      <c r="L176" s="114"/>
      <c r="M176" s="118"/>
      <c r="N176" s="118"/>
      <c r="O176" s="118"/>
      <c r="P176" s="118"/>
      <c r="Q176" s="118"/>
      <c r="R176" s="120"/>
      <c r="S176" s="112"/>
      <c r="T176" s="120"/>
      <c r="U176" s="120"/>
      <c r="V176" s="120"/>
      <c r="W176" s="120"/>
      <c r="X176" s="119"/>
      <c r="Y176" s="120"/>
      <c r="Z176" s="112"/>
      <c r="AA176" s="120"/>
      <c r="AB176" s="120"/>
      <c r="AC176" s="120"/>
      <c r="AD176" s="120"/>
      <c r="AE176" s="120"/>
      <c r="AF176" s="119"/>
      <c r="AG176" s="112"/>
      <c r="AH176" s="120"/>
      <c r="AI176" s="127"/>
      <c r="AJ176" s="120"/>
      <c r="AK176" s="120"/>
      <c r="AL176" s="120"/>
      <c r="AM176" s="120"/>
      <c r="AN176" s="122"/>
      <c r="AO176" s="53"/>
      <c r="AP176" s="53"/>
    </row>
    <row r="177">
      <c r="A177" s="24" t="s">
        <v>84</v>
      </c>
      <c r="B177" s="17"/>
      <c r="C177" s="17"/>
      <c r="D177" s="18"/>
      <c r="E177" s="106">
        <v>2.0</v>
      </c>
      <c r="F177" s="106" t="s">
        <v>21</v>
      </c>
      <c r="G177" s="107">
        <v>2832.0</v>
      </c>
      <c r="H177" s="107" t="s">
        <v>22</v>
      </c>
      <c r="I177" s="114"/>
      <c r="J177" s="114"/>
      <c r="K177" s="114"/>
      <c r="L177" s="114"/>
      <c r="M177" s="114"/>
      <c r="N177" s="114"/>
      <c r="O177" s="114"/>
      <c r="P177" s="114"/>
      <c r="Q177" s="114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25"/>
      <c r="AJ177" s="112"/>
      <c r="AK177" s="125"/>
      <c r="AL177" s="112"/>
      <c r="AM177" s="112"/>
      <c r="AN177" s="113">
        <f>G177+SUM(I177:AM177)-SUM(I178:AM178)</f>
        <v>1662</v>
      </c>
      <c r="AO177" s="53">
        <f>ROUNDDOWN((AN177/E177)/$H$4,1)</f>
        <v>27.7</v>
      </c>
      <c r="AP177" s="53">
        <f>$M$3+AO177</f>
        <v>919.7</v>
      </c>
    </row>
    <row r="178">
      <c r="A178" s="31"/>
      <c r="B178" s="17"/>
      <c r="C178" s="17"/>
      <c r="D178" s="17"/>
      <c r="E178" s="17"/>
      <c r="F178" s="18"/>
      <c r="G178" s="114"/>
      <c r="H178" s="107" t="s">
        <v>23</v>
      </c>
      <c r="I178" s="107">
        <v>60.0</v>
      </c>
      <c r="J178" s="107">
        <v>30.0</v>
      </c>
      <c r="K178" s="107">
        <v>60.0</v>
      </c>
      <c r="L178" s="107"/>
      <c r="M178" s="107">
        <v>30.0</v>
      </c>
      <c r="N178" s="107">
        <v>60.0</v>
      </c>
      <c r="O178" s="107">
        <v>30.0</v>
      </c>
      <c r="P178" s="107">
        <v>30.0</v>
      </c>
      <c r="Q178" s="107">
        <v>30.0</v>
      </c>
      <c r="R178" s="125">
        <v>60.0</v>
      </c>
      <c r="S178" s="125"/>
      <c r="T178" s="125">
        <v>60.0</v>
      </c>
      <c r="U178" s="125">
        <v>30.0</v>
      </c>
      <c r="V178" s="112"/>
      <c r="W178" s="125">
        <v>60.0</v>
      </c>
      <c r="X178" s="125"/>
      <c r="Y178" s="125">
        <v>60.0</v>
      </c>
      <c r="Z178" s="125"/>
      <c r="AA178" s="125">
        <v>60.0</v>
      </c>
      <c r="AB178" s="125">
        <v>60.0</v>
      </c>
      <c r="AC178" s="125">
        <v>60.0</v>
      </c>
      <c r="AD178" s="125">
        <v>60.0</v>
      </c>
      <c r="AE178" s="125">
        <v>60.0</v>
      </c>
      <c r="AF178" s="125"/>
      <c r="AG178" s="125"/>
      <c r="AH178" s="125">
        <v>60.0</v>
      </c>
      <c r="AI178" s="125">
        <v>60.0</v>
      </c>
      <c r="AJ178" s="125">
        <v>30.0</v>
      </c>
      <c r="AK178" s="125">
        <v>30.0</v>
      </c>
      <c r="AL178" s="125">
        <v>30.0</v>
      </c>
      <c r="AM178" s="125">
        <v>60.0</v>
      </c>
      <c r="AN178" s="32"/>
    </row>
    <row r="179">
      <c r="A179" s="33"/>
      <c r="B179" s="33"/>
      <c r="C179" s="33"/>
      <c r="D179" s="33"/>
      <c r="E179" s="106"/>
      <c r="F179" s="106"/>
      <c r="G179" s="107"/>
      <c r="H179" s="107"/>
      <c r="I179" s="118"/>
      <c r="J179" s="118"/>
      <c r="K179" s="118"/>
      <c r="L179" s="114"/>
      <c r="M179" s="118"/>
      <c r="N179" s="118"/>
      <c r="O179" s="118"/>
      <c r="P179" s="118"/>
      <c r="Q179" s="118"/>
      <c r="R179" s="120"/>
      <c r="S179" s="112"/>
      <c r="T179" s="120"/>
      <c r="U179" s="120"/>
      <c r="V179" s="119"/>
      <c r="W179" s="120"/>
      <c r="X179" s="119"/>
      <c r="Y179" s="120"/>
      <c r="Z179" s="112"/>
      <c r="AA179" s="120"/>
      <c r="AB179" s="120"/>
      <c r="AC179" s="120"/>
      <c r="AD179" s="120"/>
      <c r="AE179" s="120"/>
      <c r="AF179" s="119"/>
      <c r="AG179" s="112"/>
      <c r="AH179" s="120"/>
      <c r="AI179" s="127"/>
      <c r="AJ179" s="120"/>
      <c r="AK179" s="120"/>
      <c r="AL179" s="120"/>
      <c r="AM179" s="120"/>
      <c r="AN179" s="122"/>
      <c r="AO179" s="53"/>
      <c r="AP179" s="53"/>
    </row>
    <row r="180">
      <c r="A180" s="24" t="s">
        <v>85</v>
      </c>
      <c r="B180" s="17"/>
      <c r="C180" s="17"/>
      <c r="D180" s="18"/>
      <c r="E180" s="106">
        <v>6.0</v>
      </c>
      <c r="F180" s="106" t="s">
        <v>21</v>
      </c>
      <c r="G180" s="107">
        <v>8690.0</v>
      </c>
      <c r="H180" s="107" t="s">
        <v>22</v>
      </c>
      <c r="I180" s="107"/>
      <c r="J180" s="114"/>
      <c r="K180" s="114"/>
      <c r="L180" s="114"/>
      <c r="M180" s="114"/>
      <c r="N180" s="114"/>
      <c r="O180" s="114"/>
      <c r="P180" s="114"/>
      <c r="Q180" s="114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25"/>
      <c r="AJ180" s="112"/>
      <c r="AK180" s="125"/>
      <c r="AL180" s="112"/>
      <c r="AM180" s="112"/>
      <c r="AN180" s="113">
        <f>G180+SUM(I180:AM180)-SUM(I181:AM181)</f>
        <v>5168</v>
      </c>
      <c r="AO180" s="53">
        <f>ROUNDDOWN((AN180/E180)/$H$4,1)</f>
        <v>28.7</v>
      </c>
      <c r="AP180" s="53">
        <f>$M$3+AO180</f>
        <v>920.7</v>
      </c>
    </row>
    <row r="181">
      <c r="A181" s="31"/>
      <c r="B181" s="17"/>
      <c r="C181" s="17"/>
      <c r="D181" s="17"/>
      <c r="E181" s="17"/>
      <c r="F181" s="18"/>
      <c r="G181" s="114"/>
      <c r="H181" s="107" t="s">
        <v>23</v>
      </c>
      <c r="I181" s="107">
        <f>90+90</f>
        <v>180</v>
      </c>
      <c r="J181" s="107">
        <v>90.0</v>
      </c>
      <c r="K181" s="107">
        <v>90.0</v>
      </c>
      <c r="L181" s="107"/>
      <c r="M181" s="107">
        <f t="shared" ref="M181:N181" si="78">90+90</f>
        <v>180</v>
      </c>
      <c r="N181" s="114">
        <f t="shared" si="78"/>
        <v>180</v>
      </c>
      <c r="O181" s="107">
        <v>90.0</v>
      </c>
      <c r="P181" s="114"/>
      <c r="Q181" s="114">
        <f t="shared" ref="Q181:R181" si="79">90+90</f>
        <v>180</v>
      </c>
      <c r="R181" s="125">
        <f t="shared" si="79"/>
        <v>180</v>
      </c>
      <c r="S181" s="112"/>
      <c r="T181" s="125">
        <v>90.0</v>
      </c>
      <c r="U181" s="125">
        <f>90+90</f>
        <v>180</v>
      </c>
      <c r="V181" s="125">
        <v>90.0</v>
      </c>
      <c r="W181" s="125"/>
      <c r="X181" s="125">
        <f>90+90</f>
        <v>180</v>
      </c>
      <c r="Y181" s="125">
        <v>90.0</v>
      </c>
      <c r="Z181" s="125"/>
      <c r="AA181" s="125">
        <v>90.0</v>
      </c>
      <c r="AB181" s="125">
        <f t="shared" ref="AB181:AF181" si="80">90+90</f>
        <v>180</v>
      </c>
      <c r="AC181" s="125">
        <f t="shared" si="80"/>
        <v>180</v>
      </c>
      <c r="AD181" s="112">
        <f t="shared" si="80"/>
        <v>180</v>
      </c>
      <c r="AE181" s="112">
        <f t="shared" si="80"/>
        <v>180</v>
      </c>
      <c r="AF181" s="125">
        <f t="shared" si="80"/>
        <v>180</v>
      </c>
      <c r="AG181" s="112"/>
      <c r="AH181" s="125">
        <v>180.0</v>
      </c>
      <c r="AI181" s="125"/>
      <c r="AJ181" s="112">
        <f>102+90</f>
        <v>192</v>
      </c>
      <c r="AK181" s="125">
        <v>90.0</v>
      </c>
      <c r="AL181" s="125">
        <v>90.0</v>
      </c>
      <c r="AM181" s="125">
        <f>90+90</f>
        <v>180</v>
      </c>
      <c r="AN181" s="32"/>
    </row>
    <row r="182">
      <c r="A182" s="33"/>
      <c r="B182" s="33"/>
      <c r="C182" s="33"/>
      <c r="D182" s="33"/>
      <c r="E182" s="106"/>
      <c r="F182" s="106"/>
      <c r="G182" s="107"/>
      <c r="H182" s="107"/>
      <c r="I182" s="118"/>
      <c r="J182" s="118"/>
      <c r="K182" s="118"/>
      <c r="L182" s="114"/>
      <c r="M182" s="118"/>
      <c r="N182" s="118"/>
      <c r="O182" s="118"/>
      <c r="P182" s="117"/>
      <c r="Q182" s="118"/>
      <c r="R182" s="120"/>
      <c r="S182" s="112"/>
      <c r="T182" s="120"/>
      <c r="U182" s="120"/>
      <c r="V182" s="120"/>
      <c r="W182" s="119"/>
      <c r="X182" s="120"/>
      <c r="Y182" s="120"/>
      <c r="Z182" s="112"/>
      <c r="AA182" s="120"/>
      <c r="AB182" s="120"/>
      <c r="AC182" s="120"/>
      <c r="AD182" s="120"/>
      <c r="AE182" s="120"/>
      <c r="AF182" s="120"/>
      <c r="AG182" s="112"/>
      <c r="AH182" s="120"/>
      <c r="AI182" s="121"/>
      <c r="AJ182" s="120"/>
      <c r="AK182" s="120"/>
      <c r="AL182" s="120"/>
      <c r="AM182" s="120"/>
      <c r="AN182" s="122"/>
      <c r="AO182" s="53"/>
      <c r="AP182" s="53"/>
    </row>
    <row r="183">
      <c r="A183" s="24" t="s">
        <v>86</v>
      </c>
      <c r="B183" s="17"/>
      <c r="C183" s="17"/>
      <c r="D183" s="18"/>
      <c r="E183" s="106">
        <v>4.0</v>
      </c>
      <c r="F183" s="106" t="s">
        <v>21</v>
      </c>
      <c r="G183" s="107">
        <v>5665.0</v>
      </c>
      <c r="H183" s="107" t="s">
        <v>22</v>
      </c>
      <c r="I183" s="114"/>
      <c r="J183" s="114"/>
      <c r="K183" s="114"/>
      <c r="L183" s="114"/>
      <c r="M183" s="114"/>
      <c r="N183" s="114"/>
      <c r="O183" s="114"/>
      <c r="P183" s="114"/>
      <c r="Q183" s="114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25"/>
      <c r="AJ183" s="112"/>
      <c r="AK183" s="125"/>
      <c r="AL183" s="112"/>
      <c r="AM183" s="112"/>
      <c r="AN183" s="113">
        <f>G183+SUM(I183:AM183)-SUM(I184:AM184)</f>
        <v>3131</v>
      </c>
      <c r="AO183" s="53">
        <f>ROUNDDOWN((AN183/E183)/$H$4,1)</f>
        <v>26</v>
      </c>
      <c r="AP183" s="53">
        <f>$M$3+AO183</f>
        <v>918</v>
      </c>
    </row>
    <row r="184">
      <c r="A184" s="31"/>
      <c r="B184" s="215"/>
      <c r="C184" s="215"/>
      <c r="D184" s="215"/>
      <c r="E184" s="215"/>
      <c r="F184" s="114"/>
      <c r="G184" s="114"/>
      <c r="H184" s="107" t="s">
        <v>23</v>
      </c>
      <c r="I184" s="107">
        <f>60+60</f>
        <v>120</v>
      </c>
      <c r="J184" s="107">
        <v>60.0</v>
      </c>
      <c r="K184" s="107">
        <f>15*4</f>
        <v>60</v>
      </c>
      <c r="L184" s="107"/>
      <c r="M184" s="107">
        <f t="shared" ref="M184:N184" si="81">60+60</f>
        <v>120</v>
      </c>
      <c r="N184" s="114">
        <f t="shared" si="81"/>
        <v>120</v>
      </c>
      <c r="O184" s="107">
        <v>60.0</v>
      </c>
      <c r="P184" s="114"/>
      <c r="Q184" s="114">
        <f t="shared" ref="Q184:R184" si="82">60+60</f>
        <v>120</v>
      </c>
      <c r="R184" s="125">
        <f t="shared" si="82"/>
        <v>120</v>
      </c>
      <c r="S184" s="112"/>
      <c r="T184" s="125">
        <v>60.0</v>
      </c>
      <c r="U184" s="125">
        <f>60+60</f>
        <v>120</v>
      </c>
      <c r="V184" s="125">
        <v>60.0</v>
      </c>
      <c r="W184" s="125">
        <f>90+96</f>
        <v>186</v>
      </c>
      <c r="X184" s="125">
        <f>60+60</f>
        <v>120</v>
      </c>
      <c r="Y184" s="125">
        <v>60.0</v>
      </c>
      <c r="Z184" s="125"/>
      <c r="AA184" s="125">
        <v>60.0</v>
      </c>
      <c r="AB184" s="125">
        <f t="shared" ref="AB184:AF184" si="83">60+60</f>
        <v>120</v>
      </c>
      <c r="AC184" s="125">
        <f t="shared" si="83"/>
        <v>120</v>
      </c>
      <c r="AD184" s="112">
        <f t="shared" si="83"/>
        <v>120</v>
      </c>
      <c r="AE184" s="112">
        <f t="shared" si="83"/>
        <v>120</v>
      </c>
      <c r="AF184" s="125">
        <f t="shared" si="83"/>
        <v>120</v>
      </c>
      <c r="AG184" s="112"/>
      <c r="AH184" s="125">
        <v>120.0</v>
      </c>
      <c r="AI184" s="125"/>
      <c r="AJ184" s="112">
        <f>68+60</f>
        <v>128</v>
      </c>
      <c r="AK184" s="125">
        <v>60.0</v>
      </c>
      <c r="AL184" s="125">
        <v>60.0</v>
      </c>
      <c r="AM184" s="125">
        <f>60+60</f>
        <v>120</v>
      </c>
      <c r="AN184" s="32"/>
    </row>
    <row r="185">
      <c r="A185" s="157"/>
      <c r="B185" s="157"/>
      <c r="C185" s="157"/>
      <c r="D185" s="157"/>
      <c r="E185" s="157"/>
      <c r="F185" s="157"/>
      <c r="G185" s="114"/>
      <c r="H185" s="108"/>
      <c r="I185" s="118"/>
      <c r="J185" s="118"/>
      <c r="K185" s="118"/>
      <c r="L185" s="114"/>
      <c r="M185" s="118"/>
      <c r="N185" s="118"/>
      <c r="O185" s="118"/>
      <c r="P185" s="117"/>
      <c r="Q185" s="118"/>
      <c r="R185" s="120"/>
      <c r="S185" s="112"/>
      <c r="T185" s="120"/>
      <c r="U185" s="120"/>
      <c r="V185" s="120"/>
      <c r="W185" s="120"/>
      <c r="X185" s="120"/>
      <c r="Y185" s="120"/>
      <c r="Z185" s="112"/>
      <c r="AA185" s="120"/>
      <c r="AB185" s="120"/>
      <c r="AC185" s="120"/>
      <c r="AD185" s="120"/>
      <c r="AE185" s="120"/>
      <c r="AF185" s="120"/>
      <c r="AG185" s="112"/>
      <c r="AH185" s="120"/>
      <c r="AI185" s="119"/>
      <c r="AJ185" s="120"/>
      <c r="AK185" s="120"/>
      <c r="AL185" s="120"/>
      <c r="AM185" s="120"/>
      <c r="AN185" s="110"/>
      <c r="AO185" s="49"/>
      <c r="AP185" s="49"/>
    </row>
    <row r="186">
      <c r="A186" s="76" t="s">
        <v>87</v>
      </c>
      <c r="B186" s="17"/>
      <c r="C186" s="17"/>
      <c r="D186" s="17"/>
      <c r="E186" s="17"/>
      <c r="F186" s="17"/>
      <c r="G186" s="159"/>
      <c r="H186" s="153"/>
      <c r="I186" s="154"/>
      <c r="J186" s="154"/>
      <c r="K186" s="154"/>
      <c r="L186" s="154"/>
      <c r="M186" s="154"/>
      <c r="N186" s="154"/>
      <c r="O186" s="154"/>
      <c r="P186" s="154"/>
      <c r="Q186" s="15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5"/>
      <c r="AM186" s="135"/>
      <c r="AN186" s="135"/>
      <c r="AO186" s="52"/>
      <c r="AP186" s="52"/>
    </row>
    <row r="187">
      <c r="A187" s="24" t="s">
        <v>88</v>
      </c>
      <c r="B187" s="17"/>
      <c r="C187" s="17"/>
      <c r="D187" s="18"/>
      <c r="E187" s="106">
        <v>1.39</v>
      </c>
      <c r="F187" s="106" t="s">
        <v>89</v>
      </c>
      <c r="G187" s="160">
        <v>1420.0</v>
      </c>
      <c r="H187" s="107" t="s">
        <v>22</v>
      </c>
      <c r="I187" s="114"/>
      <c r="J187" s="107"/>
      <c r="K187" s="114"/>
      <c r="L187" s="114"/>
      <c r="M187" s="114"/>
      <c r="N187" s="114"/>
      <c r="O187" s="107"/>
      <c r="P187" s="114"/>
      <c r="Q187" s="114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25"/>
      <c r="AH187" s="125"/>
      <c r="AI187" s="125">
        <v>840.0</v>
      </c>
      <c r="AJ187" s="112"/>
      <c r="AK187" s="112"/>
      <c r="AL187" s="112"/>
      <c r="AM187" s="112"/>
      <c r="AN187" s="113">
        <f>G187+SUM(I187:AM187)-SUM(I188:AM188)</f>
        <v>1607</v>
      </c>
      <c r="AO187" s="53">
        <f>ROUNDDOWN((AN187/E187)/$H$4,1)</f>
        <v>38.5</v>
      </c>
      <c r="AP187" s="53">
        <f>$M$3+AO187</f>
        <v>930.5</v>
      </c>
    </row>
    <row r="188">
      <c r="A188" s="31"/>
      <c r="B188" s="17"/>
      <c r="C188" s="17"/>
      <c r="D188" s="17"/>
      <c r="E188" s="17"/>
      <c r="F188" s="18"/>
      <c r="G188" s="112"/>
      <c r="H188" s="107" t="s">
        <v>23</v>
      </c>
      <c r="I188" s="107">
        <f>4+4+38+1</f>
        <v>47</v>
      </c>
      <c r="J188" s="107">
        <f>4+1</f>
        <v>5</v>
      </c>
      <c r="K188" s="107">
        <f>4+1+38</f>
        <v>43</v>
      </c>
      <c r="L188" s="107"/>
      <c r="M188" s="107">
        <f>4+1+4</f>
        <v>9</v>
      </c>
      <c r="N188" s="107">
        <f>4+4+1</f>
        <v>9</v>
      </c>
      <c r="O188" s="107">
        <f>4+38+1</f>
        <v>43</v>
      </c>
      <c r="P188" s="107">
        <v>1.0</v>
      </c>
      <c r="Q188" s="107">
        <f>4+4+1+38</f>
        <v>47</v>
      </c>
      <c r="R188" s="125">
        <f>8+2</f>
        <v>10</v>
      </c>
      <c r="S188" s="125"/>
      <c r="T188" s="125">
        <f>1+4</f>
        <v>5</v>
      </c>
      <c r="U188" s="125">
        <f>4+4+38+1</f>
        <v>47</v>
      </c>
      <c r="V188" s="125">
        <f>4+1+38</f>
        <v>43</v>
      </c>
      <c r="W188" s="125">
        <f>5+4+1</f>
        <v>10</v>
      </c>
      <c r="X188" s="125">
        <f>4+5</f>
        <v>9</v>
      </c>
      <c r="Y188" s="125">
        <v>1.0</v>
      </c>
      <c r="Z188" s="125"/>
      <c r="AA188" s="125">
        <f>4+1+38</f>
        <v>43</v>
      </c>
      <c r="AB188" s="125">
        <f>4+5+1</f>
        <v>10</v>
      </c>
      <c r="AC188" s="125">
        <f>4+1+38+4</f>
        <v>47</v>
      </c>
      <c r="AD188" s="125">
        <f>8+38+1</f>
        <v>47</v>
      </c>
      <c r="AE188" s="125">
        <f>4+4+1</f>
        <v>9</v>
      </c>
      <c r="AF188" s="125">
        <f>5+4</f>
        <v>9</v>
      </c>
      <c r="AG188" s="125"/>
      <c r="AH188" s="125">
        <f>9+1</f>
        <v>10</v>
      </c>
      <c r="AI188" s="125">
        <f>1+38</f>
        <v>39</v>
      </c>
      <c r="AJ188" s="112">
        <f>6+5+1</f>
        <v>12</v>
      </c>
      <c r="AK188" s="125">
        <f>4+38+1</f>
        <v>43</v>
      </c>
      <c r="AL188" s="125">
        <f>4+1+2</f>
        <v>7</v>
      </c>
      <c r="AM188" s="125">
        <f>4+5+38+1</f>
        <v>48</v>
      </c>
      <c r="AN188" s="32"/>
    </row>
    <row r="189">
      <c r="A189" s="33"/>
      <c r="B189" s="33"/>
      <c r="C189" s="33"/>
      <c r="D189" s="33"/>
      <c r="E189" s="106"/>
      <c r="F189" s="106"/>
      <c r="G189" s="160"/>
      <c r="H189" s="107"/>
      <c r="I189" s="124"/>
      <c r="J189" s="118"/>
      <c r="K189" s="118"/>
      <c r="L189" s="107"/>
      <c r="M189" s="118"/>
      <c r="N189" s="118"/>
      <c r="O189" s="118"/>
      <c r="P189" s="118"/>
      <c r="Q189" s="118"/>
      <c r="R189" s="120"/>
      <c r="S189" s="112"/>
      <c r="T189" s="120"/>
      <c r="U189" s="120"/>
      <c r="V189" s="120"/>
      <c r="W189" s="120"/>
      <c r="X189" s="120"/>
      <c r="Y189" s="120"/>
      <c r="Z189" s="112"/>
      <c r="AA189" s="120"/>
      <c r="AB189" s="120"/>
      <c r="AC189" s="120"/>
      <c r="AD189" s="120"/>
      <c r="AE189" s="120"/>
      <c r="AF189" s="120"/>
      <c r="AG189" s="112"/>
      <c r="AH189" s="120"/>
      <c r="AI189" s="120"/>
      <c r="AJ189" s="120"/>
      <c r="AK189" s="120"/>
      <c r="AL189" s="120"/>
      <c r="AM189" s="120"/>
      <c r="AN189" s="122"/>
      <c r="AO189" s="53"/>
      <c r="AP189" s="53"/>
    </row>
    <row r="190">
      <c r="A190" s="24" t="s">
        <v>90</v>
      </c>
      <c r="B190" s="17"/>
      <c r="C190" s="17"/>
      <c r="D190" s="18"/>
      <c r="E190" s="106">
        <v>0.4</v>
      </c>
      <c r="F190" s="106" t="s">
        <v>21</v>
      </c>
      <c r="G190" s="160">
        <v>167.0</v>
      </c>
      <c r="H190" s="107" t="s">
        <v>22</v>
      </c>
      <c r="I190" s="114"/>
      <c r="J190" s="114"/>
      <c r="K190" s="114"/>
      <c r="L190" s="107"/>
      <c r="M190" s="114"/>
      <c r="N190" s="114"/>
      <c r="O190" s="114"/>
      <c r="P190" s="114"/>
      <c r="Q190" s="114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25">
        <v>306.0</v>
      </c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2"/>
      <c r="AN190" s="113">
        <f>G190+SUM(I190:AM190)-SUM(I191:AM191)</f>
        <v>261</v>
      </c>
      <c r="AO190" s="53">
        <f>ROUNDDOWN((AN190/E190)/$H$4,1)</f>
        <v>21.7</v>
      </c>
      <c r="AP190" s="53">
        <f>M5+AO190</f>
        <v>913.7</v>
      </c>
    </row>
    <row r="191">
      <c r="A191" s="31"/>
      <c r="B191" s="17"/>
      <c r="C191" s="17"/>
      <c r="D191" s="17"/>
      <c r="E191" s="17"/>
      <c r="F191" s="18"/>
      <c r="G191" s="112"/>
      <c r="H191" s="107" t="s">
        <v>23</v>
      </c>
      <c r="I191" s="107">
        <v>9.0</v>
      </c>
      <c r="J191" s="107">
        <v>9.0</v>
      </c>
      <c r="K191" s="107">
        <v>9.0</v>
      </c>
      <c r="L191" s="107"/>
      <c r="M191" s="107">
        <v>9.0</v>
      </c>
      <c r="N191" s="107">
        <v>9.0</v>
      </c>
      <c r="O191" s="107">
        <v>5.0</v>
      </c>
      <c r="P191" s="107">
        <v>5.0</v>
      </c>
      <c r="Q191" s="107">
        <v>9.0</v>
      </c>
      <c r="R191" s="125">
        <v>9.0</v>
      </c>
      <c r="S191" s="125"/>
      <c r="T191" s="125">
        <v>9.0</v>
      </c>
      <c r="U191" s="125">
        <v>9.0</v>
      </c>
      <c r="V191" s="125">
        <v>4.0</v>
      </c>
      <c r="W191" s="125">
        <v>9.0</v>
      </c>
      <c r="X191" s="125"/>
      <c r="Y191" s="125">
        <v>9.0</v>
      </c>
      <c r="Z191" s="125"/>
      <c r="AA191" s="125">
        <v>9.0</v>
      </c>
      <c r="AB191" s="125">
        <v>9.0</v>
      </c>
      <c r="AC191" s="125">
        <v>9.0</v>
      </c>
      <c r="AD191" s="125">
        <v>9.0</v>
      </c>
      <c r="AE191" s="125">
        <v>9.0</v>
      </c>
      <c r="AF191" s="125"/>
      <c r="AG191" s="125"/>
      <c r="AH191" s="125">
        <v>9.0</v>
      </c>
      <c r="AI191" s="125">
        <v>9.0</v>
      </c>
      <c r="AJ191" s="125">
        <v>9.0</v>
      </c>
      <c r="AK191" s="125">
        <v>9.0</v>
      </c>
      <c r="AL191" s="125">
        <v>9.0</v>
      </c>
      <c r="AM191" s="125">
        <v>9.0</v>
      </c>
      <c r="AN191" s="32"/>
    </row>
    <row r="192">
      <c r="A192" s="33"/>
      <c r="B192" s="33"/>
      <c r="C192" s="33"/>
      <c r="D192" s="33"/>
      <c r="E192" s="106"/>
      <c r="F192" s="106"/>
      <c r="G192" s="160"/>
      <c r="H192" s="107"/>
      <c r="I192" s="118"/>
      <c r="J192" s="118"/>
      <c r="K192" s="118"/>
      <c r="L192" s="114"/>
      <c r="M192" s="118"/>
      <c r="N192" s="118"/>
      <c r="O192" s="124"/>
      <c r="P192" s="118"/>
      <c r="Q192" s="118"/>
      <c r="R192" s="120"/>
      <c r="S192" s="112"/>
      <c r="T192" s="120"/>
      <c r="U192" s="120"/>
      <c r="V192" s="120"/>
      <c r="W192" s="120"/>
      <c r="X192" s="119"/>
      <c r="Y192" s="120"/>
      <c r="Z192" s="112"/>
      <c r="AA192" s="120"/>
      <c r="AB192" s="120"/>
      <c r="AC192" s="120"/>
      <c r="AD192" s="120"/>
      <c r="AE192" s="120"/>
      <c r="AF192" s="119"/>
      <c r="AG192" s="112"/>
      <c r="AH192" s="120"/>
      <c r="AI192" s="120"/>
      <c r="AJ192" s="120"/>
      <c r="AK192" s="120"/>
      <c r="AL192" s="120"/>
      <c r="AM192" s="120"/>
      <c r="AN192" s="122"/>
      <c r="AO192" s="53"/>
      <c r="AP192" s="53"/>
    </row>
    <row r="193">
      <c r="A193" s="24" t="s">
        <v>91</v>
      </c>
      <c r="B193" s="17"/>
      <c r="C193" s="17"/>
      <c r="D193" s="18"/>
      <c r="E193" s="106">
        <v>0.24</v>
      </c>
      <c r="F193" s="106" t="s">
        <v>92</v>
      </c>
      <c r="G193" s="160">
        <v>47.0</v>
      </c>
      <c r="H193" s="107" t="s">
        <v>22</v>
      </c>
      <c r="I193" s="114"/>
      <c r="J193" s="114"/>
      <c r="K193" s="114"/>
      <c r="L193" s="114"/>
      <c r="M193" s="114"/>
      <c r="N193" s="114"/>
      <c r="O193" s="107"/>
      <c r="P193" s="114"/>
      <c r="Q193" s="114"/>
      <c r="R193" s="112"/>
      <c r="S193" s="112"/>
      <c r="T193" s="112"/>
      <c r="U193" s="112"/>
      <c r="V193" s="112"/>
      <c r="W193" s="125"/>
      <c r="X193" s="112"/>
      <c r="Y193" s="125"/>
      <c r="Z193" s="112"/>
      <c r="AA193" s="112"/>
      <c r="AB193" s="112"/>
      <c r="AC193" s="125"/>
      <c r="AD193" s="125">
        <v>123.0</v>
      </c>
      <c r="AE193" s="112"/>
      <c r="AF193" s="112"/>
      <c r="AG193" s="112"/>
      <c r="AH193" s="112"/>
      <c r="AI193" s="112"/>
      <c r="AJ193" s="112"/>
      <c r="AK193" s="112"/>
      <c r="AL193" s="112"/>
      <c r="AM193" s="112"/>
      <c r="AN193" s="113">
        <f>G193+SUM(I193:AM193)-SUM(I194:AM194)</f>
        <v>65</v>
      </c>
      <c r="AO193" s="53">
        <f>ROUNDDOWN((AN193/E193)/$H$4,1)</f>
        <v>9</v>
      </c>
      <c r="AP193" s="53">
        <f>M3+AO193</f>
        <v>901</v>
      </c>
    </row>
    <row r="194">
      <c r="A194" s="31"/>
      <c r="B194" s="17"/>
      <c r="C194" s="17"/>
      <c r="D194" s="17"/>
      <c r="E194" s="17"/>
      <c r="F194" s="18"/>
      <c r="G194" s="112"/>
      <c r="H194" s="107" t="s">
        <v>23</v>
      </c>
      <c r="I194" s="107">
        <v>3.0</v>
      </c>
      <c r="J194" s="107">
        <v>3.0</v>
      </c>
      <c r="K194" s="107">
        <v>4.0</v>
      </c>
      <c r="L194" s="107"/>
      <c r="M194" s="107">
        <v>3.0</v>
      </c>
      <c r="N194" s="107">
        <f>4+4</f>
        <v>8</v>
      </c>
      <c r="O194" s="107">
        <v>2.0</v>
      </c>
      <c r="P194" s="114"/>
      <c r="Q194" s="114">
        <f>1+3</f>
        <v>4</v>
      </c>
      <c r="R194" s="125">
        <f>3+1</f>
        <v>4</v>
      </c>
      <c r="S194" s="125"/>
      <c r="T194" s="125">
        <f>3+2</f>
        <v>5</v>
      </c>
      <c r="U194" s="125">
        <f>3</f>
        <v>3</v>
      </c>
      <c r="V194" s="112">
        <f>3+2</f>
        <v>5</v>
      </c>
      <c r="W194" s="125">
        <f t="shared" ref="W194:X194" si="84">2+2</f>
        <v>4</v>
      </c>
      <c r="X194" s="125">
        <f t="shared" si="84"/>
        <v>4</v>
      </c>
      <c r="Y194" s="125">
        <f>2+1</f>
        <v>3</v>
      </c>
      <c r="Z194" s="125"/>
      <c r="AA194" s="125">
        <f t="shared" ref="AA194:AC194" si="85">2+2</f>
        <v>4</v>
      </c>
      <c r="AB194" s="125">
        <f t="shared" si="85"/>
        <v>4</v>
      </c>
      <c r="AC194" s="112">
        <f t="shared" si="85"/>
        <v>4</v>
      </c>
      <c r="AD194" s="112">
        <f>3+3</f>
        <v>6</v>
      </c>
      <c r="AE194" s="125">
        <f>2+3</f>
        <v>5</v>
      </c>
      <c r="AF194" s="125">
        <f>3+2</f>
        <v>5</v>
      </c>
      <c r="AG194" s="125"/>
      <c r="AH194" s="125">
        <f t="shared" ref="AH194:AI194" si="86">3+1</f>
        <v>4</v>
      </c>
      <c r="AI194" s="125">
        <f t="shared" si="86"/>
        <v>4</v>
      </c>
      <c r="AJ194" s="125">
        <v>3.0</v>
      </c>
      <c r="AK194" s="125">
        <v>3.0</v>
      </c>
      <c r="AL194" s="125">
        <f>3+2</f>
        <v>5</v>
      </c>
      <c r="AM194" s="125">
        <f>2+1</f>
        <v>3</v>
      </c>
      <c r="AN194" s="32"/>
    </row>
    <row r="195">
      <c r="A195" s="33"/>
      <c r="B195" s="33"/>
      <c r="C195" s="33"/>
      <c r="D195" s="33"/>
      <c r="E195" s="161"/>
      <c r="F195" s="161"/>
      <c r="G195" s="160"/>
      <c r="H195" s="107"/>
      <c r="I195" s="118"/>
      <c r="J195" s="118"/>
      <c r="K195" s="118"/>
      <c r="L195" s="114"/>
      <c r="M195" s="118"/>
      <c r="N195" s="118"/>
      <c r="O195" s="118"/>
      <c r="P195" s="117"/>
      <c r="Q195" s="118"/>
      <c r="R195" s="120"/>
      <c r="S195" s="112"/>
      <c r="T195" s="120"/>
      <c r="U195" s="120"/>
      <c r="V195" s="120"/>
      <c r="W195" s="120"/>
      <c r="X195" s="120"/>
      <c r="Y195" s="120"/>
      <c r="Z195" s="112"/>
      <c r="AA195" s="127"/>
      <c r="AB195" s="127"/>
      <c r="AC195" s="120"/>
      <c r="AD195" s="120"/>
      <c r="AE195" s="120"/>
      <c r="AF195" s="120"/>
      <c r="AG195" s="112"/>
      <c r="AH195" s="120"/>
      <c r="AI195" s="120"/>
      <c r="AJ195" s="120"/>
      <c r="AK195" s="120"/>
      <c r="AL195" s="120"/>
      <c r="AM195" s="120"/>
      <c r="AN195" s="122"/>
      <c r="AO195" s="53"/>
      <c r="AP195" s="53"/>
    </row>
    <row r="196">
      <c r="A196" s="24" t="s">
        <v>93</v>
      </c>
      <c r="B196" s="17"/>
      <c r="C196" s="17"/>
      <c r="D196" s="18"/>
      <c r="E196" s="161"/>
      <c r="F196" s="161"/>
      <c r="G196" s="160">
        <v>275.0</v>
      </c>
      <c r="H196" s="107" t="s">
        <v>22</v>
      </c>
      <c r="I196" s="114"/>
      <c r="J196" s="114"/>
      <c r="K196" s="114"/>
      <c r="L196" s="114"/>
      <c r="M196" s="114"/>
      <c r="N196" s="114"/>
      <c r="O196" s="114"/>
      <c r="P196" s="114"/>
      <c r="Q196" s="114"/>
      <c r="R196" s="112"/>
      <c r="S196" s="112"/>
      <c r="T196" s="112"/>
      <c r="U196" s="125">
        <v>650.0</v>
      </c>
      <c r="V196" s="112"/>
      <c r="W196" s="112"/>
      <c r="X196" s="112"/>
      <c r="Y196" s="112"/>
      <c r="Z196" s="112"/>
      <c r="AA196" s="125"/>
      <c r="AB196" s="125"/>
      <c r="AC196" s="112"/>
      <c r="AD196" s="112"/>
      <c r="AE196" s="112"/>
      <c r="AF196" s="112"/>
      <c r="AG196" s="125"/>
      <c r="AH196" s="112"/>
      <c r="AI196" s="112"/>
      <c r="AJ196" s="112"/>
      <c r="AK196" s="112"/>
      <c r="AL196" s="112"/>
      <c r="AM196" s="112"/>
      <c r="AN196" s="113">
        <f>G196+SUM(I196:AM196)-SUM(I197:AM197)</f>
        <v>550</v>
      </c>
      <c r="AO196" s="53"/>
      <c r="AP196" s="53"/>
    </row>
    <row r="197">
      <c r="A197" s="31"/>
      <c r="B197" s="17"/>
      <c r="C197" s="17"/>
      <c r="D197" s="17"/>
      <c r="E197" s="17"/>
      <c r="F197" s="18"/>
      <c r="G197" s="112"/>
      <c r="H197" s="107" t="s">
        <v>23</v>
      </c>
      <c r="I197" s="107"/>
      <c r="J197" s="107">
        <v>25.0</v>
      </c>
      <c r="K197" s="107"/>
      <c r="L197" s="114"/>
      <c r="M197" s="107">
        <v>25.0</v>
      </c>
      <c r="N197" s="107">
        <v>25.0</v>
      </c>
      <c r="O197" s="114"/>
      <c r="P197" s="107">
        <v>25.0</v>
      </c>
      <c r="Q197" s="107">
        <v>25.0</v>
      </c>
      <c r="R197" s="125"/>
      <c r="S197" s="112"/>
      <c r="T197" s="125">
        <v>25.0</v>
      </c>
      <c r="U197" s="125"/>
      <c r="V197" s="125">
        <v>25.0</v>
      </c>
      <c r="W197" s="125">
        <v>25.0</v>
      </c>
      <c r="X197" s="125"/>
      <c r="Y197" s="125"/>
      <c r="Z197" s="125"/>
      <c r="AA197" s="125">
        <v>25.0</v>
      </c>
      <c r="AB197" s="125">
        <v>25.0</v>
      </c>
      <c r="AC197" s="125">
        <v>25.0</v>
      </c>
      <c r="AD197" s="125">
        <v>25.0</v>
      </c>
      <c r="AE197" s="112"/>
      <c r="AF197" s="125">
        <f>25+25</f>
        <v>50</v>
      </c>
      <c r="AG197" s="125"/>
      <c r="AH197" s="125"/>
      <c r="AI197" s="125"/>
      <c r="AJ197" s="125">
        <v>25.0</v>
      </c>
      <c r="AK197" s="125"/>
      <c r="AL197" s="125"/>
      <c r="AM197" s="112"/>
      <c r="AN197" s="32"/>
    </row>
    <row r="198">
      <c r="A198" s="33"/>
      <c r="B198" s="33"/>
      <c r="C198" s="33"/>
      <c r="D198" s="33"/>
      <c r="E198" s="161"/>
      <c r="F198" s="161"/>
      <c r="G198" s="160"/>
      <c r="H198" s="107"/>
      <c r="I198" s="117"/>
      <c r="J198" s="118"/>
      <c r="K198" s="117"/>
      <c r="L198" s="114"/>
      <c r="M198" s="118"/>
      <c r="N198" s="118"/>
      <c r="O198" s="117"/>
      <c r="P198" s="118"/>
      <c r="Q198" s="118"/>
      <c r="R198" s="119"/>
      <c r="S198" s="112"/>
      <c r="T198" s="120"/>
      <c r="U198" s="119"/>
      <c r="V198" s="120"/>
      <c r="W198" s="120"/>
      <c r="X198" s="119"/>
      <c r="Y198" s="119"/>
      <c r="Z198" s="112"/>
      <c r="AA198" s="120"/>
      <c r="AB198" s="127"/>
      <c r="AC198" s="120"/>
      <c r="AD198" s="120"/>
      <c r="AE198" s="119"/>
      <c r="AF198" s="120"/>
      <c r="AG198" s="112"/>
      <c r="AH198" s="119"/>
      <c r="AI198" s="119"/>
      <c r="AJ198" s="120"/>
      <c r="AK198" s="119"/>
      <c r="AL198" s="119"/>
      <c r="AM198" s="119"/>
      <c r="AN198" s="122"/>
      <c r="AO198" s="53"/>
      <c r="AP198" s="53"/>
    </row>
    <row r="199">
      <c r="A199" s="24" t="s">
        <v>94</v>
      </c>
      <c r="B199" s="17"/>
      <c r="C199" s="17"/>
      <c r="D199" s="18"/>
      <c r="E199" s="161"/>
      <c r="F199" s="161"/>
      <c r="G199" s="160">
        <v>125.0</v>
      </c>
      <c r="H199" s="107" t="s">
        <v>22</v>
      </c>
      <c r="I199" s="114"/>
      <c r="J199" s="114"/>
      <c r="K199" s="114"/>
      <c r="L199" s="114"/>
      <c r="M199" s="114"/>
      <c r="N199" s="114"/>
      <c r="O199" s="114"/>
      <c r="P199" s="114"/>
      <c r="Q199" s="114"/>
      <c r="R199" s="112"/>
      <c r="S199" s="112"/>
      <c r="T199" s="112"/>
      <c r="U199" s="125">
        <v>250.0</v>
      </c>
      <c r="V199" s="112"/>
      <c r="W199" s="112"/>
      <c r="X199" s="112"/>
      <c r="Y199" s="112"/>
      <c r="Z199" s="112"/>
      <c r="AA199" s="112"/>
      <c r="AB199" s="125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2"/>
      <c r="AN199" s="113">
        <f>G199+SUM(I199:AM199)-SUM(I200:AM200)</f>
        <v>200</v>
      </c>
      <c r="AO199" s="53"/>
      <c r="AP199" s="53"/>
    </row>
    <row r="200">
      <c r="A200" s="31"/>
      <c r="B200" s="17"/>
      <c r="C200" s="17"/>
      <c r="D200" s="17"/>
      <c r="E200" s="17"/>
      <c r="F200" s="18"/>
      <c r="G200" s="112"/>
      <c r="H200" s="107" t="s">
        <v>23</v>
      </c>
      <c r="I200" s="107"/>
      <c r="J200" s="107">
        <v>25.0</v>
      </c>
      <c r="K200" s="114"/>
      <c r="L200" s="114"/>
      <c r="M200" s="107">
        <v>25.0</v>
      </c>
      <c r="N200" s="107"/>
      <c r="O200" s="114"/>
      <c r="P200" s="107">
        <v>25.0</v>
      </c>
      <c r="Q200" s="107"/>
      <c r="R200" s="112"/>
      <c r="S200" s="112"/>
      <c r="T200" s="125"/>
      <c r="U200" s="112"/>
      <c r="V200" s="125">
        <v>25.0</v>
      </c>
      <c r="W200" s="125"/>
      <c r="X200" s="125"/>
      <c r="Y200" s="112"/>
      <c r="Z200" s="125"/>
      <c r="AA200" s="125">
        <v>25.0</v>
      </c>
      <c r="AB200" s="112"/>
      <c r="AC200" s="125"/>
      <c r="AD200" s="125"/>
      <c r="AE200" s="112"/>
      <c r="AF200" s="125">
        <v>25.0</v>
      </c>
      <c r="AG200" s="125"/>
      <c r="AH200" s="112"/>
      <c r="AI200" s="112"/>
      <c r="AJ200" s="125">
        <v>25.0</v>
      </c>
      <c r="AK200" s="112"/>
      <c r="AL200" s="112"/>
      <c r="AM200" s="112"/>
      <c r="AN200" s="32"/>
    </row>
    <row r="201">
      <c r="A201" s="33"/>
      <c r="B201" s="33"/>
      <c r="C201" s="33"/>
      <c r="D201" s="33"/>
      <c r="E201" s="161"/>
      <c r="F201" s="161"/>
      <c r="G201" s="160"/>
      <c r="H201" s="107"/>
      <c r="I201" s="117"/>
      <c r="J201" s="118"/>
      <c r="K201" s="117"/>
      <c r="L201" s="114"/>
      <c r="M201" s="118"/>
      <c r="N201" s="117"/>
      <c r="O201" s="117"/>
      <c r="P201" s="118"/>
      <c r="Q201" s="117"/>
      <c r="R201" s="119"/>
      <c r="S201" s="112"/>
      <c r="T201" s="119"/>
      <c r="U201" s="119"/>
      <c r="V201" s="120"/>
      <c r="W201" s="119"/>
      <c r="X201" s="119"/>
      <c r="Y201" s="119"/>
      <c r="Z201" s="112"/>
      <c r="AA201" s="120"/>
      <c r="AB201" s="121"/>
      <c r="AC201" s="119"/>
      <c r="AD201" s="119"/>
      <c r="AE201" s="119"/>
      <c r="AF201" s="120"/>
      <c r="AG201" s="112"/>
      <c r="AH201" s="119"/>
      <c r="AI201" s="119"/>
      <c r="AJ201" s="120"/>
      <c r="AK201" s="119"/>
      <c r="AL201" s="119"/>
      <c r="AM201" s="119"/>
      <c r="AN201" s="122"/>
      <c r="AO201" s="53"/>
      <c r="AP201" s="53"/>
    </row>
    <row r="202">
      <c r="A202" s="24" t="s">
        <v>95</v>
      </c>
      <c r="B202" s="17"/>
      <c r="C202" s="17"/>
      <c r="D202" s="18"/>
      <c r="E202" s="161"/>
      <c r="F202" s="161"/>
      <c r="G202" s="160">
        <v>100.0</v>
      </c>
      <c r="H202" s="107" t="s">
        <v>22</v>
      </c>
      <c r="I202" s="114"/>
      <c r="J202" s="114"/>
      <c r="K202" s="114"/>
      <c r="L202" s="114"/>
      <c r="M202" s="114"/>
      <c r="N202" s="114"/>
      <c r="O202" s="114"/>
      <c r="P202" s="114"/>
      <c r="Q202" s="114"/>
      <c r="R202" s="112"/>
      <c r="S202" s="112"/>
      <c r="T202" s="112"/>
      <c r="U202" s="125">
        <v>340.0</v>
      </c>
      <c r="V202" s="112"/>
      <c r="W202" s="112"/>
      <c r="X202" s="112"/>
      <c r="Y202" s="112"/>
      <c r="Z202" s="112"/>
      <c r="AA202" s="112"/>
      <c r="AB202" s="125"/>
      <c r="AC202" s="112"/>
      <c r="AD202" s="112"/>
      <c r="AE202" s="112"/>
      <c r="AF202" s="112"/>
      <c r="AG202" s="125"/>
      <c r="AH202" s="112"/>
      <c r="AI202" s="112"/>
      <c r="AJ202" s="112"/>
      <c r="AK202" s="112"/>
      <c r="AL202" s="112"/>
      <c r="AM202" s="112"/>
      <c r="AN202" s="113">
        <f>G202+SUM(I202:AM202)-SUM(I203:AM203)</f>
        <v>260</v>
      </c>
      <c r="AO202" s="53"/>
      <c r="AP202" s="53"/>
    </row>
    <row r="203">
      <c r="A203" s="31"/>
      <c r="B203" s="17"/>
      <c r="C203" s="17"/>
      <c r="D203" s="17"/>
      <c r="E203" s="17"/>
      <c r="F203" s="18"/>
      <c r="G203" s="112"/>
      <c r="H203" s="107" t="s">
        <v>23</v>
      </c>
      <c r="I203" s="114"/>
      <c r="J203" s="114"/>
      <c r="K203" s="114"/>
      <c r="L203" s="114"/>
      <c r="M203" s="107">
        <v>20.0</v>
      </c>
      <c r="N203" s="114"/>
      <c r="O203" s="114"/>
      <c r="P203" s="107">
        <v>20.0</v>
      </c>
      <c r="Q203" s="114"/>
      <c r="R203" s="112"/>
      <c r="S203" s="112"/>
      <c r="T203" s="125">
        <v>20.0</v>
      </c>
      <c r="U203" s="112"/>
      <c r="V203" s="125">
        <v>40.0</v>
      </c>
      <c r="W203" s="112"/>
      <c r="X203" s="112"/>
      <c r="Y203" s="112"/>
      <c r="Z203" s="125"/>
      <c r="AA203" s="112"/>
      <c r="AB203" s="112"/>
      <c r="AC203" s="125"/>
      <c r="AD203" s="125">
        <v>40.0</v>
      </c>
      <c r="AE203" s="112"/>
      <c r="AF203" s="112"/>
      <c r="AG203" s="125"/>
      <c r="AH203" s="125"/>
      <c r="AI203" s="112"/>
      <c r="AJ203" s="125">
        <v>40.0</v>
      </c>
      <c r="AK203" s="112"/>
      <c r="AL203" s="112"/>
      <c r="AM203" s="112"/>
      <c r="AN203" s="32"/>
    </row>
    <row r="204">
      <c r="A204" s="33"/>
      <c r="B204" s="33"/>
      <c r="C204" s="33"/>
      <c r="D204" s="33"/>
      <c r="E204" s="106"/>
      <c r="F204" s="106"/>
      <c r="G204" s="112"/>
      <c r="H204" s="107"/>
      <c r="I204" s="117"/>
      <c r="J204" s="117"/>
      <c r="K204" s="117"/>
      <c r="L204" s="114"/>
      <c r="M204" s="118"/>
      <c r="N204" s="117"/>
      <c r="O204" s="117"/>
      <c r="P204" s="118"/>
      <c r="Q204" s="117"/>
      <c r="R204" s="119"/>
      <c r="S204" s="112"/>
      <c r="T204" s="120"/>
      <c r="U204" s="119"/>
      <c r="V204" s="120"/>
      <c r="W204" s="119"/>
      <c r="X204" s="119"/>
      <c r="Y204" s="119"/>
      <c r="Z204" s="112"/>
      <c r="AA204" s="119"/>
      <c r="AB204" s="119"/>
      <c r="AC204" s="119"/>
      <c r="AD204" s="120"/>
      <c r="AE204" s="119"/>
      <c r="AF204" s="119"/>
      <c r="AG204" s="112"/>
      <c r="AH204" s="119"/>
      <c r="AI204" s="119"/>
      <c r="AJ204" s="120"/>
      <c r="AK204" s="119"/>
      <c r="AL204" s="119"/>
      <c r="AM204" s="119"/>
      <c r="AN204" s="122"/>
      <c r="AO204" s="53"/>
      <c r="AP204" s="53"/>
    </row>
    <row r="205">
      <c r="A205" s="24" t="s">
        <v>96</v>
      </c>
      <c r="B205" s="17"/>
      <c r="C205" s="17"/>
      <c r="D205" s="18"/>
      <c r="E205" s="106">
        <v>0.053</v>
      </c>
      <c r="F205" s="106" t="s">
        <v>92</v>
      </c>
      <c r="G205" s="112"/>
      <c r="H205" s="107" t="s">
        <v>22</v>
      </c>
      <c r="I205" s="114"/>
      <c r="J205" s="114"/>
      <c r="K205" s="114"/>
      <c r="L205" s="114"/>
      <c r="M205" s="114"/>
      <c r="N205" s="114"/>
      <c r="O205" s="114"/>
      <c r="P205" s="114"/>
      <c r="Q205" s="114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12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2"/>
      <c r="AN205" s="113">
        <f>G205+SUM(I205:AM205)-SUM(I206:AM206)</f>
        <v>0</v>
      </c>
      <c r="AO205" s="53">
        <f>ROUNDDOWN((AN205/E205)/$H$4,1)</f>
        <v>0</v>
      </c>
      <c r="AP205" s="53"/>
    </row>
    <row r="206">
      <c r="A206" s="31"/>
      <c r="B206" s="17"/>
      <c r="C206" s="17"/>
      <c r="D206" s="17"/>
      <c r="E206" s="17"/>
      <c r="F206" s="18"/>
      <c r="G206" s="112"/>
      <c r="H206" s="107" t="s">
        <v>23</v>
      </c>
      <c r="I206" s="114"/>
      <c r="J206" s="114"/>
      <c r="K206" s="114"/>
      <c r="L206" s="114"/>
      <c r="M206" s="114"/>
      <c r="N206" s="114"/>
      <c r="O206" s="114"/>
      <c r="P206" s="114"/>
      <c r="Q206" s="114"/>
      <c r="R206" s="112"/>
      <c r="S206" s="112"/>
      <c r="T206" s="112"/>
      <c r="U206" s="112"/>
      <c r="V206" s="112"/>
      <c r="W206" s="112"/>
      <c r="X206" s="112"/>
      <c r="Y206" s="112"/>
      <c r="Z206" s="112"/>
      <c r="AA206" s="112"/>
      <c r="AB206" s="112"/>
      <c r="AC206" s="112"/>
      <c r="AD206" s="112"/>
      <c r="AE206" s="112"/>
      <c r="AF206" s="112"/>
      <c r="AG206" s="112"/>
      <c r="AH206" s="112"/>
      <c r="AI206" s="112"/>
      <c r="AJ206" s="112"/>
      <c r="AK206" s="112"/>
      <c r="AL206" s="112"/>
      <c r="AM206" s="112"/>
      <c r="AN206" s="32"/>
    </row>
    <row r="207">
      <c r="A207" s="33"/>
      <c r="B207" s="33"/>
      <c r="C207" s="33"/>
      <c r="D207" s="33"/>
      <c r="E207" s="106"/>
      <c r="F207" s="106"/>
      <c r="G207" s="112"/>
      <c r="H207" s="107"/>
      <c r="I207" s="117"/>
      <c r="J207" s="117"/>
      <c r="K207" s="117"/>
      <c r="L207" s="114"/>
      <c r="M207" s="117"/>
      <c r="N207" s="117"/>
      <c r="O207" s="117"/>
      <c r="P207" s="117"/>
      <c r="Q207" s="117"/>
      <c r="R207" s="119"/>
      <c r="S207" s="112"/>
      <c r="T207" s="119"/>
      <c r="U207" s="119"/>
      <c r="V207" s="119"/>
      <c r="W207" s="121"/>
      <c r="X207" s="119"/>
      <c r="Y207" s="119"/>
      <c r="Z207" s="125"/>
      <c r="AA207" s="119"/>
      <c r="AB207" s="119"/>
      <c r="AC207" s="119"/>
      <c r="AD207" s="119"/>
      <c r="AE207" s="119"/>
      <c r="AF207" s="119"/>
      <c r="AG207" s="112"/>
      <c r="AH207" s="119"/>
      <c r="AI207" s="119"/>
      <c r="AJ207" s="119"/>
      <c r="AK207" s="119"/>
      <c r="AL207" s="119"/>
      <c r="AM207" s="119"/>
      <c r="AN207" s="122"/>
      <c r="AO207" s="53"/>
      <c r="AP207" s="53"/>
    </row>
    <row r="208">
      <c r="A208" s="24" t="s">
        <v>97</v>
      </c>
      <c r="B208" s="17"/>
      <c r="C208" s="17"/>
      <c r="D208" s="18"/>
      <c r="E208" s="106">
        <v>0.053</v>
      </c>
      <c r="F208" s="106" t="s">
        <v>92</v>
      </c>
      <c r="G208" s="112"/>
      <c r="H208" s="107" t="s">
        <v>22</v>
      </c>
      <c r="I208" s="114"/>
      <c r="J208" s="114"/>
      <c r="K208" s="114"/>
      <c r="L208" s="114"/>
      <c r="M208" s="114"/>
      <c r="N208" s="114"/>
      <c r="O208" s="114"/>
      <c r="P208" s="114"/>
      <c r="Q208" s="114"/>
      <c r="R208" s="112"/>
      <c r="S208" s="112"/>
      <c r="T208" s="112"/>
      <c r="U208" s="112"/>
      <c r="V208" s="112"/>
      <c r="W208" s="125"/>
      <c r="X208" s="112"/>
      <c r="Y208" s="112"/>
      <c r="Z208" s="125"/>
      <c r="AA208" s="112"/>
      <c r="AB208" s="112"/>
      <c r="AC208" s="125">
        <v>51.0</v>
      </c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2"/>
      <c r="AN208" s="113">
        <f>G208+SUM(I208:AM208)-SUM(I209:AM209)</f>
        <v>51</v>
      </c>
      <c r="AO208" s="53">
        <f>ROUNDDOWN((AN208/E208)/$H$4,1)</f>
        <v>32</v>
      </c>
      <c r="AP208" s="53">
        <f>$M$4+AO208</f>
        <v>926</v>
      </c>
    </row>
    <row r="209">
      <c r="A209" s="31"/>
      <c r="B209" s="17"/>
      <c r="C209" s="17"/>
      <c r="D209" s="17"/>
      <c r="E209" s="17"/>
      <c r="F209" s="18"/>
      <c r="G209" s="112"/>
      <c r="H209" s="107" t="s">
        <v>23</v>
      </c>
      <c r="I209" s="114"/>
      <c r="J209" s="114"/>
      <c r="K209" s="114"/>
      <c r="L209" s="114"/>
      <c r="M209" s="114"/>
      <c r="N209" s="114"/>
      <c r="O209" s="114"/>
      <c r="P209" s="114"/>
      <c r="Q209" s="114"/>
      <c r="R209" s="112"/>
      <c r="S209" s="112"/>
      <c r="T209" s="112"/>
      <c r="U209" s="112"/>
      <c r="V209" s="112"/>
      <c r="W209" s="112"/>
      <c r="X209" s="112"/>
      <c r="Y209" s="112"/>
      <c r="Z209" s="112"/>
      <c r="AA209" s="112"/>
      <c r="AB209" s="112"/>
      <c r="AC209" s="112"/>
      <c r="AD209" s="112"/>
      <c r="AE209" s="112"/>
      <c r="AF209" s="112"/>
      <c r="AG209" s="112"/>
      <c r="AH209" s="112"/>
      <c r="AI209" s="112"/>
      <c r="AJ209" s="112"/>
      <c r="AK209" s="112"/>
      <c r="AL209" s="112"/>
      <c r="AM209" s="112"/>
      <c r="AN209" s="32"/>
    </row>
    <row r="210">
      <c r="A210" s="33"/>
      <c r="B210" s="33"/>
      <c r="C210" s="33"/>
      <c r="D210" s="33"/>
      <c r="E210" s="106"/>
      <c r="F210" s="106"/>
      <c r="G210" s="160"/>
      <c r="H210" s="107"/>
      <c r="I210" s="117"/>
      <c r="J210" s="117"/>
      <c r="K210" s="117"/>
      <c r="L210" s="107"/>
      <c r="M210" s="117"/>
      <c r="N210" s="117"/>
      <c r="O210" s="117"/>
      <c r="P210" s="117"/>
      <c r="Q210" s="117"/>
      <c r="R210" s="119"/>
      <c r="S210" s="112"/>
      <c r="T210" s="119"/>
      <c r="U210" s="119"/>
      <c r="V210" s="119"/>
      <c r="W210" s="119"/>
      <c r="X210" s="119"/>
      <c r="Y210" s="119"/>
      <c r="Z210" s="112"/>
      <c r="AA210" s="119"/>
      <c r="AB210" s="119"/>
      <c r="AC210" s="119"/>
      <c r="AD210" s="119"/>
      <c r="AE210" s="119"/>
      <c r="AF210" s="119"/>
      <c r="AG210" s="112"/>
      <c r="AH210" s="119"/>
      <c r="AI210" s="119"/>
      <c r="AJ210" s="119"/>
      <c r="AK210" s="119"/>
      <c r="AL210" s="119"/>
      <c r="AM210" s="119"/>
      <c r="AN210" s="122"/>
      <c r="AO210" s="53"/>
      <c r="AP210" s="53"/>
    </row>
    <row r="211">
      <c r="A211" s="24" t="s">
        <v>98</v>
      </c>
      <c r="B211" s="17"/>
      <c r="C211" s="17"/>
      <c r="D211" s="18"/>
      <c r="E211" s="106">
        <v>0.03</v>
      </c>
      <c r="F211" s="106" t="s">
        <v>92</v>
      </c>
      <c r="G211" s="160">
        <v>8.0</v>
      </c>
      <c r="H211" s="107" t="s">
        <v>22</v>
      </c>
      <c r="I211" s="114"/>
      <c r="J211" s="114"/>
      <c r="K211" s="114"/>
      <c r="L211" s="107"/>
      <c r="M211" s="114"/>
      <c r="N211" s="114"/>
      <c r="O211" s="114"/>
      <c r="P211" s="114"/>
      <c r="Q211" s="114"/>
      <c r="R211" s="112"/>
      <c r="S211" s="112"/>
      <c r="T211" s="112"/>
      <c r="U211" s="112"/>
      <c r="V211" s="112"/>
      <c r="W211" s="112"/>
      <c r="X211" s="112"/>
      <c r="Y211" s="112"/>
      <c r="Z211" s="112"/>
      <c r="AA211" s="112"/>
      <c r="AB211" s="112"/>
      <c r="AC211" s="125">
        <v>24.0</v>
      </c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2"/>
      <c r="AN211" s="113">
        <f>G211+SUM(I211:AL211)-SUM(I212:AL212)</f>
        <v>24</v>
      </c>
      <c r="AO211" s="53">
        <f>ROUNDDOWN((AN211/E211)/$H$4,1)</f>
        <v>26.6</v>
      </c>
      <c r="AP211" s="53">
        <f>$M$4+AO211</f>
        <v>920.6</v>
      </c>
    </row>
    <row r="212">
      <c r="A212" s="31"/>
      <c r="B212" s="17"/>
      <c r="C212" s="17"/>
      <c r="D212" s="17"/>
      <c r="E212" s="17"/>
      <c r="F212" s="18"/>
      <c r="G212" s="112"/>
      <c r="H212" s="107" t="s">
        <v>23</v>
      </c>
      <c r="I212" s="107"/>
      <c r="J212" s="114"/>
      <c r="K212" s="107"/>
      <c r="L212" s="114"/>
      <c r="M212" s="114"/>
      <c r="N212" s="114"/>
      <c r="O212" s="114"/>
      <c r="P212" s="107">
        <v>2.0</v>
      </c>
      <c r="Q212" s="114"/>
      <c r="R212" s="112"/>
      <c r="S212" s="112"/>
      <c r="T212" s="112"/>
      <c r="U212" s="112"/>
      <c r="V212" s="112"/>
      <c r="W212" s="112"/>
      <c r="X212" s="112"/>
      <c r="Y212" s="112"/>
      <c r="Z212" s="112"/>
      <c r="AA212" s="125"/>
      <c r="AB212" s="125"/>
      <c r="AC212" s="112"/>
      <c r="AD212" s="125">
        <v>6.0</v>
      </c>
      <c r="AE212" s="112"/>
      <c r="AF212" s="112"/>
      <c r="AG212" s="112"/>
      <c r="AH212" s="112"/>
      <c r="AI212" s="112"/>
      <c r="AJ212" s="112"/>
      <c r="AK212" s="112"/>
      <c r="AL212" s="112"/>
      <c r="AM212" s="112"/>
      <c r="AN212" s="32"/>
    </row>
    <row r="213">
      <c r="A213" s="33"/>
      <c r="B213" s="33"/>
      <c r="C213" s="33"/>
      <c r="D213" s="33"/>
      <c r="E213" s="106"/>
      <c r="F213" s="106"/>
      <c r="G213" s="160"/>
      <c r="H213" s="107"/>
      <c r="I213" s="117"/>
      <c r="J213" s="117"/>
      <c r="K213" s="117"/>
      <c r="L213" s="114"/>
      <c r="M213" s="117"/>
      <c r="N213" s="117"/>
      <c r="O213" s="117"/>
      <c r="P213" s="118"/>
      <c r="Q213" s="117"/>
      <c r="R213" s="119"/>
      <c r="S213" s="112"/>
      <c r="T213" s="119"/>
      <c r="U213" s="119"/>
      <c r="V213" s="121"/>
      <c r="W213" s="119"/>
      <c r="X213" s="119"/>
      <c r="Y213" s="119"/>
      <c r="Z213" s="112"/>
      <c r="AA213" s="119"/>
      <c r="AB213" s="119"/>
      <c r="AC213" s="119"/>
      <c r="AD213" s="120"/>
      <c r="AE213" s="119"/>
      <c r="AF213" s="119"/>
      <c r="AG213" s="112"/>
      <c r="AH213" s="119"/>
      <c r="AI213" s="119"/>
      <c r="AJ213" s="119"/>
      <c r="AK213" s="119"/>
      <c r="AL213" s="119"/>
      <c r="AM213" s="119"/>
      <c r="AN213" s="122"/>
      <c r="AO213" s="53"/>
      <c r="AP213" s="53"/>
    </row>
    <row r="214">
      <c r="A214" s="24" t="s">
        <v>99</v>
      </c>
      <c r="B214" s="17"/>
      <c r="C214" s="17"/>
      <c r="D214" s="18"/>
      <c r="E214" s="106">
        <v>0.03</v>
      </c>
      <c r="F214" s="106" t="s">
        <v>92</v>
      </c>
      <c r="G214" s="160">
        <v>32.0</v>
      </c>
      <c r="H214" s="107" t="s">
        <v>22</v>
      </c>
      <c r="I214" s="114"/>
      <c r="J214" s="114"/>
      <c r="K214" s="114"/>
      <c r="L214" s="114"/>
      <c r="M214" s="114"/>
      <c r="N214" s="114"/>
      <c r="O214" s="114"/>
      <c r="P214" s="114"/>
      <c r="Q214" s="114"/>
      <c r="R214" s="112"/>
      <c r="S214" s="112"/>
      <c r="T214" s="112"/>
      <c r="U214" s="112"/>
      <c r="V214" s="125"/>
      <c r="W214" s="112"/>
      <c r="X214" s="112"/>
      <c r="Y214" s="112"/>
      <c r="Z214" s="112"/>
      <c r="AA214" s="112"/>
      <c r="AB214" s="112"/>
      <c r="AC214" s="125">
        <v>5.0</v>
      </c>
      <c r="AD214" s="112"/>
      <c r="AE214" s="112"/>
      <c r="AF214" s="112"/>
      <c r="AG214" s="112"/>
      <c r="AH214" s="112"/>
      <c r="AI214" s="112"/>
      <c r="AJ214" s="112"/>
      <c r="AK214" s="112"/>
      <c r="AL214" s="112"/>
      <c r="AM214" s="112"/>
      <c r="AN214" s="113">
        <f>G214+SUM(I214:AL214)-SUM(I215:AL215)</f>
        <v>37</v>
      </c>
      <c r="AO214" s="53">
        <f>ROUNDDOWN((AN214/E214)/$H$4,1)</f>
        <v>41.1</v>
      </c>
      <c r="AP214" s="53">
        <f>$M$4+AO214</f>
        <v>935.1</v>
      </c>
    </row>
    <row r="215">
      <c r="A215" s="31"/>
      <c r="B215" s="17"/>
      <c r="C215" s="17"/>
      <c r="D215" s="17"/>
      <c r="E215" s="17"/>
      <c r="F215" s="18"/>
      <c r="G215" s="112"/>
      <c r="H215" s="107" t="s">
        <v>23</v>
      </c>
      <c r="I215" s="114"/>
      <c r="J215" s="114"/>
      <c r="K215" s="107"/>
      <c r="L215" s="114"/>
      <c r="M215" s="107"/>
      <c r="N215" s="114"/>
      <c r="O215" s="114"/>
      <c r="P215" s="107"/>
      <c r="Q215" s="107"/>
      <c r="R215" s="112"/>
      <c r="S215" s="112"/>
      <c r="T215" s="112"/>
      <c r="U215" s="125"/>
      <c r="V215" s="112"/>
      <c r="W215" s="112"/>
      <c r="X215" s="112"/>
      <c r="Y215" s="112"/>
      <c r="Z215" s="125"/>
      <c r="AA215" s="112"/>
      <c r="AB215" s="112"/>
      <c r="AC215" s="125"/>
      <c r="AD215" s="112"/>
      <c r="AE215" s="112"/>
      <c r="AF215" s="112"/>
      <c r="AG215" s="112"/>
      <c r="AH215" s="125"/>
      <c r="AI215" s="112"/>
      <c r="AJ215" s="112"/>
      <c r="AK215" s="112"/>
      <c r="AL215" s="112"/>
      <c r="AM215" s="112"/>
      <c r="AN215" s="32"/>
    </row>
    <row r="216">
      <c r="A216" s="33"/>
      <c r="B216" s="33"/>
      <c r="C216" s="33"/>
      <c r="D216" s="33"/>
      <c r="E216" s="106"/>
      <c r="F216" s="106"/>
      <c r="G216" s="160"/>
      <c r="H216" s="107"/>
      <c r="I216" s="117"/>
      <c r="J216" s="117"/>
      <c r="K216" s="117"/>
      <c r="L216" s="114"/>
      <c r="M216" s="117"/>
      <c r="N216" s="117"/>
      <c r="O216" s="117"/>
      <c r="P216" s="117"/>
      <c r="Q216" s="117"/>
      <c r="R216" s="119"/>
      <c r="S216" s="112"/>
      <c r="T216" s="119"/>
      <c r="U216" s="119"/>
      <c r="V216" s="119"/>
      <c r="W216" s="119"/>
      <c r="X216" s="119"/>
      <c r="Y216" s="119"/>
      <c r="Z216" s="112"/>
      <c r="AA216" s="121"/>
      <c r="AB216" s="119"/>
      <c r="AC216" s="119"/>
      <c r="AD216" s="119"/>
      <c r="AE216" s="119"/>
      <c r="AF216" s="119"/>
      <c r="AG216" s="112"/>
      <c r="AH216" s="119"/>
      <c r="AI216" s="119"/>
      <c r="AJ216" s="119"/>
      <c r="AK216" s="119"/>
      <c r="AL216" s="119"/>
      <c r="AM216" s="119"/>
      <c r="AN216" s="122"/>
      <c r="AO216" s="53"/>
      <c r="AP216" s="53"/>
    </row>
    <row r="217">
      <c r="A217" s="24" t="s">
        <v>100</v>
      </c>
      <c r="B217" s="17"/>
      <c r="C217" s="17"/>
      <c r="D217" s="18"/>
      <c r="E217" s="106">
        <v>0.014</v>
      </c>
      <c r="F217" s="106" t="s">
        <v>101</v>
      </c>
      <c r="G217" s="160">
        <v>38.0</v>
      </c>
      <c r="H217" s="107" t="s">
        <v>22</v>
      </c>
      <c r="I217" s="114"/>
      <c r="J217" s="114"/>
      <c r="K217" s="114"/>
      <c r="L217" s="114"/>
      <c r="M217" s="114"/>
      <c r="N217" s="114"/>
      <c r="O217" s="114"/>
      <c r="P217" s="114"/>
      <c r="Q217" s="114"/>
      <c r="R217" s="112"/>
      <c r="S217" s="112"/>
      <c r="T217" s="112"/>
      <c r="U217" s="112"/>
      <c r="V217" s="112"/>
      <c r="W217" s="112"/>
      <c r="X217" s="112"/>
      <c r="Y217" s="112"/>
      <c r="Z217" s="112"/>
      <c r="AA217" s="125"/>
      <c r="AB217" s="112"/>
      <c r="AC217" s="112"/>
      <c r="AD217" s="112"/>
      <c r="AE217" s="112"/>
      <c r="AF217" s="112"/>
      <c r="AG217" s="112"/>
      <c r="AH217" s="112"/>
      <c r="AI217" s="112"/>
      <c r="AJ217" s="112"/>
      <c r="AK217" s="112"/>
      <c r="AL217" s="112"/>
      <c r="AM217" s="112"/>
      <c r="AN217" s="113">
        <f>G217+SUM(I217:AL217)-SUM(I218:AL218)</f>
        <v>31</v>
      </c>
      <c r="AO217" s="53">
        <f>ROUNDDOWN((AN217/E217)/$H$4,1)</f>
        <v>73.8</v>
      </c>
      <c r="AP217" s="53">
        <f>$M$4+AO217</f>
        <v>967.8</v>
      </c>
    </row>
    <row r="218">
      <c r="A218" s="31"/>
      <c r="B218" s="215"/>
      <c r="C218" s="215"/>
      <c r="D218" s="215"/>
      <c r="E218" s="215"/>
      <c r="F218" s="112"/>
      <c r="G218" s="112"/>
      <c r="H218" s="107" t="s">
        <v>23</v>
      </c>
      <c r="I218" s="107">
        <v>1.0</v>
      </c>
      <c r="J218" s="107"/>
      <c r="K218" s="107">
        <v>1.0</v>
      </c>
      <c r="L218" s="107"/>
      <c r="M218" s="107"/>
      <c r="N218" s="114"/>
      <c r="O218" s="107">
        <v>1.0</v>
      </c>
      <c r="P218" s="107"/>
      <c r="Q218" s="114"/>
      <c r="R218" s="112"/>
      <c r="S218" s="112"/>
      <c r="T218" s="112"/>
      <c r="U218" s="112"/>
      <c r="V218" s="125"/>
      <c r="W218" s="112"/>
      <c r="X218" s="125">
        <v>1.0</v>
      </c>
      <c r="Y218" s="112"/>
      <c r="Z218" s="112"/>
      <c r="AA218" s="125">
        <v>1.0</v>
      </c>
      <c r="AB218" s="112"/>
      <c r="AC218" s="125">
        <v>1.0</v>
      </c>
      <c r="AD218" s="112"/>
      <c r="AE218" s="112"/>
      <c r="AF218" s="112"/>
      <c r="AG218" s="125"/>
      <c r="AH218" s="125"/>
      <c r="AI218" s="125">
        <v>1.0</v>
      </c>
      <c r="AJ218" s="112"/>
      <c r="AK218" s="125"/>
      <c r="AL218" s="112"/>
      <c r="AM218" s="112"/>
      <c r="AN218" s="32"/>
    </row>
    <row r="219">
      <c r="A219" s="162"/>
      <c r="B219" s="162"/>
      <c r="C219" s="162"/>
      <c r="D219" s="162"/>
      <c r="E219" s="162"/>
      <c r="F219" s="162"/>
      <c r="G219" s="163"/>
      <c r="H219" s="110"/>
      <c r="I219" s="120"/>
      <c r="J219" s="119"/>
      <c r="K219" s="120"/>
      <c r="L219" s="112"/>
      <c r="M219" s="119"/>
      <c r="N219" s="119"/>
      <c r="O219" s="120"/>
      <c r="P219" s="119"/>
      <c r="Q219" s="119"/>
      <c r="R219" s="119"/>
      <c r="S219" s="112"/>
      <c r="T219" s="119"/>
      <c r="U219" s="119"/>
      <c r="V219" s="119"/>
      <c r="W219" s="119"/>
      <c r="X219" s="120"/>
      <c r="Y219" s="119"/>
      <c r="Z219" s="112"/>
      <c r="AA219" s="120"/>
      <c r="AB219" s="119"/>
      <c r="AC219" s="120"/>
      <c r="AD219" s="119"/>
      <c r="AE219" s="119"/>
      <c r="AF219" s="119"/>
      <c r="AG219" s="112"/>
      <c r="AH219" s="119"/>
      <c r="AI219" s="120"/>
      <c r="AJ219" s="119"/>
      <c r="AK219" s="119"/>
      <c r="AL219" s="119"/>
      <c r="AM219" s="119"/>
      <c r="AN219" s="110"/>
      <c r="AO219" s="49"/>
      <c r="AP219" s="49"/>
    </row>
    <row r="220">
      <c r="A220" s="16" t="s">
        <v>102</v>
      </c>
      <c r="B220" s="17"/>
      <c r="C220" s="17"/>
      <c r="D220" s="17"/>
      <c r="E220" s="17"/>
      <c r="F220" s="17"/>
      <c r="G220" s="18"/>
      <c r="H220" s="135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  <c r="V220" s="134"/>
      <c r="W220" s="134"/>
      <c r="X220" s="134"/>
      <c r="Y220" s="134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5"/>
      <c r="AM220" s="135"/>
      <c r="AN220" s="135"/>
      <c r="AO220" s="52"/>
      <c r="AP220" s="52"/>
    </row>
    <row r="221">
      <c r="A221" s="24" t="s">
        <v>103</v>
      </c>
      <c r="B221" s="17"/>
      <c r="C221" s="17"/>
      <c r="D221" s="18"/>
      <c r="E221" s="106">
        <v>0.2</v>
      </c>
      <c r="F221" s="106" t="s">
        <v>104</v>
      </c>
      <c r="G221" s="160">
        <v>115.0</v>
      </c>
      <c r="H221" s="107" t="s">
        <v>22</v>
      </c>
      <c r="I221" s="114"/>
      <c r="J221" s="114"/>
      <c r="K221" s="114"/>
      <c r="L221" s="114"/>
      <c r="M221" s="107"/>
      <c r="N221" s="114"/>
      <c r="O221" s="114"/>
      <c r="P221" s="114"/>
      <c r="Q221" s="114"/>
      <c r="R221" s="112"/>
      <c r="S221" s="112"/>
      <c r="T221" s="112"/>
      <c r="U221" s="112"/>
      <c r="V221" s="112"/>
      <c r="W221" s="112"/>
      <c r="X221" s="112"/>
      <c r="Y221" s="112"/>
      <c r="Z221" s="112"/>
      <c r="AA221" s="112"/>
      <c r="AB221" s="112"/>
      <c r="AC221" s="125">
        <v>135.0</v>
      </c>
      <c r="AD221" s="112"/>
      <c r="AE221" s="112"/>
      <c r="AF221" s="112"/>
      <c r="AG221" s="112"/>
      <c r="AH221" s="112"/>
      <c r="AI221" s="112"/>
      <c r="AJ221" s="112"/>
      <c r="AK221" s="112"/>
      <c r="AL221" s="112"/>
      <c r="AM221" s="112"/>
      <c r="AN221" s="113">
        <f>G221+SUM(I221:AM221)-SUM(I222:AM222)</f>
        <v>164</v>
      </c>
      <c r="AO221" s="53">
        <f>ROUNDDOWN((AN221/E221)/$H$4,1)</f>
        <v>27.3</v>
      </c>
      <c r="AP221" s="53">
        <f>$M$4+AO221</f>
        <v>921.3</v>
      </c>
    </row>
    <row r="222">
      <c r="A222" s="31"/>
      <c r="B222" s="17"/>
      <c r="C222" s="17"/>
      <c r="D222" s="17"/>
      <c r="E222" s="17"/>
      <c r="F222" s="18"/>
      <c r="G222" s="112"/>
      <c r="H222" s="107" t="s">
        <v>23</v>
      </c>
      <c r="I222" s="107">
        <f>1+2+1+5</f>
        <v>9</v>
      </c>
      <c r="J222" s="107">
        <f>2+1</f>
        <v>3</v>
      </c>
      <c r="K222" s="114"/>
      <c r="L222" s="107"/>
      <c r="M222" s="107"/>
      <c r="N222" s="107">
        <f t="shared" ref="N222:O222" si="87">1+1</f>
        <v>2</v>
      </c>
      <c r="O222" s="107">
        <f t="shared" si="87"/>
        <v>2</v>
      </c>
      <c r="P222" s="107">
        <f>2+1+1+1</f>
        <v>5</v>
      </c>
      <c r="Q222" s="107">
        <f>1+3</f>
        <v>4</v>
      </c>
      <c r="R222" s="125">
        <f>2+2</f>
        <v>4</v>
      </c>
      <c r="S222" s="125"/>
      <c r="T222" s="125">
        <v>1.0</v>
      </c>
      <c r="U222" s="125"/>
      <c r="V222" s="125">
        <f>2+2+1</f>
        <v>5</v>
      </c>
      <c r="W222" s="125">
        <f>2+3</f>
        <v>5</v>
      </c>
      <c r="X222" s="125">
        <f>3+1</f>
        <v>4</v>
      </c>
      <c r="Y222" s="125">
        <v>2.0</v>
      </c>
      <c r="Z222" s="125"/>
      <c r="AA222" s="125">
        <f>2+1</f>
        <v>3</v>
      </c>
      <c r="AB222" s="125">
        <f>1+1+2</f>
        <v>4</v>
      </c>
      <c r="AC222" s="125"/>
      <c r="AD222" s="125">
        <f>2+2+1+1+1+3</f>
        <v>10</v>
      </c>
      <c r="AE222" s="125"/>
      <c r="AF222" s="125">
        <f>1+1</f>
        <v>2</v>
      </c>
      <c r="AG222" s="125"/>
      <c r="AH222" s="125">
        <f>1</f>
        <v>1</v>
      </c>
      <c r="AI222" s="125">
        <f>2+1+1+1</f>
        <v>5</v>
      </c>
      <c r="AJ222" s="125">
        <f>1+3+2</f>
        <v>6</v>
      </c>
      <c r="AK222" s="125">
        <f>1+1+2+1</f>
        <v>5</v>
      </c>
      <c r="AL222" s="125">
        <f>1+1</f>
        <v>2</v>
      </c>
      <c r="AM222" s="125">
        <v>2.0</v>
      </c>
      <c r="AN222" s="32"/>
    </row>
    <row r="223">
      <c r="A223" s="33"/>
      <c r="B223" s="33"/>
      <c r="C223" s="33"/>
      <c r="D223" s="33"/>
      <c r="E223" s="106"/>
      <c r="F223" s="106"/>
      <c r="G223" s="112"/>
      <c r="H223" s="107"/>
      <c r="I223" s="118"/>
      <c r="J223" s="118"/>
      <c r="K223" s="117"/>
      <c r="L223" s="114"/>
      <c r="M223" s="117"/>
      <c r="N223" s="118"/>
      <c r="O223" s="124"/>
      <c r="P223" s="124"/>
      <c r="Q223" s="118"/>
      <c r="R223" s="127"/>
      <c r="S223" s="125"/>
      <c r="T223" s="120"/>
      <c r="U223" s="121"/>
      <c r="V223" s="120"/>
      <c r="W223" s="120"/>
      <c r="X223" s="120"/>
      <c r="Y223" s="120"/>
      <c r="Z223" s="112"/>
      <c r="AA223" s="120"/>
      <c r="AB223" s="127"/>
      <c r="AC223" s="119"/>
      <c r="AD223" s="120"/>
      <c r="AE223" s="119"/>
      <c r="AF223" s="120"/>
      <c r="AG223" s="125"/>
      <c r="AH223" s="120"/>
      <c r="AI223" s="120"/>
      <c r="AJ223" s="120"/>
      <c r="AK223" s="127"/>
      <c r="AL223" s="120"/>
      <c r="AM223" s="120"/>
      <c r="AN223" s="122"/>
      <c r="AO223" s="53"/>
      <c r="AP223" s="53"/>
    </row>
    <row r="224">
      <c r="A224" s="24" t="s">
        <v>105</v>
      </c>
      <c r="B224" s="17"/>
      <c r="C224" s="17"/>
      <c r="D224" s="18"/>
      <c r="E224" s="106">
        <v>1.1</v>
      </c>
      <c r="F224" s="106" t="s">
        <v>106</v>
      </c>
      <c r="G224" s="125">
        <v>17.0</v>
      </c>
      <c r="H224" s="107" t="s">
        <v>22</v>
      </c>
      <c r="I224" s="114"/>
      <c r="J224" s="107"/>
      <c r="K224" s="107">
        <v>20.0</v>
      </c>
      <c r="L224" s="114"/>
      <c r="M224" s="107"/>
      <c r="N224" s="114"/>
      <c r="O224" s="107"/>
      <c r="P224" s="107">
        <v>20.0</v>
      </c>
      <c r="Q224" s="114"/>
      <c r="R224" s="125"/>
      <c r="S224" s="125"/>
      <c r="T224" s="125">
        <v>20.0</v>
      </c>
      <c r="U224" s="125"/>
      <c r="V224" s="112"/>
      <c r="W224" s="125">
        <v>30.0</v>
      </c>
      <c r="X224" s="125"/>
      <c r="Y224" s="112"/>
      <c r="Z224" s="112"/>
      <c r="AA224" s="125"/>
      <c r="AB224" s="125"/>
      <c r="AC224" s="112">
        <f>10+60</f>
        <v>70</v>
      </c>
      <c r="AD224" s="125"/>
      <c r="AE224" s="112"/>
      <c r="AF224" s="112"/>
      <c r="AG224" s="125"/>
      <c r="AH224" s="112"/>
      <c r="AI224" s="125">
        <v>20.0</v>
      </c>
      <c r="AJ224" s="125"/>
      <c r="AK224" s="125"/>
      <c r="AL224" s="112"/>
      <c r="AM224" s="112"/>
      <c r="AN224" s="113">
        <f>G224+SUM(I224:AL224)-SUM(I225:AL225)</f>
        <v>175</v>
      </c>
      <c r="AO224" s="53">
        <f>ROUNDDOWN((AN224/E224)/$H$4,1)</f>
        <v>5.3</v>
      </c>
      <c r="AP224" s="53">
        <f>$M$4+AO224</f>
        <v>899.3</v>
      </c>
    </row>
    <row r="225">
      <c r="A225" s="31"/>
      <c r="B225" s="17"/>
      <c r="C225" s="17"/>
      <c r="D225" s="17"/>
      <c r="E225" s="17"/>
      <c r="F225" s="18"/>
      <c r="G225" s="112"/>
      <c r="H225" s="107" t="s">
        <v>23</v>
      </c>
      <c r="I225" s="107"/>
      <c r="J225" s="114">
        <f t="shared" ref="J225:K225" si="88">1+1+1+1</f>
        <v>4</v>
      </c>
      <c r="K225" s="114">
        <f t="shared" si="88"/>
        <v>4</v>
      </c>
      <c r="L225" s="107">
        <v>1.0</v>
      </c>
      <c r="M225" s="114"/>
      <c r="N225" s="114">
        <f t="shared" ref="N225:O225" si="89">1+1</f>
        <v>2</v>
      </c>
      <c r="O225" s="114">
        <f t="shared" si="89"/>
        <v>2</v>
      </c>
      <c r="P225" s="114">
        <f>1+1+1</f>
        <v>3</v>
      </c>
      <c r="Q225" s="114">
        <f>1+1</f>
        <v>2</v>
      </c>
      <c r="R225" s="125"/>
      <c r="S225" s="125"/>
      <c r="T225" s="112"/>
      <c r="U225" s="112"/>
      <c r="V225" s="112"/>
      <c r="W225" s="125">
        <v>1.0</v>
      </c>
      <c r="X225" s="112"/>
      <c r="Y225" s="112"/>
      <c r="Z225" s="112"/>
      <c r="AA225" s="125">
        <v>1.0</v>
      </c>
      <c r="AB225" s="125">
        <f>1+1</f>
        <v>2</v>
      </c>
      <c r="AC225" s="125"/>
      <c r="AD225" s="112"/>
      <c r="AE225" s="112"/>
      <c r="AF225" s="112"/>
      <c r="AG225" s="112"/>
      <c r="AH225" s="112"/>
      <c r="AI225" s="125"/>
      <c r="AJ225" s="112"/>
      <c r="AK225" s="112"/>
      <c r="AL225" s="112"/>
      <c r="AM225" s="112"/>
      <c r="AN225" s="32"/>
    </row>
    <row r="226">
      <c r="A226" s="58"/>
      <c r="B226" s="58"/>
      <c r="C226" s="58"/>
      <c r="D226" s="58"/>
      <c r="E226" s="58"/>
      <c r="F226" s="58"/>
      <c r="G226" s="163"/>
      <c r="H226" s="151"/>
      <c r="I226" s="165"/>
      <c r="J226" s="164"/>
      <c r="K226" s="164"/>
      <c r="L226" s="164"/>
      <c r="M226" s="165"/>
      <c r="N226" s="164"/>
      <c r="O226" s="164"/>
      <c r="P226" s="164"/>
      <c r="Q226" s="164"/>
      <c r="R226" s="119"/>
      <c r="S226" s="112"/>
      <c r="T226" s="119"/>
      <c r="U226" s="119"/>
      <c r="V226" s="119"/>
      <c r="W226" s="120"/>
      <c r="X226" s="119"/>
      <c r="Y226" s="119"/>
      <c r="Z226" s="112"/>
      <c r="AA226" s="120"/>
      <c r="AB226" s="120"/>
      <c r="AC226" s="119"/>
      <c r="AD226" s="119"/>
      <c r="AE226" s="119"/>
      <c r="AF226" s="119"/>
      <c r="AG226" s="112"/>
      <c r="AH226" s="119"/>
      <c r="AI226" s="119"/>
      <c r="AJ226" s="119"/>
      <c r="AK226" s="119"/>
      <c r="AL226" s="119"/>
      <c r="AM226" s="119"/>
      <c r="AN226" s="110"/>
      <c r="AO226" s="49"/>
      <c r="AP226" s="49"/>
    </row>
    <row r="227">
      <c r="A227" s="16" t="s">
        <v>107</v>
      </c>
      <c r="B227" s="17"/>
      <c r="C227" s="17"/>
      <c r="D227" s="17"/>
      <c r="E227" s="17"/>
      <c r="F227" s="17"/>
      <c r="G227" s="18"/>
      <c r="H227" s="152"/>
      <c r="I227" s="167"/>
      <c r="J227" s="167"/>
      <c r="K227" s="167"/>
      <c r="L227" s="167"/>
      <c r="M227" s="167"/>
      <c r="N227" s="167"/>
      <c r="O227" s="167"/>
      <c r="P227" s="167"/>
      <c r="Q227" s="167"/>
      <c r="R227" s="134"/>
      <c r="S227" s="134"/>
      <c r="T227" s="134"/>
      <c r="U227" s="134"/>
      <c r="V227" s="134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5"/>
      <c r="AM227" s="135"/>
      <c r="AN227" s="135"/>
      <c r="AO227" s="52"/>
      <c r="AP227" s="52"/>
    </row>
    <row r="228">
      <c r="A228" s="24" t="s">
        <v>108</v>
      </c>
      <c r="B228" s="17"/>
      <c r="C228" s="17"/>
      <c r="D228" s="18"/>
      <c r="E228" s="106">
        <v>0.1</v>
      </c>
      <c r="F228" s="106" t="s">
        <v>21</v>
      </c>
      <c r="G228" s="160">
        <v>55.0</v>
      </c>
      <c r="H228" s="107" t="s">
        <v>22</v>
      </c>
      <c r="I228" s="114"/>
      <c r="J228" s="114"/>
      <c r="K228" s="114"/>
      <c r="L228" s="114"/>
      <c r="M228" s="114"/>
      <c r="N228" s="114"/>
      <c r="O228" s="114"/>
      <c r="P228" s="114"/>
      <c r="Q228" s="114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2"/>
      <c r="AH228" s="112"/>
      <c r="AI228" s="112"/>
      <c r="AJ228" s="112"/>
      <c r="AK228" s="112"/>
      <c r="AL228" s="112"/>
      <c r="AM228" s="112"/>
      <c r="AN228" s="113">
        <f>G228+SUM(I228:AL228)-SUM(I229:AL229)</f>
        <v>55</v>
      </c>
      <c r="AO228" s="53">
        <f>ROUNDDOWN((AN228/E228)/$H$4,1)</f>
        <v>18.3</v>
      </c>
      <c r="AP228" s="53"/>
    </row>
    <row r="229">
      <c r="A229" s="31"/>
      <c r="B229" s="215"/>
      <c r="C229" s="215"/>
      <c r="D229" s="215"/>
      <c r="E229" s="215"/>
      <c r="F229" s="112"/>
      <c r="G229" s="112"/>
      <c r="H229" s="107" t="s">
        <v>23</v>
      </c>
      <c r="I229" s="114"/>
      <c r="J229" s="114"/>
      <c r="K229" s="114"/>
      <c r="L229" s="114"/>
      <c r="M229" s="114"/>
      <c r="N229" s="114"/>
      <c r="O229" s="114"/>
      <c r="P229" s="114"/>
      <c r="Q229" s="114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2"/>
      <c r="AK229" s="112"/>
      <c r="AL229" s="112"/>
      <c r="AM229" s="112"/>
      <c r="AN229" s="32"/>
    </row>
    <row r="230">
      <c r="A230" s="162"/>
      <c r="B230" s="162"/>
      <c r="C230" s="162"/>
      <c r="D230" s="162"/>
      <c r="E230" s="162"/>
      <c r="F230" s="162"/>
      <c r="G230" s="163"/>
      <c r="H230" s="151"/>
      <c r="I230" s="165"/>
      <c r="J230" s="165"/>
      <c r="K230" s="165"/>
      <c r="L230" s="166"/>
      <c r="M230" s="165"/>
      <c r="N230" s="165"/>
      <c r="O230" s="165"/>
      <c r="P230" s="165"/>
      <c r="Q230" s="165"/>
      <c r="R230" s="119"/>
      <c r="S230" s="112"/>
      <c r="T230" s="119"/>
      <c r="U230" s="119"/>
      <c r="V230" s="119"/>
      <c r="W230" s="119"/>
      <c r="X230" s="119"/>
      <c r="Y230" s="119"/>
      <c r="Z230" s="112"/>
      <c r="AA230" s="119"/>
      <c r="AB230" s="119"/>
      <c r="AC230" s="119"/>
      <c r="AD230" s="119"/>
      <c r="AE230" s="119"/>
      <c r="AF230" s="119"/>
      <c r="AG230" s="112"/>
      <c r="AH230" s="119"/>
      <c r="AI230" s="119"/>
      <c r="AJ230" s="119"/>
      <c r="AK230" s="119"/>
      <c r="AL230" s="119"/>
      <c r="AM230" s="119"/>
      <c r="AN230" s="110"/>
      <c r="AO230" s="49"/>
      <c r="AP230" s="49"/>
    </row>
    <row r="231">
      <c r="A231" s="16" t="s">
        <v>109</v>
      </c>
      <c r="B231" s="17"/>
      <c r="C231" s="17"/>
      <c r="D231" s="17"/>
      <c r="E231" s="17"/>
      <c r="F231" s="17"/>
      <c r="G231" s="18"/>
      <c r="H231" s="152"/>
      <c r="I231" s="167"/>
      <c r="J231" s="167"/>
      <c r="K231" s="167"/>
      <c r="L231" s="167"/>
      <c r="M231" s="167"/>
      <c r="N231" s="167"/>
      <c r="O231" s="167"/>
      <c r="P231" s="167"/>
      <c r="Q231" s="167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5"/>
      <c r="AM231" s="135"/>
      <c r="AN231" s="135"/>
      <c r="AO231" s="52"/>
      <c r="AP231" s="52"/>
    </row>
    <row r="232">
      <c r="A232" s="24" t="s">
        <v>110</v>
      </c>
      <c r="B232" s="17"/>
      <c r="C232" s="17"/>
      <c r="D232" s="18"/>
      <c r="E232" s="106">
        <v>0.3</v>
      </c>
      <c r="F232" s="106" t="s">
        <v>21</v>
      </c>
      <c r="G232" s="160">
        <v>209.0</v>
      </c>
      <c r="H232" s="107" t="s">
        <v>22</v>
      </c>
      <c r="I232" s="114"/>
      <c r="J232" s="114"/>
      <c r="K232" s="114"/>
      <c r="L232" s="114"/>
      <c r="M232" s="114"/>
      <c r="N232" s="114"/>
      <c r="O232" s="107"/>
      <c r="P232" s="114"/>
      <c r="Q232" s="114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25">
        <v>108.0</v>
      </c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2"/>
      <c r="AN232" s="113">
        <f>G232+SUM(I232:AL232)-SUM(I233:AL233)</f>
        <v>267</v>
      </c>
      <c r="AO232" s="53">
        <f>ROUNDDOWN((AN232/E232)/$H$4,1)</f>
        <v>29.6</v>
      </c>
      <c r="AP232" s="53">
        <f>$M$4+AO232</f>
        <v>923.6</v>
      </c>
    </row>
    <row r="233">
      <c r="A233" s="31"/>
      <c r="B233" s="17"/>
      <c r="C233" s="17"/>
      <c r="D233" s="17"/>
      <c r="E233" s="17"/>
      <c r="F233" s="18"/>
      <c r="G233" s="112"/>
      <c r="H233" s="107" t="s">
        <v>23</v>
      </c>
      <c r="I233" s="114"/>
      <c r="J233" s="114"/>
      <c r="K233" s="107"/>
      <c r="L233" s="114"/>
      <c r="M233" s="114"/>
      <c r="N233" s="114"/>
      <c r="O233" s="114"/>
      <c r="P233" s="114"/>
      <c r="Q233" s="114"/>
      <c r="R233" s="112"/>
      <c r="S233" s="112"/>
      <c r="T233" s="112"/>
      <c r="U233" s="112"/>
      <c r="V233" s="125"/>
      <c r="W233" s="112"/>
      <c r="X233" s="112"/>
      <c r="Y233" s="112"/>
      <c r="Z233" s="112"/>
      <c r="AA233" s="112"/>
      <c r="AB233" s="125">
        <v>25.0</v>
      </c>
      <c r="AC233" s="112"/>
      <c r="AD233" s="112"/>
      <c r="AE233" s="112"/>
      <c r="AF233" s="125">
        <v>25.0</v>
      </c>
      <c r="AG233" s="125"/>
      <c r="AH233" s="112"/>
      <c r="AI233" s="112"/>
      <c r="AJ233" s="112"/>
      <c r="AK233" s="112"/>
      <c r="AL233" s="112"/>
      <c r="AM233" s="112"/>
      <c r="AN233" s="32"/>
    </row>
    <row r="234">
      <c r="A234" s="33"/>
      <c r="B234" s="33"/>
      <c r="C234" s="33"/>
      <c r="D234" s="33"/>
      <c r="E234" s="106"/>
      <c r="F234" s="106"/>
      <c r="G234" s="160"/>
      <c r="H234" s="107"/>
      <c r="I234" s="117"/>
      <c r="J234" s="117"/>
      <c r="K234" s="117"/>
      <c r="L234" s="114"/>
      <c r="M234" s="117"/>
      <c r="N234" s="117"/>
      <c r="O234" s="117"/>
      <c r="P234" s="117"/>
      <c r="Q234" s="117"/>
      <c r="R234" s="119"/>
      <c r="S234" s="112"/>
      <c r="T234" s="119"/>
      <c r="U234" s="119"/>
      <c r="V234" s="119"/>
      <c r="W234" s="119"/>
      <c r="X234" s="119"/>
      <c r="Y234" s="119"/>
      <c r="Z234" s="112"/>
      <c r="AA234" s="119"/>
      <c r="AB234" s="120"/>
      <c r="AC234" s="119"/>
      <c r="AD234" s="119"/>
      <c r="AE234" s="119"/>
      <c r="AF234" s="120"/>
      <c r="AG234" s="112"/>
      <c r="AH234" s="119"/>
      <c r="AI234" s="119"/>
      <c r="AJ234" s="119"/>
      <c r="AK234" s="119"/>
      <c r="AL234" s="119"/>
      <c r="AM234" s="119"/>
      <c r="AN234" s="122"/>
      <c r="AO234" s="53"/>
      <c r="AP234" s="53"/>
    </row>
    <row r="235">
      <c r="A235" s="24" t="s">
        <v>111</v>
      </c>
      <c r="B235" s="17"/>
      <c r="C235" s="17"/>
      <c r="D235" s="18"/>
      <c r="E235" s="106">
        <v>3.0</v>
      </c>
      <c r="F235" s="106" t="s">
        <v>21</v>
      </c>
      <c r="G235" s="160">
        <v>1645.0</v>
      </c>
      <c r="H235" s="107" t="s">
        <v>22</v>
      </c>
      <c r="I235" s="114"/>
      <c r="J235" s="114"/>
      <c r="K235" s="114"/>
      <c r="L235" s="114"/>
      <c r="M235" s="114"/>
      <c r="N235" s="114"/>
      <c r="O235" s="114"/>
      <c r="P235" s="114"/>
      <c r="Q235" s="114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>
        <f>2970+50</f>
        <v>3020</v>
      </c>
      <c r="AB235" s="112"/>
      <c r="AC235" s="112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2"/>
      <c r="AN235" s="113">
        <f>G235+SUM(I235:AM235)-SUM(I236:AM236)</f>
        <v>2755</v>
      </c>
      <c r="AO235" s="53">
        <f>ROUNDDOWN((AN235/E235)/$H$4,1)</f>
        <v>30.6</v>
      </c>
      <c r="AP235" s="53">
        <f>$M$4+AO235</f>
        <v>924.6</v>
      </c>
    </row>
    <row r="236">
      <c r="A236" s="31"/>
      <c r="B236" s="17"/>
      <c r="C236" s="17"/>
      <c r="D236" s="17"/>
      <c r="E236" s="17"/>
      <c r="F236" s="18"/>
      <c r="G236" s="112"/>
      <c r="H236" s="107" t="s">
        <v>23</v>
      </c>
      <c r="I236" s="107"/>
      <c r="J236" s="107">
        <v>75.0</v>
      </c>
      <c r="K236" s="107">
        <v>75.0</v>
      </c>
      <c r="L236" s="107"/>
      <c r="M236" s="107"/>
      <c r="N236" s="107">
        <v>75.0</v>
      </c>
      <c r="O236" s="107">
        <v>75.0</v>
      </c>
      <c r="P236" s="107">
        <v>75.0</v>
      </c>
      <c r="Q236" s="107">
        <v>75.0</v>
      </c>
      <c r="R236" s="125">
        <v>75.0</v>
      </c>
      <c r="S236" s="125"/>
      <c r="T236" s="125">
        <v>75.0</v>
      </c>
      <c r="U236" s="125">
        <v>75.0</v>
      </c>
      <c r="V236" s="125">
        <v>75.0</v>
      </c>
      <c r="W236" s="125">
        <v>75.0</v>
      </c>
      <c r="X236" s="125">
        <v>75.0</v>
      </c>
      <c r="Y236" s="125">
        <v>75.0</v>
      </c>
      <c r="Z236" s="125"/>
      <c r="AA236" s="125">
        <v>75.0</v>
      </c>
      <c r="AB236" s="125">
        <v>75.0</v>
      </c>
      <c r="AC236" s="125">
        <v>75.0</v>
      </c>
      <c r="AD236" s="125">
        <v>100.0</v>
      </c>
      <c r="AE236" s="125">
        <v>75.0</v>
      </c>
      <c r="AF236" s="125">
        <v>85.0</v>
      </c>
      <c r="AG236" s="125"/>
      <c r="AH236" s="125">
        <v>75.0</v>
      </c>
      <c r="AI236" s="125">
        <v>75.0</v>
      </c>
      <c r="AJ236" s="125">
        <v>75.0</v>
      </c>
      <c r="AK236" s="125">
        <v>75.0</v>
      </c>
      <c r="AL236" s="125">
        <v>75.0</v>
      </c>
      <c r="AM236" s="125">
        <v>75.0</v>
      </c>
      <c r="AN236" s="32"/>
    </row>
    <row r="237">
      <c r="A237" s="33"/>
      <c r="B237" s="33"/>
      <c r="C237" s="33"/>
      <c r="D237" s="33"/>
      <c r="E237" s="106"/>
      <c r="F237" s="106"/>
      <c r="G237" s="160"/>
      <c r="H237" s="107"/>
      <c r="I237" s="117"/>
      <c r="J237" s="118"/>
      <c r="K237" s="118"/>
      <c r="L237" s="114"/>
      <c r="M237" s="117"/>
      <c r="N237" s="118"/>
      <c r="O237" s="118"/>
      <c r="P237" s="118"/>
      <c r="Q237" s="118"/>
      <c r="R237" s="120"/>
      <c r="S237" s="112"/>
      <c r="T237" s="120"/>
      <c r="U237" s="120"/>
      <c r="V237" s="127"/>
      <c r="W237" s="120"/>
      <c r="X237" s="120"/>
      <c r="Y237" s="120"/>
      <c r="Z237" s="112"/>
      <c r="AA237" s="120"/>
      <c r="AB237" s="120"/>
      <c r="AC237" s="120"/>
      <c r="AD237" s="120"/>
      <c r="AE237" s="120"/>
      <c r="AF237" s="120"/>
      <c r="AG237" s="112"/>
      <c r="AH237" s="120"/>
      <c r="AI237" s="120"/>
      <c r="AJ237" s="120"/>
      <c r="AK237" s="120"/>
      <c r="AL237" s="120"/>
      <c r="AM237" s="120"/>
      <c r="AN237" s="122"/>
      <c r="AO237" s="53"/>
      <c r="AP237" s="53"/>
    </row>
    <row r="238">
      <c r="A238" s="24" t="s">
        <v>112</v>
      </c>
      <c r="B238" s="17"/>
      <c r="C238" s="17"/>
      <c r="D238" s="18"/>
      <c r="E238" s="106">
        <v>1.88</v>
      </c>
      <c r="F238" s="106" t="s">
        <v>21</v>
      </c>
      <c r="G238" s="160">
        <v>649.0</v>
      </c>
      <c r="H238" s="107" t="s">
        <v>22</v>
      </c>
      <c r="I238" s="114"/>
      <c r="J238" s="114"/>
      <c r="K238" s="114"/>
      <c r="L238" s="114"/>
      <c r="M238" s="114"/>
      <c r="N238" s="114"/>
      <c r="O238" s="114"/>
      <c r="P238" s="114"/>
      <c r="Q238" s="114"/>
      <c r="R238" s="112"/>
      <c r="S238" s="112"/>
      <c r="T238" s="112"/>
      <c r="U238" s="112"/>
      <c r="V238" s="125"/>
      <c r="W238" s="112"/>
      <c r="X238" s="112"/>
      <c r="Y238" s="125"/>
      <c r="Z238" s="112"/>
      <c r="AA238" s="112"/>
      <c r="AB238" s="112"/>
      <c r="AC238" s="125">
        <v>1326.0</v>
      </c>
      <c r="AD238" s="125"/>
      <c r="AE238" s="112"/>
      <c r="AF238" s="112"/>
      <c r="AG238" s="112"/>
      <c r="AH238" s="112"/>
      <c r="AI238" s="112"/>
      <c r="AJ238" s="112"/>
      <c r="AK238" s="112"/>
      <c r="AL238" s="112"/>
      <c r="AM238" s="112"/>
      <c r="AN238" s="113">
        <f>G238+SUM(I238:AL238)-SUM(I239:AM239)</f>
        <v>1038</v>
      </c>
      <c r="AO238" s="53">
        <f>ROUNDDOWN((AN238/E238)/$H$4,1)</f>
        <v>18.4</v>
      </c>
      <c r="AP238" s="53">
        <f>$M$4+AO238</f>
        <v>912.4</v>
      </c>
    </row>
    <row r="239">
      <c r="A239" s="136"/>
      <c r="B239" s="137"/>
      <c r="C239" s="137"/>
      <c r="D239" s="137"/>
      <c r="E239" s="138"/>
      <c r="F239" s="138"/>
      <c r="G239" s="160"/>
      <c r="H239" s="107" t="s">
        <v>23</v>
      </c>
      <c r="I239" s="107"/>
      <c r="J239" s="107">
        <v>38.0</v>
      </c>
      <c r="K239" s="107">
        <v>38.0</v>
      </c>
      <c r="L239" s="107"/>
      <c r="M239" s="107"/>
      <c r="N239" s="107">
        <v>38.0</v>
      </c>
      <c r="O239" s="107">
        <v>38.0</v>
      </c>
      <c r="P239" s="107">
        <v>38.0</v>
      </c>
      <c r="Q239" s="107">
        <v>38.0</v>
      </c>
      <c r="R239" s="125">
        <v>38.0</v>
      </c>
      <c r="S239" s="125"/>
      <c r="T239" s="125">
        <v>38.0</v>
      </c>
      <c r="U239" s="125">
        <v>38.0</v>
      </c>
      <c r="V239" s="125">
        <v>38.0</v>
      </c>
      <c r="W239" s="125">
        <v>38.0</v>
      </c>
      <c r="X239" s="125">
        <v>38.0</v>
      </c>
      <c r="Y239" s="125">
        <v>38.0</v>
      </c>
      <c r="Z239" s="125"/>
      <c r="AA239" s="125">
        <v>38.0</v>
      </c>
      <c r="AB239" s="125">
        <v>38.0</v>
      </c>
      <c r="AC239" s="125">
        <v>38.0</v>
      </c>
      <c r="AD239" s="125">
        <v>38.0</v>
      </c>
      <c r="AE239" s="125">
        <v>38.0</v>
      </c>
      <c r="AF239" s="125">
        <v>25.0</v>
      </c>
      <c r="AG239" s="125"/>
      <c r="AH239" s="125">
        <v>38.0</v>
      </c>
      <c r="AI239" s="125">
        <v>38.0</v>
      </c>
      <c r="AJ239" s="125">
        <v>38.0</v>
      </c>
      <c r="AK239" s="125">
        <v>38.0</v>
      </c>
      <c r="AL239" s="125">
        <v>38.0</v>
      </c>
      <c r="AM239" s="125">
        <v>38.0</v>
      </c>
      <c r="AN239" s="32"/>
    </row>
    <row r="240">
      <c r="A240" s="168"/>
      <c r="B240" s="169"/>
      <c r="C240" s="169"/>
      <c r="D240" s="169"/>
      <c r="E240" s="169"/>
      <c r="F240" s="169"/>
      <c r="G240" s="160"/>
      <c r="H240" s="108"/>
      <c r="I240" s="117"/>
      <c r="J240" s="118"/>
      <c r="K240" s="118"/>
      <c r="L240" s="114"/>
      <c r="M240" s="117"/>
      <c r="N240" s="118"/>
      <c r="O240" s="118"/>
      <c r="P240" s="118"/>
      <c r="Q240" s="118"/>
      <c r="R240" s="120"/>
      <c r="S240" s="112"/>
      <c r="T240" s="120"/>
      <c r="U240" s="120"/>
      <c r="V240" s="120"/>
      <c r="W240" s="120"/>
      <c r="X240" s="120"/>
      <c r="Y240" s="120"/>
      <c r="Z240" s="112"/>
      <c r="AA240" s="120"/>
      <c r="AB240" s="120"/>
      <c r="AC240" s="120"/>
      <c r="AD240" s="120"/>
      <c r="AE240" s="120"/>
      <c r="AF240" s="120"/>
      <c r="AG240" s="112"/>
      <c r="AH240" s="120"/>
      <c r="AI240" s="120"/>
      <c r="AJ240" s="120"/>
      <c r="AK240" s="120"/>
      <c r="AL240" s="120"/>
      <c r="AM240" s="120"/>
      <c r="AN240" s="110"/>
      <c r="AO240" s="49"/>
      <c r="AP240" s="49"/>
    </row>
    <row r="241">
      <c r="A241" s="73" t="s">
        <v>113</v>
      </c>
      <c r="B241" s="17"/>
      <c r="C241" s="17"/>
      <c r="D241" s="17"/>
      <c r="E241" s="17"/>
      <c r="F241" s="17"/>
      <c r="G241" s="18"/>
      <c r="H241" s="153"/>
      <c r="I241" s="154"/>
      <c r="J241" s="154"/>
      <c r="K241" s="154"/>
      <c r="L241" s="154"/>
      <c r="M241" s="154"/>
      <c r="N241" s="154"/>
      <c r="O241" s="154"/>
      <c r="P241" s="154"/>
      <c r="Q241" s="154"/>
      <c r="R241" s="134"/>
      <c r="S241" s="134"/>
      <c r="T241" s="134"/>
      <c r="U241" s="134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5"/>
      <c r="AM241" s="135"/>
      <c r="AN241" s="135"/>
      <c r="AO241" s="52"/>
      <c r="AP241" s="52"/>
    </row>
    <row r="242">
      <c r="A242" s="24" t="s">
        <v>114</v>
      </c>
      <c r="B242" s="17"/>
      <c r="C242" s="17"/>
      <c r="D242" s="18"/>
      <c r="E242" s="106">
        <v>0.03</v>
      </c>
      <c r="F242" s="106" t="s">
        <v>21</v>
      </c>
      <c r="G242" s="160">
        <v>28.0</v>
      </c>
      <c r="H242" s="107" t="s">
        <v>22</v>
      </c>
      <c r="I242" s="114"/>
      <c r="J242" s="114"/>
      <c r="K242" s="114"/>
      <c r="L242" s="107"/>
      <c r="M242" s="114"/>
      <c r="N242" s="114"/>
      <c r="O242" s="114"/>
      <c r="P242" s="114"/>
      <c r="Q242" s="114"/>
      <c r="R242" s="112"/>
      <c r="S242" s="112"/>
      <c r="T242" s="112"/>
      <c r="U242" s="112"/>
      <c r="V242" s="112"/>
      <c r="W242" s="112"/>
      <c r="X242" s="112"/>
      <c r="Y242" s="112"/>
      <c r="Z242" s="112"/>
      <c r="AA242" s="112"/>
      <c r="AB242" s="112"/>
      <c r="AC242" s="125">
        <v>7.0</v>
      </c>
      <c r="AD242" s="112"/>
      <c r="AE242" s="112"/>
      <c r="AF242" s="112"/>
      <c r="AG242" s="112"/>
      <c r="AH242" s="112"/>
      <c r="AI242" s="112"/>
      <c r="AJ242" s="112"/>
      <c r="AK242" s="112"/>
      <c r="AL242" s="112"/>
      <c r="AM242" s="112"/>
      <c r="AN242" s="113">
        <f>G242+SUM(I242:AL242)-SUM(I243:AL243)</f>
        <v>35</v>
      </c>
      <c r="AO242" s="53">
        <f>ROUNDDOWN((AN242/E242)/$H$4,1)</f>
        <v>38.8</v>
      </c>
      <c r="AP242" s="53">
        <f>$M$4+AO242</f>
        <v>932.8</v>
      </c>
    </row>
    <row r="243">
      <c r="A243" s="31"/>
      <c r="B243" s="17"/>
      <c r="C243" s="17"/>
      <c r="D243" s="17"/>
      <c r="E243" s="17"/>
      <c r="F243" s="18"/>
      <c r="G243" s="112"/>
      <c r="H243" s="107" t="s">
        <v>23</v>
      </c>
      <c r="I243" s="114"/>
      <c r="J243" s="114"/>
      <c r="K243" s="114"/>
      <c r="L243" s="114"/>
      <c r="M243" s="114"/>
      <c r="N243" s="114"/>
      <c r="O243" s="114"/>
      <c r="P243" s="114"/>
      <c r="Q243" s="114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2"/>
      <c r="AK243" s="112"/>
      <c r="AL243" s="112"/>
      <c r="AM243" s="112"/>
      <c r="AN243" s="32"/>
    </row>
    <row r="244">
      <c r="A244" s="33"/>
      <c r="B244" s="33"/>
      <c r="C244" s="33"/>
      <c r="D244" s="33"/>
      <c r="E244" s="106"/>
      <c r="F244" s="106"/>
      <c r="G244" s="160"/>
      <c r="H244" s="107"/>
      <c r="I244" s="117"/>
      <c r="J244" s="117"/>
      <c r="K244" s="117"/>
      <c r="L244" s="107"/>
      <c r="M244" s="117"/>
      <c r="N244" s="117"/>
      <c r="O244" s="117"/>
      <c r="P244" s="117"/>
      <c r="Q244" s="117"/>
      <c r="R244" s="119"/>
      <c r="S244" s="112"/>
      <c r="T244" s="119"/>
      <c r="U244" s="119"/>
      <c r="V244" s="119"/>
      <c r="W244" s="119"/>
      <c r="X244" s="119"/>
      <c r="Y244" s="119"/>
      <c r="Z244" s="112"/>
      <c r="AA244" s="119"/>
      <c r="AB244" s="119"/>
      <c r="AC244" s="119"/>
      <c r="AD244" s="119"/>
      <c r="AE244" s="119"/>
      <c r="AF244" s="119"/>
      <c r="AG244" s="112"/>
      <c r="AH244" s="119"/>
      <c r="AI244" s="119"/>
      <c r="AJ244" s="119"/>
      <c r="AK244" s="119"/>
      <c r="AL244" s="119"/>
      <c r="AM244" s="119"/>
      <c r="AN244" s="122"/>
      <c r="AO244" s="53"/>
      <c r="AP244" s="53"/>
    </row>
    <row r="245">
      <c r="A245" s="24" t="s">
        <v>115</v>
      </c>
      <c r="B245" s="17"/>
      <c r="C245" s="17"/>
      <c r="D245" s="18"/>
      <c r="E245" s="106">
        <v>0.04</v>
      </c>
      <c r="F245" s="106" t="s">
        <v>21</v>
      </c>
      <c r="G245" s="160">
        <v>22.0</v>
      </c>
      <c r="H245" s="107" t="s">
        <v>22</v>
      </c>
      <c r="I245" s="114"/>
      <c r="J245" s="114"/>
      <c r="K245" s="114"/>
      <c r="L245" s="107"/>
      <c r="M245" s="114"/>
      <c r="N245" s="114"/>
      <c r="O245" s="114"/>
      <c r="P245" s="114"/>
      <c r="Q245" s="114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25">
        <v>33.0</v>
      </c>
      <c r="AD245" s="112"/>
      <c r="AE245" s="112"/>
      <c r="AF245" s="112"/>
      <c r="AG245" s="112"/>
      <c r="AH245" s="112"/>
      <c r="AI245" s="112"/>
      <c r="AJ245" s="112"/>
      <c r="AK245" s="112"/>
      <c r="AL245" s="112"/>
      <c r="AM245" s="112"/>
      <c r="AN245" s="113">
        <f>G245+SUM(I245:AL245)-SUM(I246:AL246)</f>
        <v>34</v>
      </c>
      <c r="AO245" s="53">
        <f>ROUNDDOWN((AN245/E245)/$H$4,1)</f>
        <v>28.3</v>
      </c>
      <c r="AP245" s="53">
        <f>$M$4+AO245</f>
        <v>922.3</v>
      </c>
    </row>
    <row r="246">
      <c r="A246" s="31"/>
      <c r="B246" s="17"/>
      <c r="C246" s="17"/>
      <c r="D246" s="17"/>
      <c r="E246" s="17"/>
      <c r="F246" s="18"/>
      <c r="G246" s="112"/>
      <c r="H246" s="107" t="s">
        <v>23</v>
      </c>
      <c r="I246" s="114"/>
      <c r="J246" s="114"/>
      <c r="K246" s="114"/>
      <c r="L246" s="114"/>
      <c r="M246" s="114"/>
      <c r="N246" s="107">
        <v>10.0</v>
      </c>
      <c r="O246" s="114"/>
      <c r="P246" s="114"/>
      <c r="Q246" s="107">
        <v>1.0</v>
      </c>
      <c r="R246" s="112"/>
      <c r="S246" s="112"/>
      <c r="T246" s="112"/>
      <c r="U246" s="112"/>
      <c r="V246" s="112"/>
      <c r="W246" s="125">
        <v>2.0</v>
      </c>
      <c r="X246" s="112"/>
      <c r="Y246" s="112"/>
      <c r="Z246" s="125"/>
      <c r="AA246" s="125"/>
      <c r="AB246" s="112"/>
      <c r="AC246" s="125">
        <v>7.0</v>
      </c>
      <c r="AD246" s="112"/>
      <c r="AE246" s="112"/>
      <c r="AF246" s="112"/>
      <c r="AG246" s="112"/>
      <c r="AH246" s="125">
        <v>1.0</v>
      </c>
      <c r="AI246" s="112"/>
      <c r="AJ246" s="112"/>
      <c r="AK246" s="112"/>
      <c r="AL246" s="112"/>
      <c r="AM246" s="112"/>
      <c r="AN246" s="32"/>
    </row>
    <row r="247">
      <c r="A247" s="33"/>
      <c r="B247" s="33"/>
      <c r="C247" s="33"/>
      <c r="D247" s="33"/>
      <c r="E247" s="106"/>
      <c r="F247" s="106"/>
      <c r="G247" s="106"/>
      <c r="H247" s="107"/>
      <c r="I247" s="117"/>
      <c r="J247" s="117"/>
      <c r="K247" s="117"/>
      <c r="L247" s="114"/>
      <c r="M247" s="117"/>
      <c r="N247" s="118"/>
      <c r="O247" s="117"/>
      <c r="P247" s="117"/>
      <c r="Q247" s="118"/>
      <c r="R247" s="119"/>
      <c r="S247" s="112"/>
      <c r="T247" s="119"/>
      <c r="U247" s="119"/>
      <c r="V247" s="119"/>
      <c r="W247" s="120"/>
      <c r="X247" s="119"/>
      <c r="Y247" s="119"/>
      <c r="Z247" s="112"/>
      <c r="AA247" s="119"/>
      <c r="AB247" s="119"/>
      <c r="AC247" s="120"/>
      <c r="AD247" s="119"/>
      <c r="AE247" s="119"/>
      <c r="AF247" s="119"/>
      <c r="AG247" s="112"/>
      <c r="AH247" s="120"/>
      <c r="AI247" s="119"/>
      <c r="AJ247" s="119"/>
      <c r="AK247" s="119"/>
      <c r="AL247" s="119"/>
      <c r="AM247" s="119"/>
      <c r="AN247" s="122"/>
      <c r="AO247" s="53"/>
      <c r="AP247" s="81"/>
    </row>
    <row r="248">
      <c r="A248" s="24" t="s">
        <v>116</v>
      </c>
      <c r="B248" s="17"/>
      <c r="C248" s="17"/>
      <c r="D248" s="18"/>
      <c r="E248" s="106">
        <v>0.33</v>
      </c>
      <c r="F248" s="106" t="s">
        <v>21</v>
      </c>
      <c r="G248" s="160">
        <f>116+4</f>
        <v>120</v>
      </c>
      <c r="H248" s="107" t="s">
        <v>22</v>
      </c>
      <c r="I248" s="114"/>
      <c r="J248" s="114"/>
      <c r="K248" s="114"/>
      <c r="L248" s="114"/>
      <c r="M248" s="114"/>
      <c r="N248" s="114"/>
      <c r="O248" s="114"/>
      <c r="P248" s="114"/>
      <c r="Q248" s="114"/>
      <c r="R248" s="112"/>
      <c r="S248" s="112"/>
      <c r="T248" s="112"/>
      <c r="U248" s="112"/>
      <c r="V248" s="112"/>
      <c r="W248" s="112"/>
      <c r="X248" s="112"/>
      <c r="Y248" s="112"/>
      <c r="Z248" s="112"/>
      <c r="AA248" s="112"/>
      <c r="AB248" s="112"/>
      <c r="AC248" s="125">
        <v>100.0</v>
      </c>
      <c r="AD248" s="112"/>
      <c r="AE248" s="112"/>
      <c r="AF248" s="112"/>
      <c r="AG248" s="112"/>
      <c r="AH248" s="112"/>
      <c r="AI248" s="112"/>
      <c r="AJ248" s="112"/>
      <c r="AK248" s="112"/>
      <c r="AL248" s="112"/>
      <c r="AM248" s="125">
        <v>237.0</v>
      </c>
      <c r="AN248" s="113">
        <f>G248+SUM(I248:AM248)-SUM(I249:AM249)</f>
        <v>281</v>
      </c>
      <c r="AO248" s="53">
        <f>ROUNDDOWN((AN248/E248)/$H$4,1)</f>
        <v>28.3</v>
      </c>
      <c r="AP248" s="81">
        <f>M3+AO248</f>
        <v>920.3</v>
      </c>
    </row>
    <row r="249">
      <c r="A249" s="31"/>
      <c r="B249" s="17"/>
      <c r="C249" s="17"/>
      <c r="D249" s="17"/>
      <c r="E249" s="17"/>
      <c r="F249" s="18"/>
      <c r="G249" s="112"/>
      <c r="H249" s="107" t="s">
        <v>23</v>
      </c>
      <c r="I249" s="200">
        <f>5+5+4</f>
        <v>14</v>
      </c>
      <c r="J249" s="200">
        <f t="shared" ref="J249:K249" si="90">5+5</f>
        <v>10</v>
      </c>
      <c r="K249" s="200">
        <f t="shared" si="90"/>
        <v>10</v>
      </c>
      <c r="L249" s="185"/>
      <c r="M249" s="185">
        <f>5+2</f>
        <v>7</v>
      </c>
      <c r="N249" s="200">
        <f>5</f>
        <v>5</v>
      </c>
      <c r="O249" s="200">
        <f>5+5</f>
        <v>10</v>
      </c>
      <c r="P249" s="200">
        <v>5.0</v>
      </c>
      <c r="Q249" s="200">
        <f>5+5+4</f>
        <v>14</v>
      </c>
      <c r="R249" s="208">
        <f>5+5</f>
        <v>10</v>
      </c>
      <c r="S249" s="182"/>
      <c r="T249" s="208">
        <f>5</f>
        <v>5</v>
      </c>
      <c r="U249" s="208">
        <v>5.0</v>
      </c>
      <c r="V249" s="182"/>
      <c r="W249" s="182"/>
      <c r="X249" s="208">
        <v>5.0</v>
      </c>
      <c r="Y249" s="208">
        <f>5+5</f>
        <v>10</v>
      </c>
      <c r="Z249" s="208"/>
      <c r="AA249" s="208">
        <f>5+5</f>
        <v>10</v>
      </c>
      <c r="AB249" s="182"/>
      <c r="AC249" s="208">
        <v>5.0</v>
      </c>
      <c r="AD249" s="208">
        <f>1+5+4+3</f>
        <v>13</v>
      </c>
      <c r="AE249" s="208">
        <f>2+4</f>
        <v>6</v>
      </c>
      <c r="AF249" s="182"/>
      <c r="AG249" s="182"/>
      <c r="AH249" s="208">
        <v>4.0</v>
      </c>
      <c r="AI249" s="125">
        <v>5.0</v>
      </c>
      <c r="AJ249" s="125"/>
      <c r="AK249" s="125">
        <f>5+4</f>
        <v>9</v>
      </c>
      <c r="AL249" s="125">
        <v>4.0</v>
      </c>
      <c r="AM249" s="125">
        <f>5+4+1</f>
        <v>10</v>
      </c>
      <c r="AN249" s="32"/>
    </row>
    <row r="250">
      <c r="A250" s="170"/>
      <c r="B250" s="170"/>
      <c r="C250" s="170"/>
      <c r="D250" s="170"/>
      <c r="E250" s="106"/>
      <c r="F250" s="106"/>
      <c r="G250" s="106"/>
      <c r="H250" s="107"/>
      <c r="I250" s="216"/>
      <c r="J250" s="217"/>
      <c r="K250" s="216"/>
      <c r="L250" s="185"/>
      <c r="M250" s="217"/>
      <c r="N250" s="216"/>
      <c r="O250" s="217"/>
      <c r="P250" s="217"/>
      <c r="Q250" s="217"/>
      <c r="R250" s="194"/>
      <c r="S250" s="182"/>
      <c r="T250" s="194"/>
      <c r="U250" s="194"/>
      <c r="V250" s="218"/>
      <c r="W250" s="218"/>
      <c r="X250" s="219"/>
      <c r="Y250" s="219"/>
      <c r="Z250" s="208"/>
      <c r="AA250" s="219"/>
      <c r="AB250" s="218"/>
      <c r="AC250" s="219"/>
      <c r="AD250" s="219"/>
      <c r="AE250" s="194"/>
      <c r="AF250" s="218"/>
      <c r="AG250" s="182"/>
      <c r="AH250" s="194"/>
      <c r="AI250" s="127"/>
      <c r="AJ250" s="121"/>
      <c r="AK250" s="120"/>
      <c r="AL250" s="120"/>
      <c r="AM250" s="120"/>
      <c r="AN250" s="122"/>
      <c r="AO250" s="53"/>
      <c r="AP250" s="81"/>
    </row>
    <row r="251">
      <c r="A251" s="178" t="s">
        <v>117</v>
      </c>
      <c r="B251" s="179"/>
      <c r="C251" s="179"/>
      <c r="D251" s="180"/>
      <c r="E251" s="171">
        <v>0.17</v>
      </c>
      <c r="F251" s="171" t="s">
        <v>21</v>
      </c>
      <c r="G251" s="172">
        <v>0.0</v>
      </c>
      <c r="H251" s="107" t="s">
        <v>22</v>
      </c>
      <c r="I251" s="200"/>
      <c r="J251" s="185"/>
      <c r="K251" s="200"/>
      <c r="L251" s="185"/>
      <c r="M251" s="185"/>
      <c r="N251" s="200"/>
      <c r="O251" s="185"/>
      <c r="P251" s="185"/>
      <c r="Q251" s="185"/>
      <c r="R251" s="208"/>
      <c r="S251" s="182"/>
      <c r="T251" s="208"/>
      <c r="U251" s="208"/>
      <c r="V251" s="182"/>
      <c r="W251" s="182"/>
      <c r="X251" s="182"/>
      <c r="Y251" s="182"/>
      <c r="Z251" s="208"/>
      <c r="AA251" s="182"/>
      <c r="AB251" s="182"/>
      <c r="AC251" s="208">
        <v>82.0</v>
      </c>
      <c r="AD251" s="182"/>
      <c r="AE251" s="208"/>
      <c r="AF251" s="182"/>
      <c r="AG251" s="182"/>
      <c r="AH251" s="208"/>
      <c r="AI251" s="125"/>
      <c r="AJ251" s="125"/>
      <c r="AK251" s="112"/>
      <c r="AL251" s="112"/>
      <c r="AM251" s="112"/>
      <c r="AN251" s="113">
        <f>G251+SUM(I251:AL251)-SUM(I252:AL252)</f>
        <v>63</v>
      </c>
      <c r="AO251" s="53">
        <f>ROUNDDOWN((AN251/E251)/$H$4,1)</f>
        <v>12.3</v>
      </c>
      <c r="AP251" s="81">
        <f>$M$4+AO251</f>
        <v>906.3</v>
      </c>
    </row>
    <row r="252">
      <c r="A252" s="31"/>
      <c r="B252" s="17"/>
      <c r="C252" s="17"/>
      <c r="D252" s="17"/>
      <c r="E252" s="17"/>
      <c r="F252" s="18"/>
      <c r="G252" s="182"/>
      <c r="H252" s="107" t="s">
        <v>23</v>
      </c>
      <c r="I252" s="200"/>
      <c r="J252" s="185"/>
      <c r="K252" s="200"/>
      <c r="L252" s="185"/>
      <c r="M252" s="185"/>
      <c r="N252" s="200"/>
      <c r="O252" s="185"/>
      <c r="P252" s="185"/>
      <c r="Q252" s="185"/>
      <c r="R252" s="208"/>
      <c r="S252" s="182"/>
      <c r="T252" s="208"/>
      <c r="U252" s="208"/>
      <c r="V252" s="182"/>
      <c r="W252" s="182"/>
      <c r="X252" s="182"/>
      <c r="Y252" s="182"/>
      <c r="Z252" s="208"/>
      <c r="AA252" s="182"/>
      <c r="AB252" s="208"/>
      <c r="AC252" s="208">
        <f>1+4</f>
        <v>5</v>
      </c>
      <c r="AD252" s="208">
        <v>1.0</v>
      </c>
      <c r="AE252" s="208"/>
      <c r="AF252" s="208">
        <v>4.0</v>
      </c>
      <c r="AG252" s="182"/>
      <c r="AH252" s="208">
        <v>5.0</v>
      </c>
      <c r="AI252" s="208">
        <v>2.0</v>
      </c>
      <c r="AJ252" s="182"/>
      <c r="AK252" s="208">
        <v>2.0</v>
      </c>
      <c r="AL252" s="125"/>
      <c r="AM252" s="112"/>
      <c r="AN252" s="32"/>
    </row>
    <row r="253">
      <c r="A253" s="170"/>
      <c r="B253" s="170"/>
      <c r="C253" s="170"/>
      <c r="D253" s="170"/>
      <c r="E253" s="106"/>
      <c r="F253" s="106"/>
      <c r="G253" s="106"/>
      <c r="H253" s="107"/>
      <c r="I253" s="220"/>
      <c r="J253" s="221"/>
      <c r="K253" s="220"/>
      <c r="L253" s="185"/>
      <c r="M253" s="221"/>
      <c r="N253" s="220"/>
      <c r="O253" s="221"/>
      <c r="P253" s="221"/>
      <c r="Q253" s="221"/>
      <c r="R253" s="193"/>
      <c r="S253" s="182"/>
      <c r="T253" s="193"/>
      <c r="U253" s="193"/>
      <c r="V253" s="218"/>
      <c r="W253" s="218"/>
      <c r="X253" s="218"/>
      <c r="Y253" s="218"/>
      <c r="Z253" s="208"/>
      <c r="AA253" s="218"/>
      <c r="AB253" s="218"/>
      <c r="AC253" s="219"/>
      <c r="AD253" s="219"/>
      <c r="AE253" s="193"/>
      <c r="AF253" s="219"/>
      <c r="AG253" s="182"/>
      <c r="AH253" s="194"/>
      <c r="AI253" s="194"/>
      <c r="AJ253" s="218"/>
      <c r="AK253" s="194"/>
      <c r="AL253" s="119"/>
      <c r="AM253" s="119"/>
      <c r="AN253" s="122"/>
      <c r="AO253" s="53"/>
      <c r="AP253" s="53"/>
    </row>
    <row r="254">
      <c r="A254" s="178" t="s">
        <v>118</v>
      </c>
      <c r="B254" s="179"/>
      <c r="C254" s="179"/>
      <c r="D254" s="180"/>
      <c r="E254" s="188"/>
      <c r="F254" s="171" t="s">
        <v>21</v>
      </c>
      <c r="G254" s="189"/>
      <c r="H254" s="107" t="s">
        <v>22</v>
      </c>
      <c r="I254" s="200">
        <v>1200.0</v>
      </c>
      <c r="J254" s="185"/>
      <c r="K254" s="200"/>
      <c r="L254" s="185"/>
      <c r="M254" s="185"/>
      <c r="N254" s="200"/>
      <c r="O254" s="185"/>
      <c r="P254" s="185"/>
      <c r="Q254" s="200">
        <v>1440.0</v>
      </c>
      <c r="R254" s="208"/>
      <c r="S254" s="182"/>
      <c r="T254" s="208"/>
      <c r="U254" s="208">
        <v>1440.0</v>
      </c>
      <c r="V254" s="182"/>
      <c r="W254" s="182"/>
      <c r="X254" s="182"/>
      <c r="Y254" s="182"/>
      <c r="Z254" s="208"/>
      <c r="AA254" s="182"/>
      <c r="AB254" s="182"/>
      <c r="AC254" s="182"/>
      <c r="AD254" s="182"/>
      <c r="AE254" s="208"/>
      <c r="AF254" s="182"/>
      <c r="AG254" s="182"/>
      <c r="AH254" s="208"/>
      <c r="AI254" s="208"/>
      <c r="AJ254" s="182"/>
      <c r="AK254" s="208">
        <v>480.0</v>
      </c>
      <c r="AL254" s="112"/>
      <c r="AM254" s="112"/>
      <c r="AN254" s="113">
        <f>G254+SUM(I254:AL254)-SUM(I255:AL255)</f>
        <v>0</v>
      </c>
      <c r="AO254" s="53"/>
      <c r="AP254" s="53"/>
    </row>
    <row r="255">
      <c r="A255" s="31"/>
      <c r="B255" s="17"/>
      <c r="C255" s="17"/>
      <c r="D255" s="17"/>
      <c r="E255" s="17"/>
      <c r="F255" s="18"/>
      <c r="G255" s="182"/>
      <c r="H255" s="107" t="s">
        <v>23</v>
      </c>
      <c r="I255" s="200">
        <v>1200.0</v>
      </c>
      <c r="J255" s="185"/>
      <c r="K255" s="200"/>
      <c r="L255" s="185"/>
      <c r="M255" s="185"/>
      <c r="N255" s="200"/>
      <c r="O255" s="185"/>
      <c r="P255" s="185"/>
      <c r="Q255" s="200">
        <v>1440.0</v>
      </c>
      <c r="R255" s="208"/>
      <c r="S255" s="182"/>
      <c r="T255" s="208"/>
      <c r="U255" s="208">
        <v>1440.0</v>
      </c>
      <c r="V255" s="182"/>
      <c r="W255" s="182"/>
      <c r="X255" s="182"/>
      <c r="Y255" s="182"/>
      <c r="Z255" s="208"/>
      <c r="AA255" s="182"/>
      <c r="AB255" s="182"/>
      <c r="AC255" s="182"/>
      <c r="AD255" s="182"/>
      <c r="AE255" s="208"/>
      <c r="AF255" s="182"/>
      <c r="AG255" s="182"/>
      <c r="AH255" s="208"/>
      <c r="AI255" s="208"/>
      <c r="AJ255" s="182"/>
      <c r="AK255" s="208">
        <v>480.0</v>
      </c>
      <c r="AL255" s="112"/>
      <c r="AM255" s="112"/>
      <c r="AN255" s="32"/>
    </row>
    <row r="256">
      <c r="A256" s="170"/>
      <c r="B256" s="170"/>
      <c r="C256" s="170"/>
      <c r="D256" s="170"/>
      <c r="E256" s="106"/>
      <c r="F256" s="106"/>
      <c r="G256" s="106"/>
      <c r="H256" s="107"/>
      <c r="I256" s="194"/>
      <c r="J256" s="193"/>
      <c r="K256" s="193"/>
      <c r="L256" s="208"/>
      <c r="M256" s="193"/>
      <c r="N256" s="193"/>
      <c r="O256" s="193"/>
      <c r="P256" s="193"/>
      <c r="Q256" s="194"/>
      <c r="R256" s="193"/>
      <c r="S256" s="208"/>
      <c r="T256" s="193"/>
      <c r="U256" s="194"/>
      <c r="V256" s="193"/>
      <c r="W256" s="193"/>
      <c r="X256" s="193"/>
      <c r="Y256" s="193"/>
      <c r="Z256" s="208"/>
      <c r="AA256" s="193"/>
      <c r="AB256" s="193"/>
      <c r="AC256" s="193"/>
      <c r="AD256" s="193"/>
      <c r="AE256" s="193"/>
      <c r="AF256" s="193"/>
      <c r="AG256" s="208"/>
      <c r="AH256" s="193"/>
      <c r="AI256" s="193"/>
      <c r="AJ256" s="218"/>
      <c r="AK256" s="194"/>
      <c r="AL256" s="119"/>
      <c r="AM256" s="119"/>
      <c r="AN256" s="122"/>
      <c r="AO256" s="53"/>
      <c r="AP256" s="53"/>
    </row>
    <row r="257">
      <c r="A257" s="178" t="s">
        <v>119</v>
      </c>
      <c r="B257" s="179"/>
      <c r="C257" s="179"/>
      <c r="D257" s="180"/>
      <c r="E257" s="188"/>
      <c r="F257" s="171" t="s">
        <v>21</v>
      </c>
      <c r="G257" s="189"/>
      <c r="H257" s="107" t="s">
        <v>22</v>
      </c>
      <c r="I257" s="208"/>
      <c r="J257" s="208">
        <v>15.0</v>
      </c>
      <c r="K257" s="208"/>
      <c r="L257" s="208"/>
      <c r="M257" s="208">
        <v>15.0</v>
      </c>
      <c r="N257" s="208"/>
      <c r="O257" s="208"/>
      <c r="P257" s="208"/>
      <c r="Q257" s="208"/>
      <c r="R257" s="208"/>
      <c r="S257" s="208"/>
      <c r="T257" s="208"/>
      <c r="U257" s="208"/>
      <c r="V257" s="208">
        <v>15.0</v>
      </c>
      <c r="W257" s="208">
        <v>15.0</v>
      </c>
      <c r="X257" s="208"/>
      <c r="Y257" s="208">
        <v>15.0</v>
      </c>
      <c r="Z257" s="208"/>
      <c r="AA257" s="208"/>
      <c r="AB257" s="208"/>
      <c r="AC257" s="208"/>
      <c r="AD257" s="208">
        <v>15.0</v>
      </c>
      <c r="AE257" s="208"/>
      <c r="AF257" s="208">
        <v>15.0</v>
      </c>
      <c r="AG257" s="208"/>
      <c r="AH257" s="208"/>
      <c r="AI257" s="208"/>
      <c r="AJ257" s="182"/>
      <c r="AK257" s="208">
        <v>15.0</v>
      </c>
      <c r="AL257" s="125">
        <v>15.0</v>
      </c>
      <c r="AM257" s="125">
        <v>15.0</v>
      </c>
      <c r="AN257" s="113">
        <f>G257+SUM(I257:AM257)-SUM(I258:AM258)</f>
        <v>0</v>
      </c>
      <c r="AO257" s="53"/>
      <c r="AP257" s="53"/>
    </row>
    <row r="258">
      <c r="A258" s="31"/>
      <c r="B258" s="17"/>
      <c r="C258" s="17"/>
      <c r="D258" s="17"/>
      <c r="E258" s="17"/>
      <c r="F258" s="18"/>
      <c r="G258" s="182"/>
      <c r="H258" s="107" t="s">
        <v>23</v>
      </c>
      <c r="I258" s="208"/>
      <c r="J258" s="208">
        <v>15.0</v>
      </c>
      <c r="K258" s="208"/>
      <c r="L258" s="208"/>
      <c r="M258" s="208">
        <v>15.0</v>
      </c>
      <c r="N258" s="208"/>
      <c r="O258" s="208"/>
      <c r="P258" s="208"/>
      <c r="Q258" s="208"/>
      <c r="R258" s="208"/>
      <c r="S258" s="208"/>
      <c r="T258" s="208"/>
      <c r="U258" s="208"/>
      <c r="V258" s="208">
        <v>15.0</v>
      </c>
      <c r="W258" s="208">
        <v>15.0</v>
      </c>
      <c r="X258" s="208"/>
      <c r="Y258" s="208">
        <v>15.0</v>
      </c>
      <c r="Z258" s="208"/>
      <c r="AA258" s="208"/>
      <c r="AB258" s="208"/>
      <c r="AC258" s="208"/>
      <c r="AD258" s="208">
        <v>15.0</v>
      </c>
      <c r="AE258" s="208"/>
      <c r="AF258" s="208">
        <v>15.0</v>
      </c>
      <c r="AG258" s="208"/>
      <c r="AH258" s="208"/>
      <c r="AI258" s="208"/>
      <c r="AJ258" s="182"/>
      <c r="AK258" s="208">
        <v>15.0</v>
      </c>
      <c r="AL258" s="125">
        <v>15.0</v>
      </c>
      <c r="AM258" s="125">
        <v>15.0</v>
      </c>
      <c r="AN258" s="32"/>
    </row>
    <row r="259">
      <c r="A259" s="170"/>
      <c r="B259" s="170"/>
      <c r="C259" s="170"/>
      <c r="D259" s="170"/>
      <c r="E259" s="106"/>
      <c r="F259" s="106"/>
      <c r="G259" s="106"/>
      <c r="H259" s="107"/>
      <c r="I259" s="193"/>
      <c r="J259" s="194"/>
      <c r="K259" s="193"/>
      <c r="L259" s="208"/>
      <c r="M259" s="194"/>
      <c r="N259" s="193"/>
      <c r="O259" s="193"/>
      <c r="P259" s="193"/>
      <c r="Q259" s="193"/>
      <c r="R259" s="193"/>
      <c r="S259" s="208"/>
      <c r="T259" s="193"/>
      <c r="U259" s="193"/>
      <c r="V259" s="194"/>
      <c r="W259" s="194"/>
      <c r="X259" s="193"/>
      <c r="Y259" s="194"/>
      <c r="Z259" s="208"/>
      <c r="AA259" s="193"/>
      <c r="AB259" s="193"/>
      <c r="AC259" s="193"/>
      <c r="AD259" s="194"/>
      <c r="AE259" s="193"/>
      <c r="AF259" s="194"/>
      <c r="AG259" s="208"/>
      <c r="AH259" s="193"/>
      <c r="AI259" s="193"/>
      <c r="AJ259" s="218"/>
      <c r="AK259" s="194"/>
      <c r="AL259" s="120"/>
      <c r="AM259" s="120"/>
      <c r="AN259" s="122"/>
      <c r="AO259" s="53"/>
      <c r="AP259" s="53"/>
    </row>
    <row r="260">
      <c r="A260" s="178" t="s">
        <v>120</v>
      </c>
      <c r="B260" s="179"/>
      <c r="C260" s="179"/>
      <c r="D260" s="180"/>
      <c r="E260" s="188"/>
      <c r="F260" s="171" t="s">
        <v>21</v>
      </c>
      <c r="G260" s="189"/>
      <c r="H260" s="107" t="s">
        <v>22</v>
      </c>
      <c r="I260" s="208"/>
      <c r="J260" s="208">
        <v>30.0</v>
      </c>
      <c r="K260" s="208">
        <v>30.0</v>
      </c>
      <c r="L260" s="208"/>
      <c r="M260" s="208">
        <v>30.0</v>
      </c>
      <c r="N260" s="208">
        <v>30.0</v>
      </c>
      <c r="O260" s="208">
        <v>30.0</v>
      </c>
      <c r="P260" s="208">
        <v>30.0</v>
      </c>
      <c r="Q260" s="208">
        <v>30.0</v>
      </c>
      <c r="R260" s="208">
        <v>30.0</v>
      </c>
      <c r="S260" s="208"/>
      <c r="T260" s="208">
        <v>30.0</v>
      </c>
      <c r="U260" s="208"/>
      <c r="V260" s="208">
        <v>30.0</v>
      </c>
      <c r="W260" s="208">
        <v>30.0</v>
      </c>
      <c r="X260" s="208"/>
      <c r="Y260" s="208">
        <v>30.0</v>
      </c>
      <c r="Z260" s="208"/>
      <c r="AA260" s="208">
        <v>30.0</v>
      </c>
      <c r="AB260" s="208">
        <v>30.0</v>
      </c>
      <c r="AC260" s="208"/>
      <c r="AD260" s="208">
        <v>30.0</v>
      </c>
      <c r="AE260" s="208"/>
      <c r="AF260" s="208"/>
      <c r="AG260" s="208"/>
      <c r="AH260" s="208"/>
      <c r="AI260" s="208">
        <v>30.0</v>
      </c>
      <c r="AJ260" s="208">
        <v>15.0</v>
      </c>
      <c r="AK260" s="208">
        <v>45.0</v>
      </c>
      <c r="AL260" s="125">
        <v>30.0</v>
      </c>
      <c r="AM260" s="125">
        <v>30.0</v>
      </c>
      <c r="AN260" s="113">
        <f>G260+SUM(I260:AM260)-SUM(I261:AM261)</f>
        <v>0</v>
      </c>
      <c r="AO260" s="53"/>
      <c r="AP260" s="53"/>
    </row>
    <row r="261">
      <c r="A261" s="31"/>
      <c r="B261" s="17"/>
      <c r="C261" s="17"/>
      <c r="D261" s="17"/>
      <c r="E261" s="17"/>
      <c r="F261" s="18"/>
      <c r="G261" s="182"/>
      <c r="H261" s="107" t="s">
        <v>23</v>
      </c>
      <c r="I261" s="208"/>
      <c r="J261" s="208">
        <v>30.0</v>
      </c>
      <c r="K261" s="208">
        <v>30.0</v>
      </c>
      <c r="L261" s="208"/>
      <c r="M261" s="208">
        <v>30.0</v>
      </c>
      <c r="N261" s="208">
        <v>30.0</v>
      </c>
      <c r="O261" s="208">
        <v>30.0</v>
      </c>
      <c r="P261" s="208">
        <v>30.0</v>
      </c>
      <c r="Q261" s="208">
        <v>30.0</v>
      </c>
      <c r="R261" s="208">
        <v>30.0</v>
      </c>
      <c r="S261" s="208"/>
      <c r="T261" s="208">
        <v>30.0</v>
      </c>
      <c r="U261" s="208"/>
      <c r="V261" s="208">
        <v>30.0</v>
      </c>
      <c r="W261" s="208">
        <v>30.0</v>
      </c>
      <c r="X261" s="208"/>
      <c r="Y261" s="208">
        <v>30.0</v>
      </c>
      <c r="Z261" s="208"/>
      <c r="AA261" s="208">
        <v>30.0</v>
      </c>
      <c r="AB261" s="208">
        <v>30.0</v>
      </c>
      <c r="AC261" s="208"/>
      <c r="AD261" s="208">
        <v>30.0</v>
      </c>
      <c r="AE261" s="208"/>
      <c r="AF261" s="208"/>
      <c r="AG261" s="208"/>
      <c r="AH261" s="208"/>
      <c r="AI261" s="208">
        <v>30.0</v>
      </c>
      <c r="AJ261" s="208">
        <v>15.0</v>
      </c>
      <c r="AK261" s="208">
        <v>45.0</v>
      </c>
      <c r="AL261" s="125">
        <v>30.0</v>
      </c>
      <c r="AM261" s="125">
        <v>30.0</v>
      </c>
      <c r="AN261" s="32"/>
    </row>
    <row r="262">
      <c r="A262" s="170"/>
      <c r="B262" s="170"/>
      <c r="C262" s="170"/>
      <c r="D262" s="170"/>
      <c r="E262" s="106"/>
      <c r="F262" s="106"/>
      <c r="G262" s="106"/>
      <c r="H262" s="107"/>
      <c r="I262" s="220"/>
      <c r="J262" s="216"/>
      <c r="K262" s="216"/>
      <c r="L262" s="200"/>
      <c r="M262" s="216"/>
      <c r="N262" s="216"/>
      <c r="O262" s="216"/>
      <c r="P262" s="216"/>
      <c r="Q262" s="216"/>
      <c r="R262" s="216"/>
      <c r="S262" s="200"/>
      <c r="T262" s="216"/>
      <c r="U262" s="220"/>
      <c r="V262" s="216"/>
      <c r="W262" s="216"/>
      <c r="X262" s="220"/>
      <c r="Y262" s="216"/>
      <c r="Z262" s="200"/>
      <c r="AA262" s="216"/>
      <c r="AB262" s="216"/>
      <c r="AC262" s="220"/>
      <c r="AD262" s="216"/>
      <c r="AE262" s="220"/>
      <c r="AF262" s="220"/>
      <c r="AG262" s="200"/>
      <c r="AH262" s="193"/>
      <c r="AI262" s="194"/>
      <c r="AJ262" s="219"/>
      <c r="AK262" s="194"/>
      <c r="AL262" s="120"/>
      <c r="AM262" s="120"/>
      <c r="AN262" s="122"/>
      <c r="AO262" s="53"/>
      <c r="AP262" s="53"/>
    </row>
    <row r="263">
      <c r="A263" s="178" t="s">
        <v>124</v>
      </c>
      <c r="B263" s="179"/>
      <c r="C263" s="179"/>
      <c r="D263" s="180"/>
      <c r="E263" s="188"/>
      <c r="F263" s="171"/>
      <c r="G263" s="201">
        <v>3.0</v>
      </c>
      <c r="H263" s="107" t="s">
        <v>22</v>
      </c>
      <c r="I263" s="200"/>
      <c r="J263" s="200"/>
      <c r="K263" s="200"/>
      <c r="L263" s="200"/>
      <c r="M263" s="200"/>
      <c r="N263" s="200"/>
      <c r="O263" s="200"/>
      <c r="P263" s="200"/>
      <c r="Q263" s="200"/>
      <c r="R263" s="200">
        <v>8.0</v>
      </c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>
        <v>8.0</v>
      </c>
      <c r="AE263" s="200"/>
      <c r="AF263" s="200"/>
      <c r="AG263" s="200"/>
      <c r="AH263" s="208"/>
      <c r="AI263" s="208"/>
      <c r="AJ263" s="182"/>
      <c r="AK263" s="208"/>
      <c r="AL263" s="112"/>
      <c r="AM263" s="112"/>
      <c r="AN263" s="113">
        <f>G263+SUM(I263:AL263)-SUM(I264:AM264)</f>
        <v>8</v>
      </c>
      <c r="AO263" s="53"/>
      <c r="AP263" s="53"/>
    </row>
    <row r="264">
      <c r="A264" s="31"/>
      <c r="B264" s="17"/>
      <c r="C264" s="17"/>
      <c r="D264" s="17"/>
      <c r="E264" s="17"/>
      <c r="F264" s="18"/>
      <c r="G264" s="182"/>
      <c r="H264" s="107" t="s">
        <v>23</v>
      </c>
      <c r="I264" s="200"/>
      <c r="J264" s="200">
        <v>1.0</v>
      </c>
      <c r="K264" s="200"/>
      <c r="L264" s="200"/>
      <c r="M264" s="200"/>
      <c r="N264" s="200"/>
      <c r="O264" s="200"/>
      <c r="P264" s="200">
        <v>1.0</v>
      </c>
      <c r="Q264" s="200"/>
      <c r="R264" s="200">
        <v>1.0</v>
      </c>
      <c r="S264" s="200"/>
      <c r="T264" s="200"/>
      <c r="U264" s="200"/>
      <c r="V264" s="200">
        <v>1.0</v>
      </c>
      <c r="W264" s="200"/>
      <c r="X264" s="200">
        <v>1.0</v>
      </c>
      <c r="Y264" s="200">
        <v>1.0</v>
      </c>
      <c r="Z264" s="200"/>
      <c r="AA264" s="200"/>
      <c r="AB264" s="200"/>
      <c r="AC264" s="200">
        <f>1+1</f>
        <v>2</v>
      </c>
      <c r="AD264" s="200"/>
      <c r="AE264" s="200"/>
      <c r="AF264" s="200">
        <v>1.0</v>
      </c>
      <c r="AG264" s="200"/>
      <c r="AH264" s="208"/>
      <c r="AI264" s="208"/>
      <c r="AJ264" s="182"/>
      <c r="AK264" s="208">
        <f>1+1</f>
        <v>2</v>
      </c>
      <c r="AL264" s="125"/>
      <c r="AM264" s="112"/>
      <c r="AN264" s="32"/>
    </row>
    <row r="265">
      <c r="A265" s="170"/>
      <c r="B265" s="170"/>
      <c r="C265" s="170"/>
      <c r="D265" s="170"/>
      <c r="E265" s="106"/>
      <c r="F265" s="106"/>
      <c r="G265" s="106"/>
      <c r="H265" s="106"/>
      <c r="I265" s="220"/>
      <c r="J265" s="222"/>
      <c r="K265" s="220"/>
      <c r="L265" s="200"/>
      <c r="M265" s="220"/>
      <c r="N265" s="220"/>
      <c r="O265" s="220"/>
      <c r="P265" s="222"/>
      <c r="Q265" s="220"/>
      <c r="R265" s="222"/>
      <c r="S265" s="200"/>
      <c r="T265" s="220"/>
      <c r="U265" s="220"/>
      <c r="V265" s="222"/>
      <c r="W265" s="220"/>
      <c r="X265" s="222"/>
      <c r="Y265" s="222"/>
      <c r="Z265" s="200"/>
      <c r="AA265" s="220"/>
      <c r="AB265" s="220"/>
      <c r="AC265" s="222"/>
      <c r="AD265" s="220"/>
      <c r="AE265" s="220"/>
      <c r="AF265" s="222"/>
      <c r="AG265" s="200"/>
      <c r="AH265" s="193"/>
      <c r="AI265" s="193"/>
      <c r="AJ265" s="218"/>
      <c r="AK265" s="206"/>
      <c r="AL265" s="119"/>
      <c r="AM265" s="119"/>
      <c r="AN265" s="122"/>
      <c r="AO265" s="53"/>
      <c r="AP265" s="53"/>
    </row>
    <row r="266">
      <c r="A266" s="178" t="s">
        <v>126</v>
      </c>
      <c r="B266" s="179"/>
      <c r="C266" s="179"/>
      <c r="D266" s="180"/>
      <c r="E266" s="188"/>
      <c r="F266" s="171"/>
      <c r="G266" s="201">
        <v>8.0</v>
      </c>
      <c r="H266" s="107" t="s">
        <v>22</v>
      </c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>
        <v>11.0</v>
      </c>
      <c r="U266" s="200"/>
      <c r="V266" s="200"/>
      <c r="W266" s="200"/>
      <c r="X266" s="200"/>
      <c r="Y266" s="200"/>
      <c r="Z266" s="200"/>
      <c r="AA266" s="200"/>
      <c r="AB266" s="200"/>
      <c r="AC266" s="200"/>
      <c r="AD266" s="200">
        <v>10.0</v>
      </c>
      <c r="AE266" s="200"/>
      <c r="AF266" s="200"/>
      <c r="AG266" s="200"/>
      <c r="AH266" s="208"/>
      <c r="AI266" s="208"/>
      <c r="AJ266" s="182"/>
      <c r="AK266" s="208"/>
      <c r="AL266" s="112"/>
      <c r="AM266" s="112"/>
      <c r="AN266" s="113">
        <f>G266+SUM(I266:AL266)-SUM(I267:AM267)</f>
        <v>5</v>
      </c>
      <c r="AO266" s="53"/>
      <c r="AP266" s="53"/>
    </row>
    <row r="267">
      <c r="A267" s="178"/>
      <c r="B267" s="179"/>
      <c r="C267" s="179"/>
      <c r="D267" s="179"/>
      <c r="E267" s="179"/>
      <c r="F267" s="180"/>
      <c r="G267" s="182"/>
      <c r="H267" s="107" t="s">
        <v>23</v>
      </c>
      <c r="I267" s="200"/>
      <c r="J267" s="200"/>
      <c r="K267" s="200"/>
      <c r="L267" s="200"/>
      <c r="M267" s="200">
        <v>1.0</v>
      </c>
      <c r="N267" s="200">
        <v>1.0</v>
      </c>
      <c r="O267" s="200">
        <v>1.0</v>
      </c>
      <c r="P267" s="200">
        <v>1.0</v>
      </c>
      <c r="Q267" s="200"/>
      <c r="R267" s="208">
        <v>1.0</v>
      </c>
      <c r="S267" s="208"/>
      <c r="T267" s="208"/>
      <c r="U267" s="208">
        <v>1.0</v>
      </c>
      <c r="V267" s="208">
        <v>1.0</v>
      </c>
      <c r="W267" s="208">
        <v>1.0</v>
      </c>
      <c r="X267" s="208"/>
      <c r="Y267" s="208">
        <v>1.0</v>
      </c>
      <c r="Z267" s="208"/>
      <c r="AA267" s="208">
        <v>1.0</v>
      </c>
      <c r="AB267" s="208">
        <v>1.0</v>
      </c>
      <c r="AC267" s="208">
        <v>1.0</v>
      </c>
      <c r="AD267" s="208">
        <v>2.0</v>
      </c>
      <c r="AE267" s="208"/>
      <c r="AF267" s="208">
        <v>1.0</v>
      </c>
      <c r="AG267" s="208"/>
      <c r="AH267" s="208"/>
      <c r="AI267" s="208">
        <v>1.0</v>
      </c>
      <c r="AJ267" s="208">
        <v>1.0</v>
      </c>
      <c r="AK267" s="208">
        <v>1.0</v>
      </c>
      <c r="AL267" s="125">
        <v>4.0</v>
      </c>
      <c r="AM267" s="125">
        <v>2.0</v>
      </c>
      <c r="AN267" s="32"/>
    </row>
    <row r="268">
      <c r="A268" s="97"/>
      <c r="B268" s="97"/>
      <c r="C268" s="97"/>
      <c r="D268" s="97"/>
      <c r="E268" s="97"/>
      <c r="F268" s="97"/>
      <c r="G268" s="97"/>
      <c r="H268" s="97"/>
      <c r="I268" s="98"/>
      <c r="J268" s="98"/>
      <c r="K268" s="98"/>
      <c r="L268" s="97"/>
      <c r="M268" s="209"/>
      <c r="N268" s="209"/>
      <c r="O268" s="209"/>
      <c r="P268" s="209"/>
      <c r="Q268" s="98"/>
      <c r="R268" s="209"/>
      <c r="S268" s="97"/>
      <c r="T268" s="98"/>
      <c r="U268" s="209"/>
      <c r="V268" s="209"/>
      <c r="W268" s="209"/>
      <c r="X268" s="98"/>
      <c r="Y268" s="209"/>
      <c r="Z268" s="97"/>
      <c r="AA268" s="209"/>
      <c r="AB268" s="209"/>
      <c r="AC268" s="209"/>
      <c r="AD268" s="209"/>
      <c r="AE268" s="98"/>
      <c r="AF268" s="209"/>
      <c r="AG268" s="97"/>
      <c r="AH268" s="98"/>
      <c r="AI268" s="209"/>
      <c r="AJ268" s="209"/>
      <c r="AK268" s="209"/>
      <c r="AL268" s="209"/>
      <c r="AM268" s="209"/>
      <c r="AN268" s="97"/>
    </row>
    <row r="269">
      <c r="A269" s="223"/>
      <c r="B269" s="223"/>
      <c r="C269" s="223"/>
      <c r="D269" s="223"/>
      <c r="E269" s="224"/>
      <c r="F269" s="225"/>
      <c r="G269" s="1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"/>
      <c r="AI269" s="1"/>
      <c r="AJ269" s="2"/>
      <c r="AK269" s="1"/>
      <c r="AL269" s="2"/>
      <c r="AM269" s="2"/>
      <c r="AN269" s="30"/>
    </row>
    <row r="270">
      <c r="A270" s="223"/>
      <c r="B270" s="223"/>
      <c r="C270" s="223"/>
      <c r="D270" s="223"/>
      <c r="E270" s="224"/>
      <c r="F270" s="225"/>
      <c r="G270" s="1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"/>
      <c r="AI270" s="1"/>
      <c r="AJ270" s="2"/>
      <c r="AK270" s="1"/>
      <c r="AL270" s="2"/>
      <c r="AM270" s="2"/>
      <c r="AN270" s="30"/>
    </row>
    <row r="271">
      <c r="A271" s="226" t="s">
        <v>136</v>
      </c>
      <c r="B271" s="223"/>
      <c r="C271" s="223"/>
      <c r="D271" s="223"/>
      <c r="E271" s="224"/>
      <c r="F271" s="225"/>
      <c r="G271" s="1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"/>
      <c r="AI271" s="1"/>
      <c r="AJ271" s="2"/>
      <c r="AK271" s="1"/>
      <c r="AL271" s="2"/>
      <c r="AM271" s="2"/>
      <c r="AN271" s="30"/>
    </row>
    <row r="272">
      <c r="A272" s="227" t="s">
        <v>137</v>
      </c>
      <c r="B272" s="223"/>
      <c r="C272" s="223"/>
      <c r="D272" s="223"/>
      <c r="E272" s="224"/>
      <c r="F272" s="225"/>
      <c r="G272" s="1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"/>
      <c r="AI272" s="1"/>
      <c r="AJ272" s="2"/>
      <c r="AK272" s="1"/>
      <c r="AL272" s="2"/>
      <c r="AM272" s="2"/>
      <c r="AN272" s="30"/>
    </row>
    <row r="273">
      <c r="A273" s="24" t="s">
        <v>138</v>
      </c>
      <c r="B273" s="17"/>
      <c r="C273" s="17"/>
      <c r="D273" s="18"/>
      <c r="E273" s="57"/>
      <c r="F273" s="25"/>
      <c r="G273" s="28"/>
      <c r="H273" s="7" t="s">
        <v>139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28"/>
      <c r="AI273" s="28"/>
      <c r="AJ273" s="27"/>
      <c r="AK273" s="28"/>
      <c r="AL273" s="27"/>
      <c r="AM273" s="27"/>
      <c r="AN273" s="29"/>
    </row>
    <row r="274">
      <c r="A274" s="31"/>
      <c r="B274" s="17"/>
      <c r="C274" s="17"/>
      <c r="D274" s="17"/>
      <c r="E274" s="17"/>
      <c r="F274" s="18"/>
      <c r="G274" s="27"/>
      <c r="H274" s="7" t="s">
        <v>140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41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28"/>
      <c r="AI274" s="28"/>
      <c r="AJ274" s="27"/>
      <c r="AK274" s="28"/>
      <c r="AL274" s="28"/>
      <c r="AM274" s="27"/>
      <c r="AN274" s="32"/>
    </row>
    <row r="275">
      <c r="A275" s="170"/>
      <c r="B275" s="170"/>
      <c r="C275" s="170"/>
      <c r="D275" s="170"/>
      <c r="E275" s="106"/>
      <c r="F275" s="106"/>
      <c r="G275" s="106"/>
      <c r="H275" s="106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8"/>
      <c r="AI275" s="208"/>
      <c r="AJ275" s="182"/>
      <c r="AK275" s="208"/>
      <c r="AL275" s="112"/>
      <c r="AM275" s="112"/>
      <c r="AN275" s="122"/>
    </row>
    <row r="276">
      <c r="A276" s="178" t="s">
        <v>141</v>
      </c>
      <c r="B276" s="179"/>
      <c r="C276" s="179"/>
      <c r="D276" s="180"/>
      <c r="E276" s="188"/>
      <c r="F276" s="171"/>
      <c r="G276" s="201"/>
      <c r="H276" s="7" t="s">
        <v>139</v>
      </c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8"/>
      <c r="AI276" s="208"/>
      <c r="AJ276" s="182"/>
      <c r="AK276" s="208"/>
      <c r="AL276" s="112"/>
      <c r="AM276" s="112"/>
      <c r="AN276" s="113"/>
    </row>
    <row r="277">
      <c r="A277" s="31"/>
      <c r="B277" s="17"/>
      <c r="C277" s="17"/>
      <c r="D277" s="17"/>
      <c r="E277" s="17"/>
      <c r="F277" s="18"/>
      <c r="G277" s="182"/>
      <c r="H277" s="7" t="s">
        <v>140</v>
      </c>
      <c r="I277" s="200"/>
      <c r="J277" s="200"/>
      <c r="K277" s="200"/>
      <c r="L277" s="200"/>
      <c r="M277" s="200"/>
      <c r="N277" s="200"/>
      <c r="O277" s="200"/>
      <c r="P277" s="200"/>
      <c r="Q277" s="200"/>
      <c r="R277" s="208"/>
      <c r="S277" s="208"/>
      <c r="T277" s="208"/>
      <c r="U277" s="194"/>
      <c r="V277" s="208"/>
      <c r="W277" s="208"/>
      <c r="X277" s="208"/>
      <c r="Y277" s="208"/>
      <c r="Z277" s="208"/>
      <c r="AA277" s="208"/>
      <c r="AB277" s="208"/>
      <c r="AC277" s="208"/>
      <c r="AD277" s="208"/>
      <c r="AE277" s="208"/>
      <c r="AF277" s="208"/>
      <c r="AG277" s="208"/>
      <c r="AH277" s="208"/>
      <c r="AI277" s="208"/>
      <c r="AJ277" s="208"/>
      <c r="AK277" s="208"/>
      <c r="AL277" s="112"/>
      <c r="AM277" s="112"/>
      <c r="AN277" s="32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  <c r="AI278" s="97"/>
      <c r="AJ278" s="97"/>
      <c r="AK278" s="97"/>
      <c r="AL278" s="97"/>
      <c r="AM278" s="97"/>
      <c r="AN278" s="97"/>
    </row>
    <row r="279">
      <c r="A279" s="178" t="s">
        <v>142</v>
      </c>
      <c r="B279" s="179"/>
      <c r="C279" s="179"/>
      <c r="D279" s="180"/>
      <c r="E279" s="188"/>
      <c r="F279" s="171"/>
      <c r="G279" s="201"/>
      <c r="H279" s="7" t="s">
        <v>139</v>
      </c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8"/>
      <c r="AI279" s="208"/>
      <c r="AJ279" s="182"/>
      <c r="AK279" s="208"/>
      <c r="AL279" s="112"/>
      <c r="AM279" s="112"/>
      <c r="AN279" s="113"/>
    </row>
    <row r="280">
      <c r="A280" s="31"/>
      <c r="B280" s="17"/>
      <c r="C280" s="17"/>
      <c r="D280" s="17"/>
      <c r="E280" s="17"/>
      <c r="F280" s="18"/>
      <c r="G280" s="182"/>
      <c r="H280" s="7" t="s">
        <v>140</v>
      </c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8"/>
      <c r="AI280" s="208"/>
      <c r="AJ280" s="182"/>
      <c r="AK280" s="208"/>
      <c r="AL280" s="125"/>
      <c r="AM280" s="112"/>
      <c r="AN280" s="32"/>
    </row>
    <row r="281">
      <c r="A281" s="170"/>
      <c r="B281" s="170"/>
      <c r="C281" s="170"/>
      <c r="D281" s="170"/>
      <c r="E281" s="106"/>
      <c r="F281" s="106"/>
      <c r="G281" s="106"/>
      <c r="H281" s="106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8"/>
      <c r="AI281" s="208"/>
      <c r="AJ281" s="182"/>
      <c r="AK281" s="208"/>
      <c r="AL281" s="112"/>
      <c r="AM281" s="112"/>
      <c r="AN281" s="122"/>
    </row>
    <row r="282">
      <c r="A282" s="178" t="s">
        <v>143</v>
      </c>
      <c r="B282" s="179"/>
      <c r="C282" s="179"/>
      <c r="D282" s="180"/>
      <c r="E282" s="188"/>
      <c r="F282" s="171"/>
      <c r="G282" s="201"/>
      <c r="H282" s="7" t="s">
        <v>139</v>
      </c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8"/>
      <c r="AI282" s="208"/>
      <c r="AJ282" s="182"/>
      <c r="AK282" s="208"/>
      <c r="AL282" s="112"/>
      <c r="AM282" s="112"/>
      <c r="AN282" s="113"/>
    </row>
    <row r="283">
      <c r="A283" s="31"/>
      <c r="B283" s="17"/>
      <c r="C283" s="17"/>
      <c r="D283" s="17"/>
      <c r="E283" s="17"/>
      <c r="F283" s="18"/>
      <c r="G283" s="182"/>
      <c r="H283" s="7" t="s">
        <v>140</v>
      </c>
      <c r="I283" s="200"/>
      <c r="J283" s="200"/>
      <c r="K283" s="200"/>
      <c r="L283" s="200"/>
      <c r="M283" s="200"/>
      <c r="N283" s="200"/>
      <c r="O283" s="200"/>
      <c r="P283" s="200"/>
      <c r="Q283" s="200"/>
      <c r="R283" s="208"/>
      <c r="S283" s="208"/>
      <c r="T283" s="208"/>
      <c r="U283" s="194"/>
      <c r="V283" s="208"/>
      <c r="W283" s="208"/>
      <c r="X283" s="208"/>
      <c r="Y283" s="208"/>
      <c r="Z283" s="208"/>
      <c r="AA283" s="208"/>
      <c r="AB283" s="208"/>
      <c r="AC283" s="208"/>
      <c r="AD283" s="208"/>
      <c r="AE283" s="208"/>
      <c r="AF283" s="208"/>
      <c r="AG283" s="208"/>
      <c r="AH283" s="208"/>
      <c r="AI283" s="208"/>
      <c r="AJ283" s="208"/>
      <c r="AK283" s="208"/>
      <c r="AL283" s="112"/>
      <c r="AM283" s="112"/>
      <c r="AN283" s="32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7"/>
      <c r="AI284" s="97"/>
      <c r="AJ284" s="97"/>
      <c r="AK284" s="97"/>
      <c r="AL284" s="97"/>
      <c r="AM284" s="97"/>
      <c r="AN284" s="97"/>
    </row>
    <row r="285">
      <c r="A285" s="178" t="s">
        <v>144</v>
      </c>
      <c r="B285" s="179"/>
      <c r="C285" s="179"/>
      <c r="D285" s="180"/>
      <c r="E285" s="188"/>
      <c r="F285" s="171"/>
      <c r="G285" s="201"/>
      <c r="H285" s="7" t="s">
        <v>139</v>
      </c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8"/>
      <c r="AI285" s="208"/>
      <c r="AJ285" s="182"/>
      <c r="AK285" s="208"/>
      <c r="AL285" s="112"/>
      <c r="AM285" s="112"/>
      <c r="AN285" s="113"/>
    </row>
    <row r="286">
      <c r="A286" s="31"/>
      <c r="B286" s="17"/>
      <c r="C286" s="17"/>
      <c r="D286" s="17"/>
      <c r="E286" s="17"/>
      <c r="F286" s="18"/>
      <c r="G286" s="182"/>
      <c r="H286" s="7" t="s">
        <v>140</v>
      </c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16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  <c r="AH286" s="208"/>
      <c r="AI286" s="208"/>
      <c r="AJ286" s="182"/>
      <c r="AK286" s="208"/>
      <c r="AL286" s="125"/>
      <c r="AM286" s="112"/>
      <c r="AN286" s="32"/>
    </row>
    <row r="287">
      <c r="A287" s="170"/>
      <c r="B287" s="170"/>
      <c r="C287" s="170"/>
      <c r="D287" s="170"/>
      <c r="E287" s="106"/>
      <c r="F287" s="106"/>
      <c r="G287" s="106"/>
      <c r="H287" s="106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8"/>
      <c r="AI287" s="208"/>
      <c r="AJ287" s="182"/>
      <c r="AK287" s="208"/>
      <c r="AL287" s="112"/>
      <c r="AM287" s="112"/>
      <c r="AN287" s="122"/>
    </row>
    <row r="288">
      <c r="A288" s="178" t="s">
        <v>145</v>
      </c>
      <c r="B288" s="179"/>
      <c r="C288" s="179"/>
      <c r="D288" s="180"/>
      <c r="E288" s="188"/>
      <c r="F288" s="171"/>
      <c r="G288" s="201"/>
      <c r="H288" s="7" t="s">
        <v>139</v>
      </c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  <c r="AH288" s="208"/>
      <c r="AI288" s="208"/>
      <c r="AJ288" s="182"/>
      <c r="AK288" s="208"/>
      <c r="AL288" s="112"/>
      <c r="AM288" s="112"/>
      <c r="AN288" s="113"/>
    </row>
    <row r="289">
      <c r="A289" s="31"/>
      <c r="B289" s="17"/>
      <c r="C289" s="17"/>
      <c r="D289" s="17"/>
      <c r="E289" s="17"/>
      <c r="F289" s="18"/>
      <c r="G289" s="182"/>
      <c r="H289" s="7" t="s">
        <v>140</v>
      </c>
      <c r="I289" s="200"/>
      <c r="J289" s="200"/>
      <c r="K289" s="200"/>
      <c r="L289" s="200"/>
      <c r="M289" s="200"/>
      <c r="N289" s="200"/>
      <c r="O289" s="200"/>
      <c r="P289" s="200"/>
      <c r="Q289" s="200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  <c r="AB289" s="208"/>
      <c r="AC289" s="208"/>
      <c r="AD289" s="208"/>
      <c r="AE289" s="208"/>
      <c r="AF289" s="208"/>
      <c r="AG289" s="208"/>
      <c r="AH289" s="208"/>
      <c r="AI289" s="208"/>
      <c r="AJ289" s="208"/>
      <c r="AK289" s="208"/>
      <c r="AL289" s="112"/>
      <c r="AM289" s="112"/>
      <c r="AN289" s="32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7"/>
      <c r="AI290" s="97"/>
      <c r="AJ290" s="97"/>
      <c r="AK290" s="97"/>
      <c r="AL290" s="97"/>
      <c r="AM290" s="97"/>
      <c r="AN290" s="97"/>
    </row>
    <row r="291">
      <c r="A291" s="178" t="s">
        <v>146</v>
      </c>
      <c r="B291" s="179"/>
      <c r="C291" s="179"/>
      <c r="D291" s="180"/>
      <c r="E291" s="188"/>
      <c r="F291" s="171"/>
      <c r="G291" s="201"/>
      <c r="H291" s="7" t="s">
        <v>139</v>
      </c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  <c r="AH291" s="208"/>
      <c r="AI291" s="208"/>
      <c r="AJ291" s="182"/>
      <c r="AK291" s="208"/>
      <c r="AL291" s="112"/>
      <c r="AM291" s="112"/>
      <c r="AN291" s="113"/>
    </row>
    <row r="292">
      <c r="A292" s="31"/>
      <c r="B292" s="17"/>
      <c r="C292" s="17"/>
      <c r="D292" s="17"/>
      <c r="E292" s="17"/>
      <c r="F292" s="18"/>
      <c r="G292" s="182"/>
      <c r="H292" s="7" t="s">
        <v>140</v>
      </c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16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8"/>
      <c r="AI292" s="208"/>
      <c r="AJ292" s="182"/>
      <c r="AK292" s="208"/>
      <c r="AL292" s="125"/>
      <c r="AM292" s="112"/>
      <c r="AN292" s="32"/>
    </row>
    <row r="293">
      <c r="A293" s="170"/>
      <c r="B293" s="170"/>
      <c r="C293" s="170"/>
      <c r="D293" s="170"/>
      <c r="E293" s="106"/>
      <c r="F293" s="106"/>
      <c r="G293" s="106"/>
      <c r="H293" s="106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  <c r="AH293" s="208"/>
      <c r="AI293" s="208"/>
      <c r="AJ293" s="182"/>
      <c r="AK293" s="208"/>
      <c r="AL293" s="112"/>
      <c r="AM293" s="112"/>
      <c r="AN293" s="122"/>
    </row>
    <row r="294">
      <c r="A294" s="178" t="s">
        <v>147</v>
      </c>
      <c r="B294" s="179"/>
      <c r="C294" s="179"/>
      <c r="D294" s="180"/>
      <c r="E294" s="188"/>
      <c r="F294" s="171"/>
      <c r="G294" s="201"/>
      <c r="H294" s="7" t="s">
        <v>139</v>
      </c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  <c r="AH294" s="208"/>
      <c r="AI294" s="208"/>
      <c r="AJ294" s="182"/>
      <c r="AK294" s="208"/>
      <c r="AL294" s="112"/>
      <c r="AM294" s="112"/>
      <c r="AN294" s="113"/>
    </row>
    <row r="295">
      <c r="A295" s="31"/>
      <c r="B295" s="17"/>
      <c r="C295" s="17"/>
      <c r="D295" s="17"/>
      <c r="E295" s="17"/>
      <c r="F295" s="18"/>
      <c r="G295" s="182"/>
      <c r="H295" s="7" t="s">
        <v>140</v>
      </c>
      <c r="I295" s="200"/>
      <c r="J295" s="200"/>
      <c r="K295" s="200"/>
      <c r="L295" s="200"/>
      <c r="M295" s="200"/>
      <c r="N295" s="200"/>
      <c r="O295" s="200"/>
      <c r="P295" s="200"/>
      <c r="Q295" s="200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  <c r="AB295" s="208"/>
      <c r="AC295" s="208"/>
      <c r="AD295" s="208"/>
      <c r="AE295" s="208"/>
      <c r="AF295" s="208"/>
      <c r="AG295" s="208"/>
      <c r="AH295" s="208"/>
      <c r="AI295" s="208"/>
      <c r="AJ295" s="208"/>
      <c r="AK295" s="208"/>
      <c r="AL295" s="112"/>
      <c r="AM295" s="112"/>
      <c r="AN295" s="32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7"/>
      <c r="AI296" s="97"/>
      <c r="AJ296" s="97"/>
      <c r="AK296" s="97"/>
      <c r="AL296" s="97"/>
      <c r="AM296" s="97"/>
      <c r="AN296" s="97"/>
    </row>
    <row r="297">
      <c r="A297" s="178" t="s">
        <v>148</v>
      </c>
      <c r="B297" s="179"/>
      <c r="C297" s="179"/>
      <c r="D297" s="180"/>
      <c r="E297" s="188"/>
      <c r="F297" s="171"/>
      <c r="G297" s="201"/>
      <c r="H297" s="7" t="s">
        <v>139</v>
      </c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8"/>
      <c r="AI297" s="208"/>
      <c r="AJ297" s="182"/>
      <c r="AK297" s="208"/>
      <c r="AL297" s="112"/>
      <c r="AM297" s="112"/>
      <c r="AN297" s="113"/>
    </row>
    <row r="298">
      <c r="A298" s="31"/>
      <c r="B298" s="17"/>
      <c r="C298" s="17"/>
      <c r="D298" s="17"/>
      <c r="E298" s="17"/>
      <c r="F298" s="18"/>
      <c r="G298" s="182"/>
      <c r="H298" s="7" t="s">
        <v>140</v>
      </c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  <c r="AH298" s="208"/>
      <c r="AI298" s="208"/>
      <c r="AJ298" s="182"/>
      <c r="AK298" s="208"/>
      <c r="AL298" s="125"/>
      <c r="AM298" s="112"/>
      <c r="AN298" s="32"/>
    </row>
    <row r="299">
      <c r="A299" s="170"/>
      <c r="B299" s="170"/>
      <c r="C299" s="170"/>
      <c r="D299" s="170"/>
      <c r="E299" s="106"/>
      <c r="F299" s="106"/>
      <c r="G299" s="106"/>
      <c r="H299" s="106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  <c r="AH299" s="208"/>
      <c r="AI299" s="208"/>
      <c r="AJ299" s="182"/>
      <c r="AK299" s="208"/>
      <c r="AL299" s="112"/>
      <c r="AM299" s="112"/>
      <c r="AN299" s="122"/>
    </row>
    <row r="300">
      <c r="A300" s="178" t="s">
        <v>149</v>
      </c>
      <c r="B300" s="179"/>
      <c r="C300" s="179"/>
      <c r="D300" s="180"/>
      <c r="E300" s="188"/>
      <c r="F300" s="171"/>
      <c r="G300" s="201"/>
      <c r="H300" s="7" t="s">
        <v>139</v>
      </c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8"/>
      <c r="AI300" s="208"/>
      <c r="AJ300" s="182"/>
      <c r="AK300" s="208"/>
      <c r="AL300" s="112"/>
      <c r="AM300" s="112"/>
      <c r="AN300" s="113"/>
    </row>
    <row r="301">
      <c r="A301" s="31"/>
      <c r="B301" s="17"/>
      <c r="C301" s="17"/>
      <c r="D301" s="17"/>
      <c r="E301" s="17"/>
      <c r="F301" s="18"/>
      <c r="G301" s="182"/>
      <c r="H301" s="7" t="s">
        <v>140</v>
      </c>
      <c r="I301" s="200"/>
      <c r="J301" s="200"/>
      <c r="K301" s="200"/>
      <c r="L301" s="200"/>
      <c r="M301" s="200"/>
      <c r="N301" s="200"/>
      <c r="O301" s="200"/>
      <c r="P301" s="200"/>
      <c r="Q301" s="200"/>
      <c r="R301" s="208"/>
      <c r="S301" s="208"/>
      <c r="T301" s="208"/>
      <c r="U301" s="194"/>
      <c r="V301" s="208"/>
      <c r="W301" s="208"/>
      <c r="X301" s="208"/>
      <c r="Y301" s="208"/>
      <c r="Z301" s="208"/>
      <c r="AA301" s="208"/>
      <c r="AB301" s="208"/>
      <c r="AC301" s="208"/>
      <c r="AD301" s="208"/>
      <c r="AE301" s="208"/>
      <c r="AF301" s="208"/>
      <c r="AG301" s="208"/>
      <c r="AH301" s="208"/>
      <c r="AI301" s="208"/>
      <c r="AJ301" s="208"/>
      <c r="AK301" s="208"/>
      <c r="AL301" s="112"/>
      <c r="AM301" s="112"/>
      <c r="AN301" s="32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7"/>
      <c r="AI302" s="97"/>
      <c r="AJ302" s="97"/>
      <c r="AK302" s="97"/>
      <c r="AL302" s="97"/>
      <c r="AM302" s="97"/>
      <c r="AN302" s="97"/>
    </row>
    <row r="303">
      <c r="A303" s="178" t="s">
        <v>150</v>
      </c>
      <c r="B303" s="179"/>
      <c r="C303" s="179"/>
      <c r="D303" s="180"/>
      <c r="E303" s="188"/>
      <c r="F303" s="171"/>
      <c r="G303" s="201"/>
      <c r="H303" s="7" t="s">
        <v>139</v>
      </c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8"/>
      <c r="AI303" s="208"/>
      <c r="AJ303" s="182"/>
      <c r="AK303" s="208"/>
      <c r="AL303" s="112"/>
      <c r="AM303" s="112"/>
      <c r="AN303" s="113"/>
    </row>
    <row r="304">
      <c r="A304" s="31"/>
      <c r="B304" s="17"/>
      <c r="C304" s="17"/>
      <c r="D304" s="17"/>
      <c r="E304" s="17"/>
      <c r="F304" s="18"/>
      <c r="G304" s="182"/>
      <c r="H304" s="7" t="s">
        <v>140</v>
      </c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  <c r="AH304" s="208"/>
      <c r="AI304" s="208"/>
      <c r="AJ304" s="182"/>
      <c r="AK304" s="208"/>
      <c r="AL304" s="125"/>
      <c r="AM304" s="112"/>
      <c r="AN304" s="32"/>
    </row>
    <row r="305">
      <c r="A305" s="170"/>
      <c r="B305" s="170"/>
      <c r="C305" s="170"/>
      <c r="D305" s="170"/>
      <c r="E305" s="106"/>
      <c r="F305" s="106"/>
      <c r="G305" s="106"/>
      <c r="H305" s="106"/>
      <c r="I305" s="200"/>
      <c r="J305" s="200"/>
      <c r="K305" s="200"/>
      <c r="L305" s="200"/>
      <c r="M305" s="200"/>
      <c r="N305" s="200"/>
      <c r="O305" s="200"/>
      <c r="P305" s="200"/>
      <c r="Q305" s="200"/>
      <c r="R305" s="200"/>
      <c r="S305" s="200"/>
      <c r="T305" s="200"/>
      <c r="U305" s="200"/>
      <c r="V305" s="200"/>
      <c r="W305" s="200"/>
      <c r="X305" s="200"/>
      <c r="Y305" s="200"/>
      <c r="Z305" s="200"/>
      <c r="AA305" s="200"/>
      <c r="AB305" s="200"/>
      <c r="AC305" s="200"/>
      <c r="AD305" s="200"/>
      <c r="AE305" s="200"/>
      <c r="AF305" s="200"/>
      <c r="AG305" s="200"/>
      <c r="AH305" s="208"/>
      <c r="AI305" s="208"/>
      <c r="AJ305" s="182"/>
      <c r="AK305" s="208"/>
      <c r="AL305" s="112"/>
      <c r="AM305" s="112"/>
      <c r="AN305" s="122"/>
    </row>
    <row r="306">
      <c r="A306" s="178" t="s">
        <v>151</v>
      </c>
      <c r="B306" s="179"/>
      <c r="C306" s="179"/>
      <c r="D306" s="180"/>
      <c r="E306" s="188"/>
      <c r="F306" s="171"/>
      <c r="G306" s="201"/>
      <c r="H306" s="7" t="s">
        <v>139</v>
      </c>
      <c r="I306" s="200"/>
      <c r="J306" s="200"/>
      <c r="K306" s="200"/>
      <c r="L306" s="200"/>
      <c r="M306" s="200"/>
      <c r="N306" s="200"/>
      <c r="O306" s="200"/>
      <c r="P306" s="200"/>
      <c r="Q306" s="200"/>
      <c r="R306" s="200"/>
      <c r="S306" s="200"/>
      <c r="T306" s="200"/>
      <c r="U306" s="200"/>
      <c r="V306" s="200"/>
      <c r="W306" s="200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  <c r="AH306" s="208"/>
      <c r="AI306" s="208"/>
      <c r="AJ306" s="182"/>
      <c r="AK306" s="208"/>
      <c r="AL306" s="112"/>
      <c r="AM306" s="112"/>
      <c r="AN306" s="113"/>
    </row>
    <row r="307">
      <c r="A307" s="31"/>
      <c r="B307" s="17"/>
      <c r="C307" s="17"/>
      <c r="D307" s="17"/>
      <c r="E307" s="17"/>
      <c r="F307" s="18"/>
      <c r="G307" s="182"/>
      <c r="H307" s="7" t="s">
        <v>140</v>
      </c>
      <c r="I307" s="200"/>
      <c r="J307" s="200"/>
      <c r="K307" s="200"/>
      <c r="L307" s="200"/>
      <c r="M307" s="200"/>
      <c r="N307" s="200"/>
      <c r="O307" s="200"/>
      <c r="P307" s="200"/>
      <c r="Q307" s="200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  <c r="AB307" s="208"/>
      <c r="AC307" s="208"/>
      <c r="AD307" s="208"/>
      <c r="AE307" s="208"/>
      <c r="AF307" s="208"/>
      <c r="AG307" s="208"/>
      <c r="AH307" s="208"/>
      <c r="AI307" s="208"/>
      <c r="AJ307" s="208"/>
      <c r="AK307" s="208"/>
      <c r="AL307" s="112"/>
      <c r="AM307" s="112"/>
      <c r="AN307" s="32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7"/>
      <c r="AJ308" s="97"/>
      <c r="AK308" s="97"/>
      <c r="AL308" s="97"/>
      <c r="AM308" s="97"/>
      <c r="AN308" s="97"/>
    </row>
    <row r="309">
      <c r="A309" s="178" t="s">
        <v>152</v>
      </c>
      <c r="B309" s="179"/>
      <c r="C309" s="179"/>
      <c r="D309" s="180"/>
      <c r="E309" s="188"/>
      <c r="F309" s="171"/>
      <c r="G309" s="201"/>
      <c r="H309" s="7" t="s">
        <v>139</v>
      </c>
      <c r="I309" s="200"/>
      <c r="J309" s="200"/>
      <c r="K309" s="200"/>
      <c r="L309" s="200"/>
      <c r="M309" s="200"/>
      <c r="N309" s="200"/>
      <c r="O309" s="200"/>
      <c r="P309" s="200"/>
      <c r="Q309" s="200"/>
      <c r="R309" s="200"/>
      <c r="S309" s="200"/>
      <c r="T309" s="200"/>
      <c r="U309" s="200"/>
      <c r="V309" s="200"/>
      <c r="W309" s="200"/>
      <c r="X309" s="200"/>
      <c r="Y309" s="200"/>
      <c r="Z309" s="200"/>
      <c r="AA309" s="200"/>
      <c r="AB309" s="200"/>
      <c r="AC309" s="200"/>
      <c r="AD309" s="200"/>
      <c r="AE309" s="200"/>
      <c r="AF309" s="200"/>
      <c r="AG309" s="200"/>
      <c r="AH309" s="208"/>
      <c r="AI309" s="208"/>
      <c r="AJ309" s="182"/>
      <c r="AK309" s="208"/>
      <c r="AL309" s="112"/>
      <c r="AM309" s="112"/>
      <c r="AN309" s="113"/>
    </row>
    <row r="310">
      <c r="A310" s="31"/>
      <c r="B310" s="17"/>
      <c r="C310" s="17"/>
      <c r="D310" s="17"/>
      <c r="E310" s="17"/>
      <c r="F310" s="18"/>
      <c r="G310" s="182"/>
      <c r="H310" s="7" t="s">
        <v>140</v>
      </c>
      <c r="I310" s="200"/>
      <c r="J310" s="200"/>
      <c r="K310" s="200"/>
      <c r="L310" s="200"/>
      <c r="M310" s="200"/>
      <c r="N310" s="200"/>
      <c r="O310" s="200"/>
      <c r="P310" s="200"/>
      <c r="Q310" s="200"/>
      <c r="R310" s="200"/>
      <c r="S310" s="200"/>
      <c r="T310" s="200"/>
      <c r="U310" s="200"/>
      <c r="V310" s="200"/>
      <c r="W310" s="200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  <c r="AH310" s="208"/>
      <c r="AI310" s="208"/>
      <c r="AJ310" s="182"/>
      <c r="AK310" s="208"/>
      <c r="AL310" s="125"/>
      <c r="AM310" s="112"/>
      <c r="AN310" s="32"/>
    </row>
    <row r="311">
      <c r="A311" s="170"/>
      <c r="B311" s="170"/>
      <c r="C311" s="170"/>
      <c r="D311" s="170"/>
      <c r="E311" s="106"/>
      <c r="F311" s="106"/>
      <c r="G311" s="106"/>
      <c r="H311" s="106"/>
      <c r="I311" s="200"/>
      <c r="J311" s="200"/>
      <c r="K311" s="200"/>
      <c r="L311" s="200"/>
      <c r="M311" s="200"/>
      <c r="N311" s="200"/>
      <c r="O311" s="200"/>
      <c r="P311" s="200"/>
      <c r="Q311" s="200"/>
      <c r="R311" s="200"/>
      <c r="S311" s="200"/>
      <c r="T311" s="200"/>
      <c r="U311" s="200"/>
      <c r="V311" s="200"/>
      <c r="W311" s="200"/>
      <c r="X311" s="200"/>
      <c r="Y311" s="200"/>
      <c r="Z311" s="200"/>
      <c r="AA311" s="200"/>
      <c r="AB311" s="200"/>
      <c r="AC311" s="200"/>
      <c r="AD311" s="200"/>
      <c r="AE311" s="200"/>
      <c r="AF311" s="200"/>
      <c r="AG311" s="200"/>
      <c r="AH311" s="208"/>
      <c r="AI311" s="208"/>
      <c r="AJ311" s="182"/>
      <c r="AK311" s="208"/>
      <c r="AL311" s="112"/>
      <c r="AM311" s="112"/>
      <c r="AN311" s="122"/>
    </row>
    <row r="312">
      <c r="A312" s="178" t="s">
        <v>153</v>
      </c>
      <c r="B312" s="179"/>
      <c r="C312" s="179"/>
      <c r="D312" s="180"/>
      <c r="E312" s="188"/>
      <c r="F312" s="171"/>
      <c r="G312" s="201"/>
      <c r="H312" s="7" t="s">
        <v>139</v>
      </c>
      <c r="I312" s="200"/>
      <c r="J312" s="200"/>
      <c r="K312" s="200"/>
      <c r="L312" s="200"/>
      <c r="M312" s="200"/>
      <c r="N312" s="200"/>
      <c r="O312" s="200"/>
      <c r="P312" s="200"/>
      <c r="Q312" s="200"/>
      <c r="R312" s="200"/>
      <c r="S312" s="200"/>
      <c r="T312" s="200"/>
      <c r="U312" s="200"/>
      <c r="V312" s="200"/>
      <c r="W312" s="200"/>
      <c r="X312" s="200"/>
      <c r="Y312" s="200"/>
      <c r="Z312" s="200"/>
      <c r="AA312" s="200"/>
      <c r="AB312" s="200"/>
      <c r="AC312" s="200"/>
      <c r="AD312" s="200"/>
      <c r="AE312" s="200"/>
      <c r="AF312" s="200"/>
      <c r="AG312" s="200"/>
      <c r="AH312" s="208"/>
      <c r="AI312" s="208"/>
      <c r="AJ312" s="182"/>
      <c r="AK312" s="208"/>
      <c r="AL312" s="112"/>
      <c r="AM312" s="112"/>
      <c r="AN312" s="113"/>
    </row>
    <row r="313">
      <c r="A313" s="31"/>
      <c r="B313" s="17"/>
      <c r="C313" s="17"/>
      <c r="D313" s="17"/>
      <c r="E313" s="17"/>
      <c r="F313" s="18"/>
      <c r="G313" s="182"/>
      <c r="H313" s="7" t="s">
        <v>140</v>
      </c>
      <c r="I313" s="200"/>
      <c r="J313" s="200"/>
      <c r="K313" s="200"/>
      <c r="L313" s="200"/>
      <c r="M313" s="200"/>
      <c r="N313" s="200"/>
      <c r="O313" s="200"/>
      <c r="P313" s="200"/>
      <c r="Q313" s="200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  <c r="AB313" s="208"/>
      <c r="AC313" s="208"/>
      <c r="AD313" s="208"/>
      <c r="AE313" s="208"/>
      <c r="AF313" s="208"/>
      <c r="AG313" s="208"/>
      <c r="AH313" s="208"/>
      <c r="AI313" s="208"/>
      <c r="AJ313" s="208"/>
      <c r="AK313" s="208"/>
      <c r="AL313" s="112"/>
      <c r="AM313" s="112"/>
      <c r="AN313" s="32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7"/>
      <c r="AI314" s="97"/>
      <c r="AJ314" s="97"/>
      <c r="AK314" s="97"/>
      <c r="AL314" s="97"/>
      <c r="AM314" s="97"/>
      <c r="AN314" s="97"/>
    </row>
    <row r="315">
      <c r="A315" s="178" t="s">
        <v>154</v>
      </c>
      <c r="B315" s="179"/>
      <c r="C315" s="179"/>
      <c r="D315" s="180"/>
      <c r="E315" s="188"/>
      <c r="F315" s="171"/>
      <c r="G315" s="201"/>
      <c r="H315" s="7" t="s">
        <v>139</v>
      </c>
      <c r="I315" s="200"/>
      <c r="J315" s="200"/>
      <c r="K315" s="200"/>
      <c r="L315" s="200"/>
      <c r="M315" s="200"/>
      <c r="N315" s="200"/>
      <c r="O315" s="200"/>
      <c r="P315" s="200"/>
      <c r="Q315" s="200"/>
      <c r="R315" s="200"/>
      <c r="S315" s="200"/>
      <c r="T315" s="200"/>
      <c r="U315" s="200"/>
      <c r="V315" s="200"/>
      <c r="W315" s="200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8"/>
      <c r="AI315" s="208"/>
      <c r="AJ315" s="182"/>
      <c r="AK315" s="208"/>
      <c r="AL315" s="112"/>
      <c r="AM315" s="112"/>
      <c r="AN315" s="113"/>
    </row>
    <row r="316">
      <c r="A316" s="31"/>
      <c r="B316" s="17"/>
      <c r="C316" s="17"/>
      <c r="D316" s="17"/>
      <c r="E316" s="17"/>
      <c r="F316" s="18"/>
      <c r="G316" s="182"/>
      <c r="H316" s="7" t="s">
        <v>140</v>
      </c>
      <c r="I316" s="200"/>
      <c r="J316" s="200"/>
      <c r="K316" s="200"/>
      <c r="L316" s="200"/>
      <c r="M316" s="200"/>
      <c r="N316" s="200"/>
      <c r="O316" s="200"/>
      <c r="P316" s="200"/>
      <c r="Q316" s="200"/>
      <c r="R316" s="200"/>
      <c r="S316" s="200"/>
      <c r="T316" s="200"/>
      <c r="U316" s="200"/>
      <c r="V316" s="200"/>
      <c r="W316" s="200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8"/>
      <c r="AI316" s="208"/>
      <c r="AJ316" s="182"/>
      <c r="AK316" s="208"/>
      <c r="AL316" s="125"/>
      <c r="AM316" s="112"/>
      <c r="AN316" s="32"/>
    </row>
    <row r="317">
      <c r="A317" s="170"/>
      <c r="B317" s="170"/>
      <c r="C317" s="170"/>
      <c r="D317" s="170"/>
      <c r="E317" s="106"/>
      <c r="F317" s="106"/>
      <c r="G317" s="106"/>
      <c r="H317" s="106"/>
      <c r="I317" s="200"/>
      <c r="J317" s="200"/>
      <c r="K317" s="200"/>
      <c r="L317" s="200"/>
      <c r="M317" s="200"/>
      <c r="N317" s="200"/>
      <c r="O317" s="200"/>
      <c r="P317" s="200"/>
      <c r="Q317" s="200"/>
      <c r="R317" s="200"/>
      <c r="S317" s="200"/>
      <c r="T317" s="200"/>
      <c r="U317" s="200"/>
      <c r="V317" s="200"/>
      <c r="W317" s="200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  <c r="AH317" s="208"/>
      <c r="AI317" s="208"/>
      <c r="AJ317" s="182"/>
      <c r="AK317" s="208"/>
      <c r="AL317" s="112"/>
      <c r="AM317" s="112"/>
      <c r="AN317" s="122"/>
    </row>
    <row r="318">
      <c r="A318" s="178" t="s">
        <v>155</v>
      </c>
      <c r="B318" s="179"/>
      <c r="C318" s="179"/>
      <c r="D318" s="180"/>
      <c r="E318" s="188"/>
      <c r="F318" s="171"/>
      <c r="G318" s="201"/>
      <c r="H318" s="7" t="s">
        <v>139</v>
      </c>
      <c r="I318" s="200"/>
      <c r="J318" s="200"/>
      <c r="K318" s="200"/>
      <c r="L318" s="200"/>
      <c r="M318" s="200"/>
      <c r="N318" s="200"/>
      <c r="O318" s="200"/>
      <c r="P318" s="200"/>
      <c r="Q318" s="200"/>
      <c r="R318" s="200"/>
      <c r="S318" s="200"/>
      <c r="T318" s="200"/>
      <c r="U318" s="200"/>
      <c r="V318" s="200"/>
      <c r="W318" s="200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  <c r="AH318" s="208"/>
      <c r="AI318" s="208"/>
      <c r="AJ318" s="182"/>
      <c r="AK318" s="208"/>
      <c r="AL318" s="112"/>
      <c r="AM318" s="112"/>
      <c r="AN318" s="113"/>
    </row>
    <row r="319">
      <c r="A319" s="31"/>
      <c r="B319" s="17"/>
      <c r="C319" s="17"/>
      <c r="D319" s="17"/>
      <c r="E319" s="17"/>
      <c r="F319" s="18"/>
      <c r="G319" s="182"/>
      <c r="H319" s="7" t="s">
        <v>140</v>
      </c>
      <c r="I319" s="200"/>
      <c r="J319" s="200"/>
      <c r="K319" s="200"/>
      <c r="L319" s="200"/>
      <c r="M319" s="200"/>
      <c r="N319" s="200"/>
      <c r="O319" s="200"/>
      <c r="P319" s="200"/>
      <c r="Q319" s="200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  <c r="AB319" s="208"/>
      <c r="AC319" s="208"/>
      <c r="AD319" s="208"/>
      <c r="AE319" s="208"/>
      <c r="AF319" s="208"/>
      <c r="AG319" s="208"/>
      <c r="AH319" s="208"/>
      <c r="AI319" s="208"/>
      <c r="AJ319" s="208"/>
      <c r="AK319" s="208"/>
      <c r="AL319" s="112"/>
      <c r="AM319" s="112"/>
      <c r="AN319" s="32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7"/>
      <c r="AI320" s="97"/>
      <c r="AJ320" s="97"/>
      <c r="AK320" s="97"/>
      <c r="AL320" s="97"/>
      <c r="AM320" s="97"/>
      <c r="AN320" s="97"/>
    </row>
    <row r="321">
      <c r="A321" s="178" t="s">
        <v>156</v>
      </c>
      <c r="B321" s="179"/>
      <c r="C321" s="179"/>
      <c r="D321" s="180"/>
      <c r="E321" s="188"/>
      <c r="F321" s="171"/>
      <c r="G321" s="201"/>
      <c r="H321" s="7" t="s">
        <v>139</v>
      </c>
      <c r="I321" s="200"/>
      <c r="J321" s="200"/>
      <c r="K321" s="200"/>
      <c r="L321" s="200"/>
      <c r="M321" s="200"/>
      <c r="N321" s="200"/>
      <c r="O321" s="200"/>
      <c r="P321" s="200"/>
      <c r="Q321" s="200"/>
      <c r="R321" s="200"/>
      <c r="S321" s="200"/>
      <c r="T321" s="200"/>
      <c r="U321" s="200"/>
      <c r="V321" s="200"/>
      <c r="W321" s="200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8"/>
      <c r="AI321" s="208"/>
      <c r="AJ321" s="182"/>
      <c r="AK321" s="208"/>
      <c r="AL321" s="112"/>
      <c r="AM321" s="112"/>
      <c r="AN321" s="113"/>
    </row>
    <row r="322">
      <c r="A322" s="31"/>
      <c r="B322" s="17"/>
      <c r="C322" s="17"/>
      <c r="D322" s="17"/>
      <c r="E322" s="17"/>
      <c r="F322" s="18"/>
      <c r="G322" s="182"/>
      <c r="H322" s="7" t="s">
        <v>140</v>
      </c>
      <c r="I322" s="200"/>
      <c r="J322" s="200"/>
      <c r="K322" s="200"/>
      <c r="L322" s="200"/>
      <c r="M322" s="200"/>
      <c r="N322" s="200"/>
      <c r="O322" s="200"/>
      <c r="P322" s="200"/>
      <c r="Q322" s="200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  <c r="AB322" s="208"/>
      <c r="AC322" s="208"/>
      <c r="AD322" s="208"/>
      <c r="AE322" s="208"/>
      <c r="AF322" s="208"/>
      <c r="AG322" s="208"/>
      <c r="AH322" s="208"/>
      <c r="AI322" s="208"/>
      <c r="AJ322" s="208"/>
      <c r="AK322" s="208"/>
      <c r="AL322" s="112"/>
      <c r="AM322" s="112"/>
      <c r="AN322" s="32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  <c r="AL323" s="97"/>
      <c r="AM323" s="97"/>
      <c r="AN323" s="97"/>
    </row>
    <row r="324">
      <c r="A324" s="228" t="s">
        <v>157</v>
      </c>
    </row>
    <row r="325">
      <c r="A325" s="24" t="s">
        <v>158</v>
      </c>
      <c r="B325" s="17"/>
      <c r="C325" s="17"/>
      <c r="D325" s="18"/>
      <c r="E325" s="57"/>
      <c r="F325" s="25"/>
      <c r="G325" s="28"/>
      <c r="H325" s="7" t="s">
        <v>139</v>
      </c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28"/>
      <c r="AI325" s="28"/>
      <c r="AJ325" s="27"/>
      <c r="AK325" s="28"/>
      <c r="AL325" s="27"/>
      <c r="AM325" s="27"/>
      <c r="AN325" s="29"/>
    </row>
    <row r="326">
      <c r="A326" s="31"/>
      <c r="B326" s="17"/>
      <c r="C326" s="17"/>
      <c r="D326" s="17"/>
      <c r="E326" s="17"/>
      <c r="F326" s="18"/>
      <c r="G326" s="27"/>
      <c r="H326" s="7" t="s">
        <v>140</v>
      </c>
      <c r="I326" s="7"/>
      <c r="J326" s="7"/>
      <c r="K326" s="7"/>
      <c r="L326" s="7"/>
      <c r="M326" s="7"/>
      <c r="N326" s="7"/>
      <c r="O326" s="7"/>
      <c r="P326" s="7"/>
      <c r="Q326" s="7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7"/>
      <c r="AM326" s="27"/>
      <c r="AN326" s="32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  <c r="AF327" s="97"/>
      <c r="AG327" s="97"/>
      <c r="AH327" s="97"/>
      <c r="AI327" s="97"/>
      <c r="AJ327" s="97"/>
      <c r="AK327" s="97"/>
      <c r="AL327" s="97"/>
      <c r="AM327" s="97"/>
      <c r="AN327" s="97"/>
    </row>
    <row r="328">
      <c r="A328" s="24" t="s">
        <v>159</v>
      </c>
      <c r="B328" s="17"/>
      <c r="C328" s="17"/>
      <c r="D328" s="18"/>
      <c r="E328" s="57"/>
      <c r="F328" s="25"/>
      <c r="G328" s="28"/>
      <c r="H328" s="7" t="s">
        <v>139</v>
      </c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28"/>
      <c r="AI328" s="28"/>
      <c r="AJ328" s="27"/>
      <c r="AK328" s="28"/>
      <c r="AL328" s="27"/>
      <c r="AM328" s="27"/>
      <c r="AN328" s="29"/>
    </row>
    <row r="329">
      <c r="A329" s="31"/>
      <c r="B329" s="17"/>
      <c r="C329" s="17"/>
      <c r="D329" s="17"/>
      <c r="E329" s="17"/>
      <c r="F329" s="18"/>
      <c r="G329" s="27"/>
      <c r="H329" s="7" t="s">
        <v>140</v>
      </c>
      <c r="I329" s="7"/>
      <c r="J329" s="7"/>
      <c r="K329" s="7"/>
      <c r="L329" s="7"/>
      <c r="M329" s="7"/>
      <c r="N329" s="7"/>
      <c r="O329" s="7"/>
      <c r="P329" s="7"/>
      <c r="Q329" s="7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7"/>
      <c r="AM329" s="27"/>
      <c r="AN329" s="32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7"/>
      <c r="AI330" s="97"/>
      <c r="AJ330" s="97"/>
      <c r="AK330" s="97"/>
      <c r="AL330" s="97"/>
      <c r="AM330" s="97"/>
      <c r="AN330" s="97"/>
    </row>
    <row r="331">
      <c r="A331" s="24" t="s">
        <v>160</v>
      </c>
      <c r="B331" s="17"/>
      <c r="C331" s="17"/>
      <c r="D331" s="18"/>
      <c r="E331" s="57"/>
      <c r="F331" s="25"/>
      <c r="G331" s="28"/>
      <c r="H331" s="7" t="s">
        <v>139</v>
      </c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28"/>
      <c r="AI331" s="28"/>
      <c r="AJ331" s="27"/>
      <c r="AK331" s="28"/>
      <c r="AL331" s="27"/>
      <c r="AM331" s="27"/>
      <c r="AN331" s="29"/>
    </row>
    <row r="332">
      <c r="A332" s="31"/>
      <c r="B332" s="17"/>
      <c r="C332" s="17"/>
      <c r="D332" s="17"/>
      <c r="E332" s="17"/>
      <c r="F332" s="18"/>
      <c r="G332" s="27"/>
      <c r="H332" s="7" t="s">
        <v>140</v>
      </c>
      <c r="I332" s="7"/>
      <c r="J332" s="7"/>
      <c r="K332" s="7"/>
      <c r="L332" s="7"/>
      <c r="M332" s="7"/>
      <c r="N332" s="7"/>
      <c r="O332" s="7"/>
      <c r="P332" s="7"/>
      <c r="Q332" s="7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7"/>
      <c r="AM332" s="27"/>
      <c r="AN332" s="32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  <c r="AF333" s="97"/>
      <c r="AG333" s="97"/>
      <c r="AH333" s="97"/>
      <c r="AI333" s="97"/>
      <c r="AJ333" s="97"/>
      <c r="AK333" s="97"/>
      <c r="AL333" s="97"/>
      <c r="AM333" s="97"/>
      <c r="AN333" s="97"/>
    </row>
    <row r="334">
      <c r="A334" s="24" t="s">
        <v>161</v>
      </c>
      <c r="B334" s="17"/>
      <c r="C334" s="17"/>
      <c r="D334" s="18"/>
      <c r="E334" s="57"/>
      <c r="F334" s="25"/>
      <c r="G334" s="28"/>
      <c r="H334" s="7" t="s">
        <v>139</v>
      </c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28"/>
      <c r="AI334" s="28"/>
      <c r="AJ334" s="27"/>
      <c r="AK334" s="28"/>
      <c r="AL334" s="27"/>
      <c r="AM334" s="27"/>
      <c r="AN334" s="29"/>
    </row>
    <row r="335">
      <c r="A335" s="31"/>
      <c r="B335" s="17"/>
      <c r="C335" s="17"/>
      <c r="D335" s="17"/>
      <c r="E335" s="17"/>
      <c r="F335" s="18"/>
      <c r="G335" s="27"/>
      <c r="H335" s="7" t="s">
        <v>140</v>
      </c>
      <c r="I335" s="7"/>
      <c r="J335" s="7"/>
      <c r="K335" s="7"/>
      <c r="L335" s="7"/>
      <c r="M335" s="7"/>
      <c r="N335" s="7"/>
      <c r="O335" s="7"/>
      <c r="P335" s="7"/>
      <c r="Q335" s="7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7"/>
      <c r="AM335" s="27"/>
      <c r="AN335" s="32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F336" s="97"/>
      <c r="AG336" s="97"/>
      <c r="AH336" s="97"/>
      <c r="AI336" s="97"/>
      <c r="AJ336" s="97"/>
      <c r="AK336" s="97"/>
      <c r="AL336" s="97"/>
      <c r="AM336" s="97"/>
      <c r="AN336" s="97"/>
    </row>
    <row r="337">
      <c r="A337" s="24" t="s">
        <v>162</v>
      </c>
      <c r="B337" s="17"/>
      <c r="C337" s="17"/>
      <c r="D337" s="18"/>
      <c r="E337" s="57"/>
      <c r="F337" s="25"/>
      <c r="G337" s="28"/>
      <c r="H337" s="7" t="s">
        <v>139</v>
      </c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28"/>
      <c r="AI337" s="28"/>
      <c r="AJ337" s="27"/>
      <c r="AK337" s="28"/>
      <c r="AL337" s="27"/>
      <c r="AM337" s="27"/>
      <c r="AN337" s="29"/>
    </row>
    <row r="338">
      <c r="A338" s="31"/>
      <c r="B338" s="17"/>
      <c r="C338" s="17"/>
      <c r="D338" s="17"/>
      <c r="E338" s="17"/>
      <c r="F338" s="18"/>
      <c r="G338" s="27"/>
      <c r="H338" s="7" t="s">
        <v>140</v>
      </c>
      <c r="I338" s="7"/>
      <c r="J338" s="7"/>
      <c r="K338" s="7"/>
      <c r="L338" s="7"/>
      <c r="M338" s="7"/>
      <c r="N338" s="7"/>
      <c r="O338" s="7"/>
      <c r="P338" s="7"/>
      <c r="Q338" s="7"/>
      <c r="R338" s="28"/>
      <c r="S338" s="28"/>
      <c r="T338" s="28"/>
      <c r="U338" s="42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7"/>
      <c r="AM338" s="27"/>
      <c r="AN338" s="32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F339" s="97"/>
      <c r="AG339" s="97"/>
      <c r="AH339" s="97"/>
      <c r="AI339" s="97"/>
      <c r="AJ339" s="97"/>
      <c r="AK339" s="97"/>
      <c r="AL339" s="97"/>
      <c r="AM339" s="97"/>
      <c r="AN339" s="97"/>
    </row>
  </sheetData>
  <mergeCells count="488">
    <mergeCell ref="AO97:AO98"/>
    <mergeCell ref="AP97:AP98"/>
    <mergeCell ref="AN90:AN91"/>
    <mergeCell ref="AO90:AO91"/>
    <mergeCell ref="AP90:AP91"/>
    <mergeCell ref="AN94:AN95"/>
    <mergeCell ref="AO94:AO95"/>
    <mergeCell ref="AP94:AP95"/>
    <mergeCell ref="AN97:AN98"/>
    <mergeCell ref="AO126:AO127"/>
    <mergeCell ref="AP126:AP127"/>
    <mergeCell ref="AN120:AN121"/>
    <mergeCell ref="AO120:AO121"/>
    <mergeCell ref="AP120:AP121"/>
    <mergeCell ref="AN123:AN124"/>
    <mergeCell ref="AO123:AO124"/>
    <mergeCell ref="AP123:AP124"/>
    <mergeCell ref="AN126:AN127"/>
    <mergeCell ref="AO135:AO136"/>
    <mergeCell ref="AP135:AP136"/>
    <mergeCell ref="AN129:AN130"/>
    <mergeCell ref="AO129:AO130"/>
    <mergeCell ref="AP129:AP130"/>
    <mergeCell ref="AN132:AN133"/>
    <mergeCell ref="AO132:AO133"/>
    <mergeCell ref="AP132:AP133"/>
    <mergeCell ref="AN135:AN136"/>
    <mergeCell ref="AO144:AO145"/>
    <mergeCell ref="AP144:AP145"/>
    <mergeCell ref="AN138:AN139"/>
    <mergeCell ref="AO138:AO139"/>
    <mergeCell ref="AP138:AP139"/>
    <mergeCell ref="AN141:AN142"/>
    <mergeCell ref="AO141:AO142"/>
    <mergeCell ref="AP141:AP142"/>
    <mergeCell ref="AN144:AN145"/>
    <mergeCell ref="AO153:AO154"/>
    <mergeCell ref="AP153:AP154"/>
    <mergeCell ref="AN147:AN148"/>
    <mergeCell ref="AO147:AO148"/>
    <mergeCell ref="AP147:AP148"/>
    <mergeCell ref="AN150:AN151"/>
    <mergeCell ref="AO150:AO151"/>
    <mergeCell ref="AP150:AP151"/>
    <mergeCell ref="AN153:AN154"/>
    <mergeCell ref="AO162:AO163"/>
    <mergeCell ref="AP162:AP163"/>
    <mergeCell ref="AN156:AN157"/>
    <mergeCell ref="AO156:AO157"/>
    <mergeCell ref="AP156:AP157"/>
    <mergeCell ref="AN159:AN160"/>
    <mergeCell ref="AO159:AO160"/>
    <mergeCell ref="AP159:AP160"/>
    <mergeCell ref="AN162:AN163"/>
    <mergeCell ref="AO171:AO172"/>
    <mergeCell ref="AP171:AP172"/>
    <mergeCell ref="AN165:AN166"/>
    <mergeCell ref="AO165:AO166"/>
    <mergeCell ref="AP165:AP166"/>
    <mergeCell ref="AN168:AN169"/>
    <mergeCell ref="AO168:AO169"/>
    <mergeCell ref="AP168:AP169"/>
    <mergeCell ref="AN171:AN172"/>
    <mergeCell ref="A180:D180"/>
    <mergeCell ref="A181:F181"/>
    <mergeCell ref="A183:D183"/>
    <mergeCell ref="A186:F186"/>
    <mergeCell ref="A187:D187"/>
    <mergeCell ref="A188:F188"/>
    <mergeCell ref="A190:D190"/>
    <mergeCell ref="A191:F191"/>
    <mergeCell ref="A193:D193"/>
    <mergeCell ref="A194:F194"/>
    <mergeCell ref="A196:D196"/>
    <mergeCell ref="A197:F197"/>
    <mergeCell ref="A199:D199"/>
    <mergeCell ref="A200:F200"/>
    <mergeCell ref="A117:D117"/>
    <mergeCell ref="A118:F118"/>
    <mergeCell ref="A120:D120"/>
    <mergeCell ref="A121:F121"/>
    <mergeCell ref="A123:D123"/>
    <mergeCell ref="A124:F124"/>
    <mergeCell ref="A126:D126"/>
    <mergeCell ref="A127:F127"/>
    <mergeCell ref="A129:D129"/>
    <mergeCell ref="A130:F130"/>
    <mergeCell ref="A132:D132"/>
    <mergeCell ref="A133:F133"/>
    <mergeCell ref="A135:D135"/>
    <mergeCell ref="A136:F136"/>
    <mergeCell ref="A138:D138"/>
    <mergeCell ref="A139:F139"/>
    <mergeCell ref="A141:D141"/>
    <mergeCell ref="A142:F142"/>
    <mergeCell ref="A144:D144"/>
    <mergeCell ref="A145:F145"/>
    <mergeCell ref="A147:D147"/>
    <mergeCell ref="A148:F148"/>
    <mergeCell ref="A150:D150"/>
    <mergeCell ref="A151:F151"/>
    <mergeCell ref="A153:D153"/>
    <mergeCell ref="A154:F154"/>
    <mergeCell ref="A156:D156"/>
    <mergeCell ref="A157:F157"/>
    <mergeCell ref="A159:D159"/>
    <mergeCell ref="A160:F160"/>
    <mergeCell ref="A162:D162"/>
    <mergeCell ref="A163:F163"/>
    <mergeCell ref="A165:D165"/>
    <mergeCell ref="A166:F166"/>
    <mergeCell ref="A168:D168"/>
    <mergeCell ref="A169:F169"/>
    <mergeCell ref="A171:D171"/>
    <mergeCell ref="A172:F172"/>
    <mergeCell ref="A174:D174"/>
    <mergeCell ref="A175:F175"/>
    <mergeCell ref="A177:D177"/>
    <mergeCell ref="A178:F178"/>
    <mergeCell ref="A202:D202"/>
    <mergeCell ref="A203:F203"/>
    <mergeCell ref="A205:D205"/>
    <mergeCell ref="A206:F206"/>
    <mergeCell ref="A208:D208"/>
    <mergeCell ref="A209:F209"/>
    <mergeCell ref="A211:D211"/>
    <mergeCell ref="A282:D282"/>
    <mergeCell ref="A283:F283"/>
    <mergeCell ref="A285:D285"/>
    <mergeCell ref="A286:F286"/>
    <mergeCell ref="A288:D288"/>
    <mergeCell ref="A289:F289"/>
    <mergeCell ref="A291:D291"/>
    <mergeCell ref="A292:F292"/>
    <mergeCell ref="A294:D294"/>
    <mergeCell ref="A295:F295"/>
    <mergeCell ref="A297:D297"/>
    <mergeCell ref="A298:F298"/>
    <mergeCell ref="A300:D300"/>
    <mergeCell ref="A301:F301"/>
    <mergeCell ref="A303:D303"/>
    <mergeCell ref="A304:F304"/>
    <mergeCell ref="A306:D306"/>
    <mergeCell ref="A307:F307"/>
    <mergeCell ref="A309:D309"/>
    <mergeCell ref="A310:F310"/>
    <mergeCell ref="A312:D312"/>
    <mergeCell ref="A313:F313"/>
    <mergeCell ref="A315:D315"/>
    <mergeCell ref="A316:F316"/>
    <mergeCell ref="A318:D318"/>
    <mergeCell ref="A319:F319"/>
    <mergeCell ref="A321:D321"/>
    <mergeCell ref="A322:F322"/>
    <mergeCell ref="A212:F212"/>
    <mergeCell ref="A214:D214"/>
    <mergeCell ref="A215:F215"/>
    <mergeCell ref="A217:D217"/>
    <mergeCell ref="A220:G220"/>
    <mergeCell ref="A221:D221"/>
    <mergeCell ref="A222:F222"/>
    <mergeCell ref="A224:D224"/>
    <mergeCell ref="A225:F225"/>
    <mergeCell ref="A227:G227"/>
    <mergeCell ref="A228:D228"/>
    <mergeCell ref="A231:G231"/>
    <mergeCell ref="A232:D232"/>
    <mergeCell ref="A233:F233"/>
    <mergeCell ref="A235:D235"/>
    <mergeCell ref="A236:F236"/>
    <mergeCell ref="A238:D238"/>
    <mergeCell ref="A241:G241"/>
    <mergeCell ref="A242:D242"/>
    <mergeCell ref="A243:F243"/>
    <mergeCell ref="A245:D245"/>
    <mergeCell ref="A246:F246"/>
    <mergeCell ref="A248:D248"/>
    <mergeCell ref="A249:F249"/>
    <mergeCell ref="A251:D251"/>
    <mergeCell ref="A252:F252"/>
    <mergeCell ref="A254:D254"/>
    <mergeCell ref="A255:F255"/>
    <mergeCell ref="A257:D257"/>
    <mergeCell ref="A258:F258"/>
    <mergeCell ref="A260:D260"/>
    <mergeCell ref="A261:F261"/>
    <mergeCell ref="A263:D263"/>
    <mergeCell ref="A264:F264"/>
    <mergeCell ref="A267:F267"/>
    <mergeCell ref="A266:D266"/>
    <mergeCell ref="A273:D273"/>
    <mergeCell ref="A274:F274"/>
    <mergeCell ref="A276:D276"/>
    <mergeCell ref="A277:F277"/>
    <mergeCell ref="A279:D279"/>
    <mergeCell ref="A280:F280"/>
    <mergeCell ref="A335:F335"/>
    <mergeCell ref="A337:D337"/>
    <mergeCell ref="A338:F338"/>
    <mergeCell ref="A325:D325"/>
    <mergeCell ref="A326:F326"/>
    <mergeCell ref="A328:D328"/>
    <mergeCell ref="A329:F329"/>
    <mergeCell ref="A331:D331"/>
    <mergeCell ref="A332:F332"/>
    <mergeCell ref="A334:D334"/>
    <mergeCell ref="P3:R3"/>
    <mergeCell ref="A5:E5"/>
    <mergeCell ref="A7:E7"/>
    <mergeCell ref="A9:F9"/>
    <mergeCell ref="AN10:AN11"/>
    <mergeCell ref="AO10:AO11"/>
    <mergeCell ref="AP10:AP11"/>
    <mergeCell ref="AO19:AO20"/>
    <mergeCell ref="AP19:AP20"/>
    <mergeCell ref="A10:D10"/>
    <mergeCell ref="A11:F11"/>
    <mergeCell ref="A13:D13"/>
    <mergeCell ref="A14:F14"/>
    <mergeCell ref="A16:D16"/>
    <mergeCell ref="A17:F17"/>
    <mergeCell ref="A19:D19"/>
    <mergeCell ref="AN13:AN14"/>
    <mergeCell ref="AO13:AO14"/>
    <mergeCell ref="AP13:AP14"/>
    <mergeCell ref="AN16:AN17"/>
    <mergeCell ref="AO16:AO17"/>
    <mergeCell ref="AP16:AP17"/>
    <mergeCell ref="AN19:AN20"/>
    <mergeCell ref="A20:F20"/>
    <mergeCell ref="A22:D22"/>
    <mergeCell ref="A23:F23"/>
    <mergeCell ref="A25:D25"/>
    <mergeCell ref="A26:F26"/>
    <mergeCell ref="A28:D28"/>
    <mergeCell ref="A29:F29"/>
    <mergeCell ref="AN32:AN33"/>
    <mergeCell ref="AO32:AO33"/>
    <mergeCell ref="AP32:AP33"/>
    <mergeCell ref="A31:F31"/>
    <mergeCell ref="A32:D32"/>
    <mergeCell ref="A33:F33"/>
    <mergeCell ref="A35:D35"/>
    <mergeCell ref="A36:F36"/>
    <mergeCell ref="A38:D38"/>
    <mergeCell ref="A39:F39"/>
    <mergeCell ref="AO59:AO60"/>
    <mergeCell ref="AP59:AP60"/>
    <mergeCell ref="AN53:AN54"/>
    <mergeCell ref="AO53:AO54"/>
    <mergeCell ref="AP53:AP54"/>
    <mergeCell ref="AN56:AN57"/>
    <mergeCell ref="AO56:AO57"/>
    <mergeCell ref="AP56:AP57"/>
    <mergeCell ref="AN59:AN60"/>
    <mergeCell ref="AO68:AO69"/>
    <mergeCell ref="AP68:AP69"/>
    <mergeCell ref="AN62:AN63"/>
    <mergeCell ref="AO62:AO63"/>
    <mergeCell ref="AP62:AP63"/>
    <mergeCell ref="AN65:AN66"/>
    <mergeCell ref="AO65:AO66"/>
    <mergeCell ref="AP65:AP66"/>
    <mergeCell ref="AN68:AN69"/>
    <mergeCell ref="AO77:AO78"/>
    <mergeCell ref="AP77:AP78"/>
    <mergeCell ref="AN71:AN72"/>
    <mergeCell ref="AO71:AO72"/>
    <mergeCell ref="AP71:AP72"/>
    <mergeCell ref="AN74:AN75"/>
    <mergeCell ref="AO74:AO75"/>
    <mergeCell ref="AP74:AP75"/>
    <mergeCell ref="AN77:AN78"/>
    <mergeCell ref="AO87:AO88"/>
    <mergeCell ref="AP87:AP88"/>
    <mergeCell ref="AN80:AN81"/>
    <mergeCell ref="AO80:AO81"/>
    <mergeCell ref="AP80:AP81"/>
    <mergeCell ref="AN84:AN85"/>
    <mergeCell ref="AO84:AO85"/>
    <mergeCell ref="AP84:AP85"/>
    <mergeCell ref="AN87:AN88"/>
    <mergeCell ref="AO107:AO108"/>
    <mergeCell ref="AP107:AP108"/>
    <mergeCell ref="AN101:AN102"/>
    <mergeCell ref="AO101:AO102"/>
    <mergeCell ref="AP101:AP102"/>
    <mergeCell ref="AN104:AN105"/>
    <mergeCell ref="AO104:AO105"/>
    <mergeCell ref="AP104:AP105"/>
    <mergeCell ref="AN107:AN108"/>
    <mergeCell ref="A41:D41"/>
    <mergeCell ref="A42:F42"/>
    <mergeCell ref="A44:D44"/>
    <mergeCell ref="A45:F45"/>
    <mergeCell ref="A47:D47"/>
    <mergeCell ref="A48:F48"/>
    <mergeCell ref="A50:D50"/>
    <mergeCell ref="A51:F51"/>
    <mergeCell ref="A53:D53"/>
    <mergeCell ref="A54:F54"/>
    <mergeCell ref="A56:D56"/>
    <mergeCell ref="A57:F57"/>
    <mergeCell ref="A59:D59"/>
    <mergeCell ref="A60:F60"/>
    <mergeCell ref="A62:D62"/>
    <mergeCell ref="A63:F63"/>
    <mergeCell ref="A65:D65"/>
    <mergeCell ref="A66:F66"/>
    <mergeCell ref="A68:D68"/>
    <mergeCell ref="A69:F69"/>
    <mergeCell ref="A71:D71"/>
    <mergeCell ref="A72:F72"/>
    <mergeCell ref="A74:D74"/>
    <mergeCell ref="A75:F75"/>
    <mergeCell ref="A77:D77"/>
    <mergeCell ref="A78:F78"/>
    <mergeCell ref="A80:D80"/>
    <mergeCell ref="A83:F83"/>
    <mergeCell ref="A84:D84"/>
    <mergeCell ref="A85:F85"/>
    <mergeCell ref="A87:D87"/>
    <mergeCell ref="A88:F88"/>
    <mergeCell ref="A90:D90"/>
    <mergeCell ref="A93:F93"/>
    <mergeCell ref="A94:D94"/>
    <mergeCell ref="A95:F95"/>
    <mergeCell ref="A97:D97"/>
    <mergeCell ref="A100:F100"/>
    <mergeCell ref="A101:D101"/>
    <mergeCell ref="A102:F102"/>
    <mergeCell ref="A104:D104"/>
    <mergeCell ref="A105:F105"/>
    <mergeCell ref="A107:D107"/>
    <mergeCell ref="A108:F108"/>
    <mergeCell ref="A110:D110"/>
    <mergeCell ref="A111:F111"/>
    <mergeCell ref="A113:F113"/>
    <mergeCell ref="A114:D114"/>
    <mergeCell ref="A115:F115"/>
    <mergeCell ref="AO228:AO229"/>
    <mergeCell ref="AP228:AP229"/>
    <mergeCell ref="AN221:AN222"/>
    <mergeCell ref="AO221:AO222"/>
    <mergeCell ref="AP221:AP222"/>
    <mergeCell ref="AN224:AN225"/>
    <mergeCell ref="AO224:AO225"/>
    <mergeCell ref="AP224:AP225"/>
    <mergeCell ref="AN228:AN229"/>
    <mergeCell ref="AO248:AO249"/>
    <mergeCell ref="AP248:AP249"/>
    <mergeCell ref="AN242:AN243"/>
    <mergeCell ref="AO242:AO243"/>
    <mergeCell ref="AP242:AP243"/>
    <mergeCell ref="AN245:AN246"/>
    <mergeCell ref="AO245:AO246"/>
    <mergeCell ref="AP245:AP246"/>
    <mergeCell ref="AN248:AN249"/>
    <mergeCell ref="AO257:AO258"/>
    <mergeCell ref="AP257:AP258"/>
    <mergeCell ref="AN251:AN252"/>
    <mergeCell ref="AO251:AO252"/>
    <mergeCell ref="AP251:AP252"/>
    <mergeCell ref="AN254:AN255"/>
    <mergeCell ref="AO254:AO255"/>
    <mergeCell ref="AP254:AP255"/>
    <mergeCell ref="AN257:AN258"/>
    <mergeCell ref="AO266:AO267"/>
    <mergeCell ref="AP266:AP267"/>
    <mergeCell ref="AN260:AN261"/>
    <mergeCell ref="AO260:AO261"/>
    <mergeCell ref="AP260:AP261"/>
    <mergeCell ref="AN263:AN264"/>
    <mergeCell ref="AO263:AO264"/>
    <mergeCell ref="AP263:AP264"/>
    <mergeCell ref="AN266:AN267"/>
    <mergeCell ref="AN315:AN316"/>
    <mergeCell ref="AN318:AN319"/>
    <mergeCell ref="AN321:AN322"/>
    <mergeCell ref="AN325:AN326"/>
    <mergeCell ref="AN328:AN329"/>
    <mergeCell ref="AN331:AN332"/>
    <mergeCell ref="AN334:AN335"/>
    <mergeCell ref="AN337:AN338"/>
    <mergeCell ref="AN294:AN295"/>
    <mergeCell ref="AN297:AN298"/>
    <mergeCell ref="AN300:AN301"/>
    <mergeCell ref="AN303:AN304"/>
    <mergeCell ref="AN306:AN307"/>
    <mergeCell ref="AN309:AN310"/>
    <mergeCell ref="AN312:AN313"/>
    <mergeCell ref="AO28:AO29"/>
    <mergeCell ref="AP28:AP29"/>
    <mergeCell ref="AN22:AN23"/>
    <mergeCell ref="AO22:AO23"/>
    <mergeCell ref="AP22:AP23"/>
    <mergeCell ref="AN25:AN26"/>
    <mergeCell ref="AO25:AO26"/>
    <mergeCell ref="AP25:AP26"/>
    <mergeCell ref="AN28:AN29"/>
    <mergeCell ref="AO41:AO42"/>
    <mergeCell ref="AP41:AP42"/>
    <mergeCell ref="AN35:AN36"/>
    <mergeCell ref="AO35:AO36"/>
    <mergeCell ref="AP35:AP36"/>
    <mergeCell ref="AN38:AN39"/>
    <mergeCell ref="AO38:AO39"/>
    <mergeCell ref="AP38:AP39"/>
    <mergeCell ref="AN41:AN42"/>
    <mergeCell ref="AO50:AO51"/>
    <mergeCell ref="AP50:AP51"/>
    <mergeCell ref="AN44:AN45"/>
    <mergeCell ref="AO44:AO45"/>
    <mergeCell ref="AP44:AP45"/>
    <mergeCell ref="AN47:AN48"/>
    <mergeCell ref="AO47:AO48"/>
    <mergeCell ref="AP47:AP48"/>
    <mergeCell ref="AN50:AN51"/>
    <mergeCell ref="AN273:AN274"/>
    <mergeCell ref="AN276:AN277"/>
    <mergeCell ref="AN279:AN280"/>
    <mergeCell ref="AN282:AN283"/>
    <mergeCell ref="AN285:AN286"/>
    <mergeCell ref="AN288:AN289"/>
    <mergeCell ref="AN291:AN292"/>
    <mergeCell ref="AO117:AO118"/>
    <mergeCell ref="AP117:AP118"/>
    <mergeCell ref="AN110:AN111"/>
    <mergeCell ref="AO110:AO111"/>
    <mergeCell ref="AP110:AP111"/>
    <mergeCell ref="AN114:AN115"/>
    <mergeCell ref="AO114:AO115"/>
    <mergeCell ref="AP114:AP115"/>
    <mergeCell ref="AN117:AN118"/>
    <mergeCell ref="AO180:AO181"/>
    <mergeCell ref="AP180:AP181"/>
    <mergeCell ref="AN174:AN175"/>
    <mergeCell ref="AO174:AO175"/>
    <mergeCell ref="AP174:AP175"/>
    <mergeCell ref="AN177:AN178"/>
    <mergeCell ref="AO177:AO178"/>
    <mergeCell ref="AP177:AP178"/>
    <mergeCell ref="AN180:AN181"/>
    <mergeCell ref="AO190:AO191"/>
    <mergeCell ref="AP190:AP191"/>
    <mergeCell ref="AN183:AN184"/>
    <mergeCell ref="AO183:AO184"/>
    <mergeCell ref="AP183:AP184"/>
    <mergeCell ref="AN187:AN188"/>
    <mergeCell ref="AO187:AO188"/>
    <mergeCell ref="AP187:AP188"/>
    <mergeCell ref="AN190:AN191"/>
    <mergeCell ref="AO199:AO200"/>
    <mergeCell ref="AP199:AP200"/>
    <mergeCell ref="AN193:AN194"/>
    <mergeCell ref="AO193:AO194"/>
    <mergeCell ref="AP193:AP194"/>
    <mergeCell ref="AN196:AN197"/>
    <mergeCell ref="AO196:AO197"/>
    <mergeCell ref="AP196:AP197"/>
    <mergeCell ref="AN199:AN200"/>
    <mergeCell ref="AO208:AO209"/>
    <mergeCell ref="AP208:AP209"/>
    <mergeCell ref="AN202:AN203"/>
    <mergeCell ref="AO202:AO203"/>
    <mergeCell ref="AP202:AP203"/>
    <mergeCell ref="AN205:AN206"/>
    <mergeCell ref="AO205:AO206"/>
    <mergeCell ref="AP205:AP206"/>
    <mergeCell ref="AN208:AN209"/>
    <mergeCell ref="AO217:AO218"/>
    <mergeCell ref="AP217:AP218"/>
    <mergeCell ref="AN211:AN212"/>
    <mergeCell ref="AO211:AO212"/>
    <mergeCell ref="AP211:AP212"/>
    <mergeCell ref="AN214:AN215"/>
    <mergeCell ref="AO214:AO215"/>
    <mergeCell ref="AP214:AP215"/>
    <mergeCell ref="AN217:AN218"/>
    <mergeCell ref="AO238:AO239"/>
    <mergeCell ref="AP238:AP239"/>
    <mergeCell ref="AN232:AN233"/>
    <mergeCell ref="AO232:AO233"/>
    <mergeCell ref="AP232:AP233"/>
    <mergeCell ref="AN235:AN236"/>
    <mergeCell ref="AO235:AO236"/>
    <mergeCell ref="AP235:AP236"/>
    <mergeCell ref="AN238:AN239"/>
  </mergeCells>
  <conditionalFormatting sqref="AO10:AP267">
    <cfRule type="colorScale" priority="1">
      <colorScale>
        <cfvo type="min"/>
        <cfvo type="formula" val="8"/>
        <cfvo type="formula" val="268.1"/>
        <color rgb="FFE67C73"/>
        <color rgb="FFFFFFFF"/>
        <color rgb="FF57BB8A"/>
      </colorScale>
    </cfRule>
  </conditionalFormatting>
  <conditionalFormatting sqref="AP6:AP267">
    <cfRule type="colorScale" priority="2">
      <colorScale>
        <cfvo type="percentile" val="0"/>
        <cfvo type="percentile" val="50"/>
        <cfvo type="percentile" val="100"/>
        <color rgb="FFFF0000"/>
        <color rgb="FFFFFFFF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8.0" topLeftCell="I9" activePane="bottomRight" state="frozen"/>
      <selection activeCell="I1" sqref="I1" pane="topRight"/>
      <selection activeCell="A9" sqref="A9" pane="bottomLeft"/>
      <selection activeCell="I9" sqref="I9" pane="bottomRight"/>
    </sheetView>
  </sheetViews>
  <sheetFormatPr customHeight="1" defaultColWidth="12.63" defaultRowHeight="15.75"/>
  <cols>
    <col customWidth="1" min="1" max="1" width="9.38"/>
    <col customWidth="1" min="2" max="2" width="10.5"/>
    <col customWidth="1" min="4" max="4" width="0.38"/>
    <col customWidth="1" min="5" max="5" width="3.5"/>
    <col customWidth="1" min="6" max="6" width="4.75"/>
    <col customWidth="1" min="7" max="7" width="7.25"/>
    <col customWidth="1" min="8" max="8" width="4.25"/>
    <col customWidth="1" min="9" max="11" width="5.88"/>
    <col customWidth="1" min="12" max="12" width="7.75"/>
    <col customWidth="1" min="13" max="14" width="5.88"/>
    <col customWidth="1" min="15" max="15" width="6.13"/>
    <col customWidth="1" min="16" max="25" width="5.88"/>
    <col customWidth="1" min="26" max="26" width="6.13"/>
    <col customWidth="1" min="27" max="38" width="5.88"/>
    <col customWidth="1" min="39" max="39" width="12.63"/>
    <col customWidth="1" min="40" max="40" width="13.38"/>
    <col customWidth="1" min="41" max="42" width="2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>
      <c r="A3" s="2"/>
      <c r="B3" s="2"/>
      <c r="C3" s="1"/>
      <c r="D3" s="2"/>
      <c r="E3" s="2"/>
      <c r="F3" s="2"/>
      <c r="G3" s="2"/>
      <c r="H3" s="2"/>
      <c r="I3" s="2"/>
      <c r="J3" s="1" t="s">
        <v>3</v>
      </c>
      <c r="K3" s="2"/>
      <c r="L3" s="4" t="s">
        <v>4</v>
      </c>
      <c r="M3" s="4">
        <v>916.0</v>
      </c>
      <c r="N3" s="2"/>
      <c r="O3" s="28" t="s">
        <v>5</v>
      </c>
      <c r="P3" s="100">
        <v>45565.0</v>
      </c>
      <c r="Q3" s="17"/>
      <c r="R3" s="18"/>
      <c r="S3" s="2"/>
      <c r="T3" s="2"/>
      <c r="U3" s="1" t="s">
        <v>6</v>
      </c>
      <c r="V3" s="2"/>
      <c r="W3" s="2"/>
      <c r="X3" s="2"/>
      <c r="Y3" s="6"/>
      <c r="AB3" s="1" t="s">
        <v>163</v>
      </c>
      <c r="AC3" s="2"/>
      <c r="AD3" s="1" t="s">
        <v>164</v>
      </c>
      <c r="AE3" s="2"/>
      <c r="AF3" s="2"/>
      <c r="AG3" s="2"/>
      <c r="AH3" s="2"/>
      <c r="AI3" s="2"/>
      <c r="AJ3" s="2"/>
      <c r="AK3" s="1"/>
      <c r="AL3" s="2"/>
      <c r="AM3" s="2"/>
      <c r="AN3" s="2"/>
      <c r="AO3" s="2"/>
      <c r="AP3" s="2"/>
    </row>
    <row r="4">
      <c r="F4" s="2"/>
      <c r="G4" s="7" t="s">
        <v>7</v>
      </c>
      <c r="H4" s="7">
        <v>30.0</v>
      </c>
      <c r="I4" s="8"/>
      <c r="J4" s="8"/>
      <c r="K4" s="8"/>
      <c r="L4" s="7" t="s">
        <v>8</v>
      </c>
      <c r="M4" s="7">
        <v>918.0</v>
      </c>
      <c r="N4" s="8"/>
      <c r="O4" s="9"/>
      <c r="P4" s="8"/>
      <c r="Q4" s="8"/>
      <c r="R4" s="2"/>
      <c r="S4" s="2"/>
      <c r="T4" s="2"/>
      <c r="U4" s="1" t="s">
        <v>133</v>
      </c>
      <c r="V4" s="2"/>
      <c r="W4" s="2"/>
      <c r="X4" s="2"/>
      <c r="Y4" s="10"/>
      <c r="Z4" s="2"/>
      <c r="AB4" s="2"/>
      <c r="AC4" s="2"/>
      <c r="AD4" s="2"/>
      <c r="AF4" s="2"/>
      <c r="AG4" s="2"/>
      <c r="AH4" s="2"/>
      <c r="AI4" s="2"/>
      <c r="AJ4" s="2"/>
      <c r="AK4" s="1"/>
      <c r="AL4" s="2"/>
      <c r="AM4" s="1"/>
      <c r="AN4" s="2"/>
      <c r="AO4" s="2"/>
      <c r="AP4" s="2"/>
    </row>
    <row r="5">
      <c r="A5" s="11" t="s">
        <v>165</v>
      </c>
      <c r="F5" s="2"/>
      <c r="G5" s="8"/>
      <c r="H5" s="8"/>
      <c r="I5" s="8"/>
      <c r="J5" s="8"/>
      <c r="K5" s="8"/>
      <c r="L5" s="7" t="s">
        <v>11</v>
      </c>
      <c r="M5" s="7">
        <v>915.0</v>
      </c>
      <c r="N5" s="8"/>
      <c r="O5" s="8"/>
      <c r="P5" s="8"/>
      <c r="Q5" s="8"/>
      <c r="R5" s="2"/>
      <c r="S5" s="2"/>
      <c r="T5" s="2"/>
      <c r="U5" s="2"/>
      <c r="V5" s="2"/>
      <c r="W5" s="2"/>
      <c r="X5" s="2"/>
      <c r="Y5" s="2"/>
      <c r="Z5" s="2"/>
      <c r="AB5" s="2"/>
      <c r="AC5" s="2"/>
      <c r="AD5" s="2"/>
      <c r="AF5" s="1"/>
      <c r="AG5" s="1"/>
      <c r="AH5" s="2"/>
      <c r="AI5" s="1"/>
      <c r="AJ5" s="2"/>
      <c r="AK5" s="1"/>
      <c r="AL5" s="2"/>
      <c r="AM5" s="1"/>
      <c r="AN5" s="2"/>
      <c r="AO5" s="2"/>
      <c r="AP5" s="2"/>
    </row>
    <row r="6">
      <c r="A6" s="2"/>
      <c r="B6" s="2"/>
      <c r="C6" s="2"/>
      <c r="D6" s="2"/>
      <c r="E6" s="12"/>
      <c r="F6" s="12"/>
      <c r="G6" s="8"/>
      <c r="H6" s="8"/>
      <c r="I6" s="8"/>
      <c r="J6" s="8"/>
      <c r="K6" s="8"/>
      <c r="L6" s="7" t="s">
        <v>12</v>
      </c>
      <c r="M6" s="7"/>
      <c r="N6" s="8"/>
      <c r="O6" s="8"/>
      <c r="P6" s="8"/>
      <c r="Q6" s="8"/>
      <c r="R6" s="2"/>
      <c r="S6" s="2"/>
      <c r="T6" s="2"/>
      <c r="U6" s="1" t="s">
        <v>128</v>
      </c>
      <c r="V6" s="2"/>
      <c r="W6" s="2"/>
      <c r="X6" s="2"/>
      <c r="Y6" s="101"/>
      <c r="Z6" s="2"/>
      <c r="AB6" s="2"/>
      <c r="AC6" s="2"/>
      <c r="AD6" s="2"/>
      <c r="AE6" s="2"/>
      <c r="AF6" s="2"/>
      <c r="AG6" s="2"/>
      <c r="AH6" s="2"/>
      <c r="AI6" s="2"/>
      <c r="AJ6" s="2"/>
      <c r="AK6" s="1"/>
      <c r="AL6" s="2"/>
      <c r="AM6" s="2"/>
      <c r="AN6" s="2"/>
      <c r="AO6" s="2"/>
      <c r="AP6" s="2"/>
    </row>
    <row r="7">
      <c r="A7" s="13" t="s">
        <v>13</v>
      </c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>
      <c r="A8" s="211"/>
      <c r="B8" s="2"/>
      <c r="C8" s="2"/>
      <c r="D8" s="2"/>
      <c r="E8" s="2"/>
      <c r="F8" s="2"/>
      <c r="G8" s="12" t="s">
        <v>166</v>
      </c>
      <c r="H8" s="8"/>
      <c r="I8" s="14">
        <v>45536.0</v>
      </c>
      <c r="J8" s="14">
        <v>45537.0</v>
      </c>
      <c r="K8" s="14">
        <v>45538.0</v>
      </c>
      <c r="L8" s="14">
        <v>45539.0</v>
      </c>
      <c r="M8" s="14">
        <v>45540.0</v>
      </c>
      <c r="N8" s="14">
        <v>45541.0</v>
      </c>
      <c r="O8" s="14">
        <v>45542.0</v>
      </c>
      <c r="P8" s="14">
        <v>45543.0</v>
      </c>
      <c r="Q8" s="14">
        <v>45544.0</v>
      </c>
      <c r="R8" s="14">
        <v>45545.0</v>
      </c>
      <c r="S8" s="14">
        <v>45546.0</v>
      </c>
      <c r="T8" s="14">
        <v>45547.0</v>
      </c>
      <c r="U8" s="14">
        <v>45548.0</v>
      </c>
      <c r="V8" s="14">
        <v>45549.0</v>
      </c>
      <c r="W8" s="14">
        <v>45550.0</v>
      </c>
      <c r="X8" s="14">
        <v>45551.0</v>
      </c>
      <c r="Y8" s="14">
        <v>45552.0</v>
      </c>
      <c r="Z8" s="14">
        <v>45553.0</v>
      </c>
      <c r="AA8" s="14">
        <v>45554.0</v>
      </c>
      <c r="AB8" s="14">
        <v>45555.0</v>
      </c>
      <c r="AC8" s="14">
        <v>45556.0</v>
      </c>
      <c r="AD8" s="14">
        <v>45557.0</v>
      </c>
      <c r="AE8" s="14">
        <v>45558.0</v>
      </c>
      <c r="AF8" s="14">
        <v>45559.0</v>
      </c>
      <c r="AG8" s="14">
        <v>45560.0</v>
      </c>
      <c r="AH8" s="14">
        <v>45561.0</v>
      </c>
      <c r="AI8" s="14">
        <v>45562.0</v>
      </c>
      <c r="AJ8" s="14">
        <v>45563.0</v>
      </c>
      <c r="AK8" s="14">
        <v>45564.0</v>
      </c>
      <c r="AL8" s="14">
        <v>45565.0</v>
      </c>
      <c r="AM8" s="13" t="s">
        <v>16</v>
      </c>
      <c r="AN8" s="13" t="s">
        <v>17</v>
      </c>
      <c r="AO8" s="13" t="s">
        <v>18</v>
      </c>
      <c r="AP8" s="13"/>
    </row>
    <row r="9">
      <c r="A9" s="16" t="s">
        <v>19</v>
      </c>
      <c r="B9" s="17"/>
      <c r="C9" s="17"/>
      <c r="D9" s="17"/>
      <c r="E9" s="17"/>
      <c r="F9" s="17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/>
      <c r="S9" s="103"/>
      <c r="T9" s="103"/>
      <c r="U9" s="103"/>
      <c r="V9" s="103"/>
      <c r="W9" s="103"/>
      <c r="X9" s="103"/>
      <c r="Y9" s="103"/>
      <c r="Z9" s="103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5"/>
      <c r="AN9" s="23"/>
      <c r="AO9" s="23"/>
      <c r="AP9" s="23"/>
    </row>
    <row r="10">
      <c r="A10" s="24" t="s">
        <v>130</v>
      </c>
      <c r="B10" s="17"/>
      <c r="C10" s="17"/>
      <c r="D10" s="18"/>
      <c r="E10" s="106">
        <v>1.0</v>
      </c>
      <c r="F10" s="106" t="s">
        <v>21</v>
      </c>
      <c r="G10" s="107">
        <v>500.0</v>
      </c>
      <c r="H10" s="107" t="s">
        <v>22</v>
      </c>
      <c r="I10" s="107"/>
      <c r="J10" s="114"/>
      <c r="K10" s="107"/>
      <c r="L10" s="114"/>
      <c r="M10" s="107"/>
      <c r="N10" s="114"/>
      <c r="O10" s="107"/>
      <c r="P10" s="114"/>
      <c r="Q10" s="107"/>
      <c r="R10" s="112"/>
      <c r="S10" s="112"/>
      <c r="T10" s="125"/>
      <c r="U10" s="125">
        <v>120.0</v>
      </c>
      <c r="V10" s="112"/>
      <c r="W10" s="112"/>
      <c r="X10" s="112"/>
      <c r="Y10" s="125"/>
      <c r="Z10" s="112"/>
      <c r="AA10" s="112"/>
      <c r="AB10" s="112"/>
      <c r="AC10" s="125">
        <v>120.0</v>
      </c>
      <c r="AD10" s="112"/>
      <c r="AE10" s="125"/>
      <c r="AF10" s="112"/>
      <c r="AG10" s="125">
        <v>120.0</v>
      </c>
      <c r="AH10" s="112"/>
      <c r="AI10" s="125">
        <v>150.0</v>
      </c>
      <c r="AJ10" s="112"/>
      <c r="AK10" s="125"/>
      <c r="AL10" s="112"/>
      <c r="AM10" s="113">
        <f>G10+SUM(I10:AL10)-SUM(I11:AL11)</f>
        <v>410</v>
      </c>
      <c r="AN10" s="30">
        <f>ROUNDDOWN((AM10/E10)/$H$4,1)</f>
        <v>13.6</v>
      </c>
      <c r="AO10" s="30">
        <f>$M$4+AN10</f>
        <v>931.6</v>
      </c>
      <c r="AP10" s="30"/>
    </row>
    <row r="11">
      <c r="A11" s="212"/>
      <c r="B11" s="17"/>
      <c r="C11" s="17"/>
      <c r="D11" s="17"/>
      <c r="E11" s="17"/>
      <c r="F11" s="18"/>
      <c r="G11" s="114"/>
      <c r="H11" s="107" t="s">
        <v>23</v>
      </c>
      <c r="I11" s="114"/>
      <c r="J11" s="114"/>
      <c r="K11" s="114"/>
      <c r="L11" s="114"/>
      <c r="M11" s="114"/>
      <c r="N11" s="107">
        <v>300.0</v>
      </c>
      <c r="O11" s="114"/>
      <c r="P11" s="107"/>
      <c r="Q11" s="114"/>
      <c r="R11" s="112"/>
      <c r="S11" s="112"/>
      <c r="T11" s="125"/>
      <c r="U11" s="112"/>
      <c r="V11" s="112"/>
      <c r="W11" s="112"/>
      <c r="X11" s="112"/>
      <c r="Y11" s="112"/>
      <c r="Z11" s="112"/>
      <c r="AA11" s="125">
        <v>300.0</v>
      </c>
      <c r="AB11" s="125"/>
      <c r="AC11" s="112"/>
      <c r="AD11" s="125"/>
      <c r="AE11" s="112"/>
      <c r="AF11" s="112"/>
      <c r="AG11" s="112"/>
      <c r="AH11" s="112"/>
      <c r="AI11" s="112"/>
      <c r="AJ11" s="125"/>
      <c r="AK11" s="112"/>
      <c r="AL11" s="112"/>
      <c r="AM11" s="32"/>
      <c r="AP11" s="30"/>
    </row>
    <row r="12">
      <c r="A12" s="33"/>
      <c r="B12" s="33"/>
      <c r="C12" s="33"/>
      <c r="D12" s="33"/>
      <c r="E12" s="106"/>
      <c r="F12" s="106"/>
      <c r="G12" s="115"/>
      <c r="H12" s="107"/>
      <c r="I12" s="107"/>
      <c r="J12" s="117"/>
      <c r="K12" s="117"/>
      <c r="L12" s="117"/>
      <c r="M12" s="117"/>
      <c r="N12" s="118"/>
      <c r="O12" s="117"/>
      <c r="P12" s="114"/>
      <c r="Q12" s="117"/>
      <c r="R12" s="119"/>
      <c r="S12" s="119"/>
      <c r="T12" s="119"/>
      <c r="U12" s="119"/>
      <c r="V12" s="121"/>
      <c r="W12" s="112"/>
      <c r="X12" s="119"/>
      <c r="Y12" s="119"/>
      <c r="Z12" s="119"/>
      <c r="AA12" s="120"/>
      <c r="AB12" s="119"/>
      <c r="AC12" s="119"/>
      <c r="AD12" s="112"/>
      <c r="AE12" s="119"/>
      <c r="AF12" s="119"/>
      <c r="AG12" s="119"/>
      <c r="AH12" s="121"/>
      <c r="AI12" s="119"/>
      <c r="AJ12" s="119"/>
      <c r="AK12" s="112"/>
      <c r="AL12" s="112"/>
      <c r="AM12" s="122"/>
      <c r="AN12" s="30"/>
      <c r="AO12" s="30"/>
      <c r="AP12" s="30"/>
    </row>
    <row r="13">
      <c r="A13" s="24" t="s">
        <v>24</v>
      </c>
      <c r="B13" s="17"/>
      <c r="C13" s="17"/>
      <c r="D13" s="18"/>
      <c r="E13" s="106">
        <v>1.0</v>
      </c>
      <c r="F13" s="106" t="s">
        <v>21</v>
      </c>
      <c r="G13" s="115">
        <v>797.0</v>
      </c>
      <c r="H13" s="107" t="s">
        <v>22</v>
      </c>
      <c r="I13" s="107"/>
      <c r="J13" s="114"/>
      <c r="K13" s="114"/>
      <c r="L13" s="114"/>
      <c r="M13" s="114"/>
      <c r="N13" s="114"/>
      <c r="O13" s="114"/>
      <c r="P13" s="114"/>
      <c r="Q13" s="114"/>
      <c r="R13" s="112"/>
      <c r="S13" s="112"/>
      <c r="T13" s="125"/>
      <c r="U13" s="125">
        <v>510.0</v>
      </c>
      <c r="V13" s="125"/>
      <c r="W13" s="112"/>
      <c r="X13" s="112"/>
      <c r="Y13" s="112"/>
      <c r="Z13" s="112"/>
      <c r="AA13" s="125"/>
      <c r="AB13" s="112"/>
      <c r="AC13" s="112"/>
      <c r="AD13" s="112"/>
      <c r="AE13" s="125"/>
      <c r="AF13" s="112"/>
      <c r="AG13" s="112"/>
      <c r="AH13" s="112"/>
      <c r="AI13" s="112"/>
      <c r="AJ13" s="112"/>
      <c r="AK13" s="112"/>
      <c r="AL13" s="112"/>
      <c r="AM13" s="113">
        <f>G13+SUM(I13:AL13)-SUM(I14:AL14)</f>
        <v>647</v>
      </c>
      <c r="AN13" s="30">
        <f>ROUNDDOWN((AM13/E13)/$H$4,1)</f>
        <v>21.5</v>
      </c>
      <c r="AO13" s="30">
        <f>$M$4+AN13</f>
        <v>939.5</v>
      </c>
      <c r="AP13" s="30"/>
    </row>
    <row r="14">
      <c r="A14" s="31"/>
      <c r="B14" s="17"/>
      <c r="C14" s="17"/>
      <c r="D14" s="17"/>
      <c r="E14" s="17"/>
      <c r="F14" s="18"/>
      <c r="G14" s="123"/>
      <c r="H14" s="107" t="s">
        <v>23</v>
      </c>
      <c r="I14" s="107"/>
      <c r="J14" s="107"/>
      <c r="K14" s="107"/>
      <c r="L14" s="107"/>
      <c r="M14" s="107">
        <v>60.0</v>
      </c>
      <c r="N14" s="107"/>
      <c r="O14" s="107"/>
      <c r="P14" s="107"/>
      <c r="Q14" s="107">
        <v>60.0</v>
      </c>
      <c r="R14" s="112"/>
      <c r="S14" s="125">
        <v>60.0</v>
      </c>
      <c r="T14" s="125"/>
      <c r="U14" s="125">
        <v>60.0</v>
      </c>
      <c r="V14" s="125"/>
      <c r="W14" s="125"/>
      <c r="X14" s="125">
        <v>60.0</v>
      </c>
      <c r="Y14" s="112"/>
      <c r="Z14" s="125">
        <v>60.0</v>
      </c>
      <c r="AA14" s="125"/>
      <c r="AB14" s="125">
        <v>60.0</v>
      </c>
      <c r="AC14" s="125"/>
      <c r="AD14" s="125"/>
      <c r="AE14" s="125">
        <v>60.0</v>
      </c>
      <c r="AF14" s="125">
        <v>60.0</v>
      </c>
      <c r="AG14" s="125"/>
      <c r="AH14" s="125">
        <v>60.0</v>
      </c>
      <c r="AI14" s="125"/>
      <c r="AJ14" s="125"/>
      <c r="AK14" s="125"/>
      <c r="AL14" s="125">
        <v>60.0</v>
      </c>
      <c r="AM14" s="32"/>
      <c r="AP14" s="30"/>
    </row>
    <row r="15">
      <c r="A15" s="33"/>
      <c r="B15" s="33"/>
      <c r="C15" s="33"/>
      <c r="D15" s="33"/>
      <c r="E15" s="106"/>
      <c r="F15" s="106"/>
      <c r="G15" s="107"/>
      <c r="H15" s="107"/>
      <c r="I15" s="107"/>
      <c r="J15" s="117"/>
      <c r="K15" s="117"/>
      <c r="L15" s="117"/>
      <c r="M15" s="118"/>
      <c r="N15" s="117"/>
      <c r="O15" s="116"/>
      <c r="P15" s="114"/>
      <c r="Q15" s="118"/>
      <c r="R15" s="119"/>
      <c r="S15" s="120"/>
      <c r="T15" s="119"/>
      <c r="U15" s="120"/>
      <c r="V15" s="121"/>
      <c r="W15" s="112"/>
      <c r="X15" s="120"/>
      <c r="Y15" s="119"/>
      <c r="Z15" s="120"/>
      <c r="AA15" s="119"/>
      <c r="AB15" s="120"/>
      <c r="AC15" s="119"/>
      <c r="AD15" s="112"/>
      <c r="AE15" s="120"/>
      <c r="AF15" s="120"/>
      <c r="AG15" s="119"/>
      <c r="AH15" s="120"/>
      <c r="AI15" s="119"/>
      <c r="AJ15" s="119"/>
      <c r="AK15" s="112"/>
      <c r="AL15" s="112"/>
      <c r="AM15" s="122"/>
      <c r="AN15" s="30"/>
      <c r="AO15" s="30"/>
      <c r="AP15" s="30"/>
    </row>
    <row r="16">
      <c r="A16" s="24" t="s">
        <v>25</v>
      </c>
      <c r="B16" s="17"/>
      <c r="C16" s="17"/>
      <c r="D16" s="18"/>
      <c r="E16" s="106">
        <v>4.0</v>
      </c>
      <c r="F16" s="106" t="s">
        <v>21</v>
      </c>
      <c r="G16" s="107">
        <v>1720.0</v>
      </c>
      <c r="H16" s="107" t="s">
        <v>22</v>
      </c>
      <c r="I16" s="107"/>
      <c r="J16" s="107"/>
      <c r="K16" s="114"/>
      <c r="L16" s="114"/>
      <c r="M16" s="114"/>
      <c r="N16" s="114"/>
      <c r="O16" s="107"/>
      <c r="P16" s="114"/>
      <c r="Q16" s="114"/>
      <c r="R16" s="112"/>
      <c r="S16" s="112"/>
      <c r="T16" s="125"/>
      <c r="U16" s="125">
        <v>800.0</v>
      </c>
      <c r="V16" s="125"/>
      <c r="W16" s="112"/>
      <c r="X16" s="112"/>
      <c r="Y16" s="112"/>
      <c r="Z16" s="112"/>
      <c r="AA16" s="125">
        <v>760.0</v>
      </c>
      <c r="AB16" s="112"/>
      <c r="AC16" s="112"/>
      <c r="AD16" s="112"/>
      <c r="AE16" s="125"/>
      <c r="AF16" s="125">
        <v>480.0</v>
      </c>
      <c r="AG16" s="112"/>
      <c r="AH16" s="125"/>
      <c r="AI16" s="112"/>
      <c r="AJ16" s="112"/>
      <c r="AK16" s="112"/>
      <c r="AL16" s="112"/>
      <c r="AM16" s="113">
        <f>G16+SUM(I16:AL16)-SUM(I17:AL17)</f>
        <v>1560</v>
      </c>
      <c r="AN16" s="30">
        <f>ROUNDDOWN((AM16/E16)/$H$4,1)</f>
        <v>13</v>
      </c>
      <c r="AO16" s="30">
        <f>$M$4+AN16</f>
        <v>931</v>
      </c>
      <c r="AP16" s="30"/>
    </row>
    <row r="17">
      <c r="A17" s="31"/>
      <c r="B17" s="17"/>
      <c r="C17" s="17"/>
      <c r="D17" s="17"/>
      <c r="E17" s="17"/>
      <c r="F17" s="18"/>
      <c r="G17" s="114"/>
      <c r="H17" s="107" t="s">
        <v>23</v>
      </c>
      <c r="I17" s="107"/>
      <c r="J17" s="107"/>
      <c r="K17" s="107"/>
      <c r="L17" s="107">
        <v>240.0</v>
      </c>
      <c r="M17" s="107"/>
      <c r="N17" s="107"/>
      <c r="O17" s="107">
        <v>240.0</v>
      </c>
      <c r="P17" s="107"/>
      <c r="Q17" s="114"/>
      <c r="R17" s="125">
        <v>240.0</v>
      </c>
      <c r="S17" s="112"/>
      <c r="T17" s="125">
        <v>240.0</v>
      </c>
      <c r="U17" s="125"/>
      <c r="V17" s="125">
        <v>240.0</v>
      </c>
      <c r="W17" s="112"/>
      <c r="X17" s="125"/>
      <c r="Y17" s="125">
        <v>240.0</v>
      </c>
      <c r="Z17" s="125">
        <v>40.0</v>
      </c>
      <c r="AA17" s="125">
        <v>240.0</v>
      </c>
      <c r="AB17" s="125"/>
      <c r="AC17" s="125"/>
      <c r="AD17" s="125"/>
      <c r="AE17" s="125">
        <v>240.0</v>
      </c>
      <c r="AF17" s="125"/>
      <c r="AG17" s="112"/>
      <c r="AH17" s="125"/>
      <c r="AI17" s="125">
        <v>240.0</v>
      </c>
      <c r="AJ17" s="125"/>
      <c r="AK17" s="125"/>
      <c r="AL17" s="125"/>
      <c r="AM17" s="32"/>
      <c r="AP17" s="30"/>
    </row>
    <row r="18">
      <c r="A18" s="33"/>
      <c r="B18" s="33"/>
      <c r="C18" s="33"/>
      <c r="D18" s="33"/>
      <c r="E18" s="106"/>
      <c r="F18" s="106"/>
      <c r="G18" s="126"/>
      <c r="H18" s="107"/>
      <c r="I18" s="114"/>
      <c r="J18" s="117"/>
      <c r="K18" s="117"/>
      <c r="L18" s="118"/>
      <c r="M18" s="117"/>
      <c r="N18" s="117"/>
      <c r="O18" s="118"/>
      <c r="P18" s="114"/>
      <c r="Q18" s="117"/>
      <c r="R18" s="120"/>
      <c r="S18" s="121"/>
      <c r="T18" s="120"/>
      <c r="U18" s="121"/>
      <c r="V18" s="120"/>
      <c r="W18" s="125"/>
      <c r="X18" s="119"/>
      <c r="Y18" s="120"/>
      <c r="Z18" s="120"/>
      <c r="AA18" s="120"/>
      <c r="AB18" s="119"/>
      <c r="AC18" s="119"/>
      <c r="AD18" s="112"/>
      <c r="AE18" s="120"/>
      <c r="AF18" s="119"/>
      <c r="AG18" s="119"/>
      <c r="AH18" s="119"/>
      <c r="AI18" s="120"/>
      <c r="AJ18" s="119"/>
      <c r="AK18" s="112"/>
      <c r="AL18" s="112"/>
      <c r="AM18" s="122"/>
      <c r="AN18" s="30"/>
      <c r="AO18" s="30"/>
      <c r="AP18" s="30"/>
    </row>
    <row r="19">
      <c r="A19" s="24" t="s">
        <v>26</v>
      </c>
      <c r="B19" s="17"/>
      <c r="C19" s="17"/>
      <c r="D19" s="18"/>
      <c r="E19" s="106">
        <v>5.0</v>
      </c>
      <c r="F19" s="106" t="s">
        <v>21</v>
      </c>
      <c r="G19" s="126">
        <v>4013.0</v>
      </c>
      <c r="H19" s="107" t="s">
        <v>22</v>
      </c>
      <c r="I19" s="107"/>
      <c r="J19" s="107"/>
      <c r="K19" s="114"/>
      <c r="L19" s="114"/>
      <c r="M19" s="107"/>
      <c r="N19" s="107"/>
      <c r="O19" s="114"/>
      <c r="P19" s="114"/>
      <c r="Q19" s="107"/>
      <c r="R19" s="112"/>
      <c r="S19" s="125"/>
      <c r="T19" s="112"/>
      <c r="U19" s="125">
        <v>600.0</v>
      </c>
      <c r="V19" s="112"/>
      <c r="W19" s="112"/>
      <c r="X19" s="125"/>
      <c r="Y19" s="125">
        <v>600.0</v>
      </c>
      <c r="Z19" s="112"/>
      <c r="AA19" s="125"/>
      <c r="AB19" s="125"/>
      <c r="AC19" s="125">
        <v>600.0</v>
      </c>
      <c r="AD19" s="112"/>
      <c r="AE19" s="112"/>
      <c r="AF19" s="112"/>
      <c r="AG19" s="125">
        <v>750.0</v>
      </c>
      <c r="AH19" s="112"/>
      <c r="AI19" s="125"/>
      <c r="AJ19" s="112"/>
      <c r="AK19" s="112"/>
      <c r="AL19" s="112"/>
      <c r="AM19" s="113">
        <f>G19+SUM(I19:AL19)-SUM(I20:AL20)</f>
        <v>3473</v>
      </c>
      <c r="AN19" s="30">
        <f>ROUNDDOWN((AM19/E19)/$H$4,1)</f>
        <v>23.1</v>
      </c>
      <c r="AO19" s="30">
        <f>$M$4+AN19</f>
        <v>941.1</v>
      </c>
      <c r="AP19" s="30"/>
    </row>
    <row r="20">
      <c r="A20" s="31"/>
      <c r="B20" s="17"/>
      <c r="C20" s="17"/>
      <c r="D20" s="17"/>
      <c r="E20" s="17"/>
      <c r="F20" s="18"/>
      <c r="G20" s="114"/>
      <c r="H20" s="107" t="s">
        <v>23</v>
      </c>
      <c r="I20" s="107"/>
      <c r="J20" s="107"/>
      <c r="K20" s="107"/>
      <c r="L20" s="107"/>
      <c r="M20" s="107">
        <v>120.0</v>
      </c>
      <c r="N20" s="107"/>
      <c r="O20" s="107">
        <v>270.0</v>
      </c>
      <c r="P20" s="107"/>
      <c r="Q20" s="107">
        <v>120.0</v>
      </c>
      <c r="R20" s="125"/>
      <c r="S20" s="125">
        <f>120+270</f>
        <v>390</v>
      </c>
      <c r="T20" s="125"/>
      <c r="U20" s="125">
        <v>120.0</v>
      </c>
      <c r="V20" s="125">
        <v>270.0</v>
      </c>
      <c r="W20" s="125"/>
      <c r="X20" s="125">
        <v>120.0</v>
      </c>
      <c r="Y20" s="125">
        <v>270.0</v>
      </c>
      <c r="Z20" s="125">
        <v>120.0</v>
      </c>
      <c r="AA20" s="125"/>
      <c r="AB20" s="125">
        <v>120.0</v>
      </c>
      <c r="AC20" s="125">
        <v>270.0</v>
      </c>
      <c r="AD20" s="125"/>
      <c r="AE20" s="125">
        <v>120.0</v>
      </c>
      <c r="AF20" s="125"/>
      <c r="AG20" s="125">
        <v>270.0</v>
      </c>
      <c r="AH20" s="125">
        <v>120.0</v>
      </c>
      <c r="AI20" s="125">
        <v>270.0</v>
      </c>
      <c r="AJ20" s="125"/>
      <c r="AK20" s="125"/>
      <c r="AL20" s="125">
        <v>120.0</v>
      </c>
      <c r="AM20" s="32"/>
      <c r="AP20" s="30"/>
    </row>
    <row r="21">
      <c r="A21" s="33"/>
      <c r="B21" s="33"/>
      <c r="C21" s="33"/>
      <c r="D21" s="33"/>
      <c r="E21" s="106"/>
      <c r="F21" s="106"/>
      <c r="G21" s="107"/>
      <c r="H21" s="107"/>
      <c r="I21" s="114"/>
      <c r="J21" s="117"/>
      <c r="K21" s="117"/>
      <c r="L21" s="117"/>
      <c r="M21" s="117"/>
      <c r="N21" s="117"/>
      <c r="O21" s="118"/>
      <c r="P21" s="114"/>
      <c r="Q21" s="118"/>
      <c r="R21" s="119"/>
      <c r="S21" s="120"/>
      <c r="T21" s="119"/>
      <c r="U21" s="120"/>
      <c r="V21" s="120"/>
      <c r="W21" s="112"/>
      <c r="X21" s="120"/>
      <c r="Y21" s="120"/>
      <c r="Z21" s="120"/>
      <c r="AA21" s="119"/>
      <c r="AB21" s="120"/>
      <c r="AC21" s="120"/>
      <c r="AD21" s="112"/>
      <c r="AE21" s="120"/>
      <c r="AF21" s="119"/>
      <c r="AG21" s="120"/>
      <c r="AH21" s="120"/>
      <c r="AI21" s="120"/>
      <c r="AJ21" s="119"/>
      <c r="AK21" s="112"/>
      <c r="AL21" s="112"/>
      <c r="AM21" s="122"/>
      <c r="AN21" s="30"/>
      <c r="AO21" s="30"/>
      <c r="AP21" s="30"/>
    </row>
    <row r="22">
      <c r="A22" s="24" t="s">
        <v>27</v>
      </c>
      <c r="B22" s="17"/>
      <c r="C22" s="17"/>
      <c r="D22" s="18"/>
      <c r="E22" s="106">
        <v>4.0</v>
      </c>
      <c r="F22" s="106" t="s">
        <v>21</v>
      </c>
      <c r="G22" s="107">
        <v>1993.0</v>
      </c>
      <c r="H22" s="107" t="s">
        <v>22</v>
      </c>
      <c r="I22" s="107"/>
      <c r="J22" s="114"/>
      <c r="K22" s="107">
        <v>840.0</v>
      </c>
      <c r="L22" s="114"/>
      <c r="M22" s="114"/>
      <c r="N22" s="114"/>
      <c r="O22" s="114"/>
      <c r="P22" s="107"/>
      <c r="Q22" s="114"/>
      <c r="R22" s="125"/>
      <c r="S22" s="112"/>
      <c r="T22" s="125"/>
      <c r="U22" s="125">
        <v>600.0</v>
      </c>
      <c r="V22" s="112"/>
      <c r="W22" s="112"/>
      <c r="X22" s="112"/>
      <c r="Y22" s="125">
        <v>600.0</v>
      </c>
      <c r="Z22" s="112"/>
      <c r="AA22" s="112"/>
      <c r="AB22" s="112"/>
      <c r="AC22" s="125">
        <v>600.0</v>
      </c>
      <c r="AD22" s="125"/>
      <c r="AE22" s="112"/>
      <c r="AF22" s="125"/>
      <c r="AG22" s="125">
        <v>240.0</v>
      </c>
      <c r="AH22" s="112"/>
      <c r="AI22" s="125"/>
      <c r="AJ22" s="112"/>
      <c r="AK22" s="125"/>
      <c r="AL22" s="125"/>
      <c r="AM22" s="113">
        <f>G22+SUM(I22:AL22)-SUM(I23:AL23)</f>
        <v>1753</v>
      </c>
      <c r="AN22" s="30">
        <f>ROUNDDOWN((AM22/E22)/$H$4,1)</f>
        <v>14.6</v>
      </c>
      <c r="AO22" s="30">
        <f>$M$4+AN22</f>
        <v>932.6</v>
      </c>
      <c r="AP22" s="30"/>
    </row>
    <row r="23">
      <c r="A23" s="31"/>
      <c r="B23" s="17"/>
      <c r="C23" s="17"/>
      <c r="D23" s="17"/>
      <c r="E23" s="17"/>
      <c r="F23" s="18"/>
      <c r="G23" s="114"/>
      <c r="H23" s="107" t="s">
        <v>23</v>
      </c>
      <c r="I23" s="107"/>
      <c r="J23" s="107"/>
      <c r="K23" s="107"/>
      <c r="L23" s="107"/>
      <c r="M23" s="107">
        <v>240.0</v>
      </c>
      <c r="N23" s="107"/>
      <c r="O23" s="107"/>
      <c r="P23" s="107"/>
      <c r="Q23" s="107">
        <v>240.0</v>
      </c>
      <c r="R23" s="112"/>
      <c r="S23" s="125">
        <v>240.0</v>
      </c>
      <c r="T23" s="125"/>
      <c r="U23" s="125">
        <v>240.0</v>
      </c>
      <c r="V23" s="125"/>
      <c r="W23" s="125"/>
      <c r="X23" s="125">
        <v>240.0</v>
      </c>
      <c r="Y23" s="112"/>
      <c r="Z23" s="125">
        <v>240.0</v>
      </c>
      <c r="AA23" s="125"/>
      <c r="AB23" s="125">
        <v>240.0</v>
      </c>
      <c r="AC23" s="125"/>
      <c r="AD23" s="125"/>
      <c r="AE23" s="125">
        <v>240.0</v>
      </c>
      <c r="AF23" s="125">
        <v>240.0</v>
      </c>
      <c r="AG23" s="125">
        <v>240.0</v>
      </c>
      <c r="AH23" s="125">
        <v>240.0</v>
      </c>
      <c r="AI23" s="125"/>
      <c r="AJ23" s="125">
        <v>240.0</v>
      </c>
      <c r="AK23" s="125"/>
      <c r="AL23" s="125">
        <v>240.0</v>
      </c>
      <c r="AM23" s="32"/>
      <c r="AP23" s="30"/>
    </row>
    <row r="24">
      <c r="A24" s="33"/>
      <c r="B24" s="33"/>
      <c r="C24" s="33"/>
      <c r="D24" s="33"/>
      <c r="E24" s="106"/>
      <c r="F24" s="106"/>
      <c r="G24" s="107"/>
      <c r="H24" s="107"/>
      <c r="I24" s="107"/>
      <c r="J24" s="117"/>
      <c r="K24" s="117"/>
      <c r="L24" s="117"/>
      <c r="M24" s="118"/>
      <c r="N24" s="117"/>
      <c r="O24" s="117"/>
      <c r="P24" s="114"/>
      <c r="Q24" s="118"/>
      <c r="R24" s="119"/>
      <c r="S24" s="120"/>
      <c r="T24" s="119"/>
      <c r="U24" s="120"/>
      <c r="V24" s="119"/>
      <c r="W24" s="112"/>
      <c r="X24" s="120"/>
      <c r="Y24" s="119"/>
      <c r="Z24" s="120"/>
      <c r="AA24" s="119"/>
      <c r="AB24" s="120"/>
      <c r="AC24" s="119"/>
      <c r="AD24" s="112"/>
      <c r="AE24" s="120"/>
      <c r="AF24" s="120"/>
      <c r="AG24" s="120"/>
      <c r="AH24" s="120"/>
      <c r="AI24" s="119"/>
      <c r="AJ24" s="120"/>
      <c r="AK24" s="112"/>
      <c r="AL24" s="112"/>
      <c r="AM24" s="122"/>
      <c r="AN24" s="30"/>
      <c r="AO24" s="30"/>
      <c r="AP24" s="30"/>
    </row>
    <row r="25">
      <c r="A25" s="24" t="s">
        <v>28</v>
      </c>
      <c r="B25" s="17"/>
      <c r="C25" s="17"/>
      <c r="D25" s="18"/>
      <c r="E25" s="106">
        <v>4.0</v>
      </c>
      <c r="F25" s="106" t="s">
        <v>21</v>
      </c>
      <c r="G25" s="107">
        <v>1200.0</v>
      </c>
      <c r="H25" s="107" t="s">
        <v>22</v>
      </c>
      <c r="I25" s="107"/>
      <c r="J25" s="107"/>
      <c r="K25" s="107">
        <v>480.0</v>
      </c>
      <c r="L25" s="114"/>
      <c r="M25" s="107"/>
      <c r="N25" s="107">
        <v>480.0</v>
      </c>
      <c r="O25" s="114"/>
      <c r="P25" s="114"/>
      <c r="Q25" s="114"/>
      <c r="R25" s="125">
        <v>480.0</v>
      </c>
      <c r="S25" s="112"/>
      <c r="T25" s="125">
        <v>480.0</v>
      </c>
      <c r="U25" s="125">
        <v>480.0</v>
      </c>
      <c r="V25" s="112"/>
      <c r="W25" s="112"/>
      <c r="X25" s="112"/>
      <c r="Y25" s="125">
        <v>480.0</v>
      </c>
      <c r="Z25" s="112"/>
      <c r="AA25" s="125"/>
      <c r="AB25" s="112"/>
      <c r="AC25" s="125">
        <v>480.0</v>
      </c>
      <c r="AD25" s="125"/>
      <c r="AE25" s="112"/>
      <c r="AF25" s="125"/>
      <c r="AG25" s="125">
        <v>600.0</v>
      </c>
      <c r="AH25" s="125"/>
      <c r="AI25" s="125"/>
      <c r="AJ25" s="112"/>
      <c r="AK25" s="125"/>
      <c r="AL25" s="125"/>
      <c r="AM25" s="113">
        <f>G25+SUM(I25:AL25)-SUM(I26:AL26)</f>
        <v>1820</v>
      </c>
      <c r="AN25" s="30">
        <f>ROUNDDOWN((AM25/E25)/$H$4,1)</f>
        <v>15.1</v>
      </c>
      <c r="AO25" s="30">
        <f>$M$4+AN25</f>
        <v>933.1</v>
      </c>
      <c r="AP25" s="30"/>
    </row>
    <row r="26">
      <c r="A26" s="31"/>
      <c r="B26" s="17"/>
      <c r="C26" s="17"/>
      <c r="D26" s="17"/>
      <c r="E26" s="17"/>
      <c r="F26" s="18"/>
      <c r="G26" s="114"/>
      <c r="H26" s="107" t="s">
        <v>23</v>
      </c>
      <c r="I26" s="107"/>
      <c r="J26" s="107"/>
      <c r="K26" s="114"/>
      <c r="L26" s="114"/>
      <c r="M26" s="107"/>
      <c r="N26" s="107">
        <v>340.0</v>
      </c>
      <c r="O26" s="114"/>
      <c r="P26" s="107"/>
      <c r="Q26" s="114"/>
      <c r="R26" s="112"/>
      <c r="S26" s="125">
        <v>480.0</v>
      </c>
      <c r="T26" s="125"/>
      <c r="U26" s="112"/>
      <c r="V26" s="112"/>
      <c r="W26" s="112"/>
      <c r="X26" s="125">
        <v>480.0</v>
      </c>
      <c r="Y26" s="112"/>
      <c r="Z26" s="112"/>
      <c r="AA26" s="125"/>
      <c r="AB26" s="125">
        <v>600.0</v>
      </c>
      <c r="AC26" s="112"/>
      <c r="AD26" s="112"/>
      <c r="AE26" s="125"/>
      <c r="AF26" s="125"/>
      <c r="AG26" s="112"/>
      <c r="AH26" s="125">
        <v>450.0</v>
      </c>
      <c r="AI26" s="125"/>
      <c r="AJ26" s="125">
        <v>480.0</v>
      </c>
      <c r="AK26" s="112"/>
      <c r="AL26" s="125">
        <v>510.0</v>
      </c>
      <c r="AM26" s="32"/>
      <c r="AP26" s="30"/>
    </row>
    <row r="27">
      <c r="A27" s="33"/>
      <c r="B27" s="33"/>
      <c r="C27" s="33"/>
      <c r="D27" s="33"/>
      <c r="E27" s="106"/>
      <c r="F27" s="106"/>
      <c r="G27" s="107"/>
      <c r="H27" s="107"/>
      <c r="I27" s="107"/>
      <c r="J27" s="117"/>
      <c r="K27" s="117"/>
      <c r="L27" s="117"/>
      <c r="M27" s="117"/>
      <c r="N27" s="118"/>
      <c r="O27" s="117"/>
      <c r="P27" s="114"/>
      <c r="Q27" s="117"/>
      <c r="R27" s="119"/>
      <c r="S27" s="127"/>
      <c r="T27" s="119"/>
      <c r="U27" s="119"/>
      <c r="V27" s="121"/>
      <c r="W27" s="112"/>
      <c r="X27" s="120"/>
      <c r="Y27" s="119"/>
      <c r="Z27" s="119"/>
      <c r="AA27" s="119"/>
      <c r="AB27" s="120"/>
      <c r="AC27" s="119"/>
      <c r="AD27" s="112"/>
      <c r="AE27" s="119"/>
      <c r="AF27" s="119"/>
      <c r="AG27" s="119"/>
      <c r="AH27" s="127"/>
      <c r="AI27" s="119"/>
      <c r="AJ27" s="120"/>
      <c r="AK27" s="112"/>
      <c r="AL27" s="112"/>
      <c r="AM27" s="122"/>
      <c r="AN27" s="30"/>
      <c r="AO27" s="30"/>
      <c r="AP27" s="30"/>
    </row>
    <row r="28">
      <c r="A28" s="24" t="s">
        <v>29</v>
      </c>
      <c r="B28" s="17"/>
      <c r="C28" s="17"/>
      <c r="D28" s="18"/>
      <c r="E28" s="106">
        <v>1.0</v>
      </c>
      <c r="F28" s="106" t="s">
        <v>30</v>
      </c>
      <c r="G28" s="107">
        <f>130+5+72</f>
        <v>207</v>
      </c>
      <c r="H28" s="107" t="s">
        <v>22</v>
      </c>
      <c r="I28" s="107"/>
      <c r="J28" s="107"/>
      <c r="K28" s="107">
        <v>60.0</v>
      </c>
      <c r="L28" s="114"/>
      <c r="M28" s="114"/>
      <c r="N28" s="107"/>
      <c r="O28" s="107">
        <v>60.0</v>
      </c>
      <c r="P28" s="114"/>
      <c r="Q28" s="107"/>
      <c r="R28" s="125">
        <v>90.0</v>
      </c>
      <c r="S28" s="125"/>
      <c r="T28" s="112"/>
      <c r="U28" s="112"/>
      <c r="V28" s="125"/>
      <c r="W28" s="112"/>
      <c r="X28" s="125">
        <v>100.0</v>
      </c>
      <c r="Y28" s="112"/>
      <c r="Z28" s="125">
        <v>100.0</v>
      </c>
      <c r="AA28" s="112"/>
      <c r="AB28" s="125"/>
      <c r="AC28" s="125"/>
      <c r="AD28" s="112"/>
      <c r="AE28" s="112"/>
      <c r="AF28" s="125"/>
      <c r="AG28" s="125">
        <v>100.0</v>
      </c>
      <c r="AH28" s="125">
        <v>120.0</v>
      </c>
      <c r="AI28" s="125"/>
      <c r="AJ28" s="125"/>
      <c r="AK28" s="125"/>
      <c r="AL28" s="112"/>
      <c r="AM28" s="113">
        <f>G28+SUM(I28:AL28)-SUM(I29:AL29)</f>
        <v>138</v>
      </c>
      <c r="AN28" s="30">
        <f>ROUNDDOWN((AM28/E28)/$H$4,1)</f>
        <v>4.6</v>
      </c>
      <c r="AO28" s="30">
        <f>$M$4+AN28</f>
        <v>922.6</v>
      </c>
      <c r="AP28" s="30"/>
    </row>
    <row r="29">
      <c r="A29" s="31"/>
      <c r="B29" s="17"/>
      <c r="C29" s="17"/>
      <c r="D29" s="17"/>
      <c r="E29" s="17"/>
      <c r="F29" s="18"/>
      <c r="G29" s="114"/>
      <c r="H29" s="107" t="s">
        <v>23</v>
      </c>
      <c r="I29" s="107"/>
      <c r="J29" s="107"/>
      <c r="K29" s="107">
        <v>15.0</v>
      </c>
      <c r="L29" s="107">
        <v>15.0</v>
      </c>
      <c r="M29" s="107">
        <v>15.0</v>
      </c>
      <c r="N29" s="114">
        <f>15+15</f>
        <v>30</v>
      </c>
      <c r="O29" s="107">
        <f>30+30</f>
        <v>60</v>
      </c>
      <c r="P29" s="114"/>
      <c r="Q29" s="114"/>
      <c r="R29" s="125">
        <f t="shared" ref="R29:V29" si="1">15+15</f>
        <v>30</v>
      </c>
      <c r="S29" s="112">
        <f t="shared" si="1"/>
        <v>30</v>
      </c>
      <c r="T29" s="125">
        <f t="shared" si="1"/>
        <v>30</v>
      </c>
      <c r="U29" s="125">
        <f t="shared" si="1"/>
        <v>30</v>
      </c>
      <c r="V29" s="125">
        <f t="shared" si="1"/>
        <v>30</v>
      </c>
      <c r="W29" s="125"/>
      <c r="X29" s="125">
        <f>15+15</f>
        <v>30</v>
      </c>
      <c r="Y29" s="125">
        <f>15+18</f>
        <v>33</v>
      </c>
      <c r="Z29" s="125">
        <f>18+15</f>
        <v>33</v>
      </c>
      <c r="AA29" s="125">
        <f>15+16</f>
        <v>31</v>
      </c>
      <c r="AB29" s="125">
        <f>15+5</f>
        <v>20</v>
      </c>
      <c r="AC29" s="125">
        <v>23.0</v>
      </c>
      <c r="AD29" s="112"/>
      <c r="AE29" s="125">
        <v>15.0</v>
      </c>
      <c r="AF29" s="125">
        <f>15+15+15</f>
        <v>45</v>
      </c>
      <c r="AG29" s="112">
        <f>15+15</f>
        <v>30</v>
      </c>
      <c r="AH29" s="125">
        <f>16+10+4</f>
        <v>30</v>
      </c>
      <c r="AI29" s="125">
        <f>17+18+4</f>
        <v>39</v>
      </c>
      <c r="AJ29" s="112">
        <f>20+15</f>
        <v>35</v>
      </c>
      <c r="AK29" s="125">
        <v>15.0</v>
      </c>
      <c r="AL29" s="125">
        <v>35.0</v>
      </c>
      <c r="AM29" s="32"/>
      <c r="AP29" s="30"/>
    </row>
    <row r="30">
      <c r="A30" s="128"/>
      <c r="B30" s="128"/>
      <c r="C30" s="128"/>
      <c r="D30" s="128"/>
      <c r="E30" s="128"/>
      <c r="F30" s="128"/>
      <c r="G30" s="129"/>
      <c r="H30" s="129"/>
      <c r="I30" s="131"/>
      <c r="J30" s="213"/>
      <c r="K30" s="130"/>
      <c r="L30" s="130"/>
      <c r="M30" s="130"/>
      <c r="N30" s="130"/>
      <c r="O30" s="130"/>
      <c r="P30" s="131"/>
      <c r="Q30" s="213"/>
      <c r="R30" s="120"/>
      <c r="S30" s="120"/>
      <c r="T30" s="120"/>
      <c r="U30" s="120"/>
      <c r="V30" s="120"/>
      <c r="W30" s="112"/>
      <c r="X30" s="120"/>
      <c r="Y30" s="120"/>
      <c r="Z30" s="120"/>
      <c r="AA30" s="120"/>
      <c r="AB30" s="120"/>
      <c r="AC30" s="120"/>
      <c r="AD30" s="112"/>
      <c r="AE30" s="120"/>
      <c r="AF30" s="120"/>
      <c r="AG30" s="120"/>
      <c r="AH30" s="120"/>
      <c r="AI30" s="120"/>
      <c r="AJ30" s="120"/>
      <c r="AK30" s="112"/>
      <c r="AL30" s="112"/>
      <c r="AM30" s="110"/>
      <c r="AN30" s="49"/>
      <c r="AO30" s="49"/>
      <c r="AP30" s="49"/>
    </row>
    <row r="31">
      <c r="A31" s="50" t="s">
        <v>31</v>
      </c>
      <c r="B31" s="17"/>
      <c r="C31" s="17"/>
      <c r="D31" s="17"/>
      <c r="E31" s="17"/>
      <c r="F31" s="17"/>
      <c r="G31" s="132"/>
      <c r="H31" s="132"/>
      <c r="I31" s="133"/>
      <c r="J31" s="133"/>
      <c r="K31" s="133"/>
      <c r="L31" s="133"/>
      <c r="M31" s="133"/>
      <c r="N31" s="133"/>
      <c r="O31" s="133"/>
      <c r="P31" s="133"/>
      <c r="Q31" s="133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5"/>
      <c r="AM31" s="135"/>
      <c r="AN31" s="52"/>
      <c r="AO31" s="52"/>
      <c r="AP31" s="52"/>
    </row>
    <row r="32">
      <c r="A32" s="24" t="s">
        <v>32</v>
      </c>
      <c r="B32" s="17"/>
      <c r="C32" s="17"/>
      <c r="D32" s="18"/>
      <c r="E32" s="106">
        <v>2.0</v>
      </c>
      <c r="F32" s="106" t="s">
        <v>21</v>
      </c>
      <c r="G32" s="107">
        <v>210.0</v>
      </c>
      <c r="H32" s="107" t="s">
        <v>22</v>
      </c>
      <c r="I32" s="107"/>
      <c r="J32" s="107">
        <v>45.0</v>
      </c>
      <c r="K32" s="107">
        <v>45.0</v>
      </c>
      <c r="L32" s="107"/>
      <c r="M32" s="107">
        <v>30.0</v>
      </c>
      <c r="N32" s="107">
        <f>15+30</f>
        <v>45</v>
      </c>
      <c r="O32" s="107">
        <v>15.0</v>
      </c>
      <c r="P32" s="107"/>
      <c r="Q32" s="107">
        <v>30.0</v>
      </c>
      <c r="R32" s="125">
        <f t="shared" ref="R32:R33" si="3">30+30</f>
        <v>60</v>
      </c>
      <c r="S32" s="125">
        <v>30.0</v>
      </c>
      <c r="T32" s="125">
        <f>30+45</f>
        <v>75</v>
      </c>
      <c r="U32" s="125">
        <v>45.0</v>
      </c>
      <c r="V32" s="125">
        <v>45.0</v>
      </c>
      <c r="W32" s="125"/>
      <c r="X32" s="125">
        <f t="shared" ref="X32:Z32" si="2">45+30</f>
        <v>75</v>
      </c>
      <c r="Y32" s="125">
        <f t="shared" si="2"/>
        <v>75</v>
      </c>
      <c r="Z32" s="125">
        <f t="shared" si="2"/>
        <v>75</v>
      </c>
      <c r="AA32" s="125">
        <v>45.0</v>
      </c>
      <c r="AB32" s="125">
        <v>45.0</v>
      </c>
      <c r="AC32" s="125">
        <v>60.0</v>
      </c>
      <c r="AD32" s="125"/>
      <c r="AE32" s="125">
        <v>60.0</v>
      </c>
      <c r="AF32" s="125">
        <f>30+45</f>
        <v>75</v>
      </c>
      <c r="AG32" s="125">
        <f>15+45</f>
        <v>60</v>
      </c>
      <c r="AH32" s="125">
        <f>45+30</f>
        <v>75</v>
      </c>
      <c r="AI32" s="125">
        <f>30+15</f>
        <v>45</v>
      </c>
      <c r="AJ32" s="125"/>
      <c r="AK32" s="125"/>
      <c r="AL32" s="125">
        <v>60.0</v>
      </c>
      <c r="AM32" s="113">
        <f>G32+SUM(I32:AL32)-SUM(I33:AL33)</f>
        <v>31</v>
      </c>
      <c r="AN32" s="53">
        <f>ROUNDDOWN((AM32/E32)/$H$4,1)</f>
        <v>0.5</v>
      </c>
      <c r="AO32" s="53">
        <f>$M$3+AN32</f>
        <v>916.5</v>
      </c>
      <c r="AP32" s="53"/>
    </row>
    <row r="33">
      <c r="A33" s="31"/>
      <c r="B33" s="17"/>
      <c r="C33" s="17"/>
      <c r="D33" s="17"/>
      <c r="E33" s="17"/>
      <c r="F33" s="18"/>
      <c r="G33" s="114"/>
      <c r="H33" s="107" t="s">
        <v>23</v>
      </c>
      <c r="I33" s="107"/>
      <c r="J33" s="107"/>
      <c r="K33" s="107">
        <v>30.0</v>
      </c>
      <c r="L33" s="107">
        <v>30.0</v>
      </c>
      <c r="M33" s="107">
        <v>30.0</v>
      </c>
      <c r="N33" s="114">
        <f>30+30</f>
        <v>60</v>
      </c>
      <c r="O33" s="107">
        <f>60+60</f>
        <v>120</v>
      </c>
      <c r="P33" s="114"/>
      <c r="Q33" s="114"/>
      <c r="R33" s="125">
        <f t="shared" si="3"/>
        <v>60</v>
      </c>
      <c r="S33" s="112">
        <f t="shared" ref="S33:V33" si="4">30+30</f>
        <v>60</v>
      </c>
      <c r="T33" s="125">
        <f t="shared" si="4"/>
        <v>60</v>
      </c>
      <c r="U33" s="125">
        <f t="shared" si="4"/>
        <v>60</v>
      </c>
      <c r="V33" s="125">
        <f t="shared" si="4"/>
        <v>60</v>
      </c>
      <c r="W33" s="125"/>
      <c r="X33" s="125">
        <f>30+30</f>
        <v>60</v>
      </c>
      <c r="Y33" s="125">
        <f>30+36</f>
        <v>66</v>
      </c>
      <c r="Z33" s="125">
        <f>36+30</f>
        <v>66</v>
      </c>
      <c r="AA33" s="125">
        <f>30+32</f>
        <v>62</v>
      </c>
      <c r="AB33" s="125">
        <f>30+10</f>
        <v>40</v>
      </c>
      <c r="AC33" s="125">
        <v>46.0</v>
      </c>
      <c r="AD33" s="112"/>
      <c r="AE33" s="125">
        <v>30.0</v>
      </c>
      <c r="AF33" s="125">
        <f>30+30+30</f>
        <v>90</v>
      </c>
      <c r="AG33" s="125">
        <f>30+30</f>
        <v>60</v>
      </c>
      <c r="AH33" s="125">
        <f>32+20+4</f>
        <v>56</v>
      </c>
      <c r="AI33" s="125">
        <f>34+36+8</f>
        <v>78</v>
      </c>
      <c r="AJ33" s="112">
        <f>40+30</f>
        <v>70</v>
      </c>
      <c r="AK33" s="125">
        <v>30.0</v>
      </c>
      <c r="AL33" s="125">
        <v>70.0</v>
      </c>
      <c r="AM33" s="32"/>
      <c r="AP33" s="53"/>
    </row>
    <row r="34">
      <c r="A34" s="33"/>
      <c r="B34" s="33"/>
      <c r="C34" s="33"/>
      <c r="D34" s="33"/>
      <c r="E34" s="106"/>
      <c r="F34" s="106"/>
      <c r="G34" s="107"/>
      <c r="H34" s="107"/>
      <c r="I34" s="107"/>
      <c r="J34" s="117"/>
      <c r="K34" s="124"/>
      <c r="L34" s="124"/>
      <c r="M34" s="124"/>
      <c r="N34" s="124"/>
      <c r="O34" s="118"/>
      <c r="P34" s="107"/>
      <c r="Q34" s="117"/>
      <c r="R34" s="127"/>
      <c r="S34" s="127"/>
      <c r="T34" s="120"/>
      <c r="U34" s="127"/>
      <c r="V34" s="127"/>
      <c r="W34" s="125"/>
      <c r="X34" s="120"/>
      <c r="Y34" s="120"/>
      <c r="Z34" s="120"/>
      <c r="AA34" s="120"/>
      <c r="AB34" s="127"/>
      <c r="AC34" s="127"/>
      <c r="AD34" s="125"/>
      <c r="AE34" s="120"/>
      <c r="AF34" s="120"/>
      <c r="AG34" s="127"/>
      <c r="AH34" s="127"/>
      <c r="AI34" s="120"/>
      <c r="AJ34" s="120"/>
      <c r="AK34" s="112"/>
      <c r="AL34" s="112"/>
      <c r="AM34" s="122"/>
      <c r="AN34" s="53"/>
      <c r="AO34" s="53"/>
      <c r="AP34" s="53"/>
    </row>
    <row r="35">
      <c r="A35" s="24" t="s">
        <v>33</v>
      </c>
      <c r="B35" s="17"/>
      <c r="C35" s="17"/>
      <c r="D35" s="18"/>
      <c r="E35" s="106">
        <v>2.0</v>
      </c>
      <c r="F35" s="106" t="s">
        <v>21</v>
      </c>
      <c r="G35" s="107">
        <v>227.0</v>
      </c>
      <c r="H35" s="107" t="s">
        <v>22</v>
      </c>
      <c r="I35" s="107"/>
      <c r="J35" s="107">
        <v>45.0</v>
      </c>
      <c r="K35" s="107">
        <v>45.0</v>
      </c>
      <c r="L35" s="107"/>
      <c r="M35" s="107">
        <v>30.0</v>
      </c>
      <c r="N35" s="107">
        <f>15+30</f>
        <v>45</v>
      </c>
      <c r="O35" s="107">
        <v>15.0</v>
      </c>
      <c r="P35" s="107"/>
      <c r="Q35" s="107">
        <v>30.0</v>
      </c>
      <c r="R35" s="125">
        <f t="shared" ref="R35:R36" si="6">30+30</f>
        <v>60</v>
      </c>
      <c r="S35" s="125">
        <v>30.0</v>
      </c>
      <c r="T35" s="125">
        <f>30+45</f>
        <v>75</v>
      </c>
      <c r="U35" s="125">
        <v>45.0</v>
      </c>
      <c r="V35" s="125">
        <v>45.0</v>
      </c>
      <c r="W35" s="125"/>
      <c r="X35" s="125">
        <f t="shared" ref="X35:Z35" si="5">45+30</f>
        <v>75</v>
      </c>
      <c r="Y35" s="125">
        <f t="shared" si="5"/>
        <v>75</v>
      </c>
      <c r="Z35" s="125">
        <f t="shared" si="5"/>
        <v>75</v>
      </c>
      <c r="AA35" s="125">
        <v>45.0</v>
      </c>
      <c r="AB35" s="125">
        <v>45.0</v>
      </c>
      <c r="AC35" s="125">
        <v>60.0</v>
      </c>
      <c r="AD35" s="125"/>
      <c r="AE35" s="125">
        <v>60.0</v>
      </c>
      <c r="AF35" s="125">
        <f>30+45</f>
        <v>75</v>
      </c>
      <c r="AG35" s="125">
        <f>15+45</f>
        <v>60</v>
      </c>
      <c r="AH35" s="125">
        <f>45+30</f>
        <v>75</v>
      </c>
      <c r="AI35" s="125">
        <f>30+15</f>
        <v>45</v>
      </c>
      <c r="AJ35" s="125"/>
      <c r="AK35" s="125"/>
      <c r="AL35" s="125">
        <v>60.0</v>
      </c>
      <c r="AM35" s="113">
        <f>G35+SUM(I35:AL35)-SUM(I36:AL36)</f>
        <v>48</v>
      </c>
      <c r="AN35" s="53">
        <f>ROUNDDOWN((AM35/E35)/$H$4,1)</f>
        <v>0.8</v>
      </c>
      <c r="AO35" s="53">
        <f>$M$3+AN35</f>
        <v>916.8</v>
      </c>
      <c r="AP35" s="53"/>
    </row>
    <row r="36">
      <c r="A36" s="31"/>
      <c r="B36" s="17"/>
      <c r="C36" s="17"/>
      <c r="D36" s="17"/>
      <c r="E36" s="17"/>
      <c r="F36" s="18"/>
      <c r="G36" s="114"/>
      <c r="H36" s="107" t="s">
        <v>23</v>
      </c>
      <c r="I36" s="107"/>
      <c r="J36" s="107"/>
      <c r="K36" s="107">
        <v>30.0</v>
      </c>
      <c r="L36" s="107">
        <v>30.0</v>
      </c>
      <c r="M36" s="107">
        <v>30.0</v>
      </c>
      <c r="N36" s="114">
        <f>30+30</f>
        <v>60</v>
      </c>
      <c r="O36" s="107">
        <f>60+60</f>
        <v>120</v>
      </c>
      <c r="P36" s="114"/>
      <c r="Q36" s="114"/>
      <c r="R36" s="125">
        <f t="shared" si="6"/>
        <v>60</v>
      </c>
      <c r="S36" s="112">
        <f t="shared" ref="S36:V36" si="7">30+30</f>
        <v>60</v>
      </c>
      <c r="T36" s="125">
        <f t="shared" si="7"/>
        <v>60</v>
      </c>
      <c r="U36" s="125">
        <f t="shared" si="7"/>
        <v>60</v>
      </c>
      <c r="V36" s="125">
        <f t="shared" si="7"/>
        <v>60</v>
      </c>
      <c r="W36" s="125"/>
      <c r="X36" s="125">
        <f>30+30</f>
        <v>60</v>
      </c>
      <c r="Y36" s="125">
        <f>30+36</f>
        <v>66</v>
      </c>
      <c r="Z36" s="125">
        <f>36+30</f>
        <v>66</v>
      </c>
      <c r="AA36" s="125">
        <f>30+32</f>
        <v>62</v>
      </c>
      <c r="AB36" s="125">
        <f>30+10</f>
        <v>40</v>
      </c>
      <c r="AC36" s="125">
        <v>46.0</v>
      </c>
      <c r="AD36" s="112"/>
      <c r="AE36" s="125">
        <v>30.0</v>
      </c>
      <c r="AF36" s="125">
        <f>30+30+30</f>
        <v>90</v>
      </c>
      <c r="AG36" s="112">
        <f>30+30</f>
        <v>60</v>
      </c>
      <c r="AH36" s="125">
        <f>32+20+4</f>
        <v>56</v>
      </c>
      <c r="AI36" s="125">
        <f>34+36+8</f>
        <v>78</v>
      </c>
      <c r="AJ36" s="112">
        <f>40+30</f>
        <v>70</v>
      </c>
      <c r="AK36" s="125">
        <v>30.0</v>
      </c>
      <c r="AL36" s="125">
        <v>70.0</v>
      </c>
      <c r="AM36" s="32"/>
      <c r="AP36" s="53"/>
    </row>
    <row r="37">
      <c r="A37" s="33"/>
      <c r="B37" s="33"/>
      <c r="C37" s="33"/>
      <c r="D37" s="33"/>
      <c r="E37" s="106"/>
      <c r="F37" s="106"/>
      <c r="G37" s="107"/>
      <c r="H37" s="107"/>
      <c r="I37" s="114"/>
      <c r="J37" s="117"/>
      <c r="K37" s="118"/>
      <c r="L37" s="118"/>
      <c r="M37" s="118"/>
      <c r="N37" s="118"/>
      <c r="O37" s="118"/>
      <c r="P37" s="114"/>
      <c r="Q37" s="117"/>
      <c r="R37" s="127"/>
      <c r="S37" s="120"/>
      <c r="T37" s="120"/>
      <c r="U37" s="120"/>
      <c r="V37" s="120"/>
      <c r="W37" s="112"/>
      <c r="X37" s="120"/>
      <c r="Y37" s="120"/>
      <c r="Z37" s="120"/>
      <c r="AA37" s="120"/>
      <c r="AB37" s="120"/>
      <c r="AC37" s="120"/>
      <c r="AD37" s="112"/>
      <c r="AE37" s="120"/>
      <c r="AF37" s="120"/>
      <c r="AG37" s="120"/>
      <c r="AH37" s="120"/>
      <c r="AI37" s="120"/>
      <c r="AJ37" s="120"/>
      <c r="AK37" s="112"/>
      <c r="AL37" s="112"/>
      <c r="AM37" s="122"/>
      <c r="AN37" s="53"/>
      <c r="AO37" s="53"/>
      <c r="AP37" s="53"/>
    </row>
    <row r="38">
      <c r="A38" s="24" t="s">
        <v>34</v>
      </c>
      <c r="B38" s="17"/>
      <c r="C38" s="17"/>
      <c r="D38" s="18"/>
      <c r="E38" s="106">
        <v>1.0</v>
      </c>
      <c r="F38" s="106" t="s">
        <v>21</v>
      </c>
      <c r="G38" s="107">
        <v>1000.0</v>
      </c>
      <c r="H38" s="107" t="s">
        <v>22</v>
      </c>
      <c r="I38" s="114"/>
      <c r="J38" s="114"/>
      <c r="K38" s="114"/>
      <c r="L38" s="114"/>
      <c r="M38" s="114"/>
      <c r="N38" s="114"/>
      <c r="O38" s="114"/>
      <c r="P38" s="114"/>
      <c r="Q38" s="114"/>
      <c r="R38" s="125"/>
      <c r="S38" s="112"/>
      <c r="T38" s="112"/>
      <c r="U38" s="112"/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25">
        <v>510.0</v>
      </c>
      <c r="AG38" s="112"/>
      <c r="AH38" s="112"/>
      <c r="AI38" s="112"/>
      <c r="AJ38" s="125"/>
      <c r="AK38" s="125"/>
      <c r="AL38" s="112"/>
      <c r="AM38" s="113">
        <f>G38+SUM(I38:AL38)-SUM(I39:AL39)</f>
        <v>1002</v>
      </c>
      <c r="AN38" s="53">
        <f>ROUNDDOWN((AM38/E38)/$H$4,1)</f>
        <v>33.4</v>
      </c>
      <c r="AO38" s="53">
        <f>$M$3+AN38</f>
        <v>949.4</v>
      </c>
      <c r="AP38" s="53"/>
    </row>
    <row r="39">
      <c r="A39" s="31"/>
      <c r="B39" s="17"/>
      <c r="C39" s="17"/>
      <c r="D39" s="17"/>
      <c r="E39" s="17"/>
      <c r="F39" s="18"/>
      <c r="G39" s="114"/>
      <c r="H39" s="107" t="s">
        <v>23</v>
      </c>
      <c r="I39" s="107"/>
      <c r="J39" s="107"/>
      <c r="K39" s="107">
        <v>30.0</v>
      </c>
      <c r="L39" s="107"/>
      <c r="M39" s="107">
        <v>40.0</v>
      </c>
      <c r="N39" s="107"/>
      <c r="O39" s="107">
        <v>50.0</v>
      </c>
      <c r="P39" s="107"/>
      <c r="Q39" s="107"/>
      <c r="R39" s="125">
        <v>50.0</v>
      </c>
      <c r="S39" s="112"/>
      <c r="T39" s="125">
        <v>50.0</v>
      </c>
      <c r="U39" s="125"/>
      <c r="V39" s="125">
        <v>60.0</v>
      </c>
      <c r="W39" s="125"/>
      <c r="X39" s="125">
        <v>60.0</v>
      </c>
      <c r="Y39" s="125"/>
      <c r="Z39" s="112"/>
      <c r="AA39" s="125">
        <v>60.0</v>
      </c>
      <c r="AB39" s="125"/>
      <c r="AC39" s="125"/>
      <c r="AD39" s="112"/>
      <c r="AE39" s="125">
        <v>50.0</v>
      </c>
      <c r="AF39" s="125">
        <v>29.0</v>
      </c>
      <c r="AG39" s="125"/>
      <c r="AH39" s="125">
        <v>29.0</v>
      </c>
      <c r="AI39" s="125"/>
      <c r="AJ39" s="112"/>
      <c r="AK39" s="112"/>
      <c r="AL39" s="112"/>
      <c r="AM39" s="32"/>
      <c r="AP39" s="53"/>
    </row>
    <row r="40">
      <c r="A40" s="33"/>
      <c r="B40" s="33"/>
      <c r="C40" s="33"/>
      <c r="D40" s="33"/>
      <c r="E40" s="106"/>
      <c r="F40" s="106"/>
      <c r="G40" s="107"/>
      <c r="H40" s="107"/>
      <c r="I40" s="114"/>
      <c r="J40" s="117"/>
      <c r="K40" s="124"/>
      <c r="L40" s="117"/>
      <c r="M40" s="118"/>
      <c r="N40" s="117"/>
      <c r="O40" s="118"/>
      <c r="P40" s="107"/>
      <c r="Q40" s="117"/>
      <c r="R40" s="127"/>
      <c r="S40" s="119"/>
      <c r="T40" s="120"/>
      <c r="U40" s="119"/>
      <c r="V40" s="120"/>
      <c r="W40" s="112"/>
      <c r="X40" s="120"/>
      <c r="Y40" s="119"/>
      <c r="Z40" s="119"/>
      <c r="AA40" s="120"/>
      <c r="AB40" s="119"/>
      <c r="AC40" s="119"/>
      <c r="AD40" s="112"/>
      <c r="AE40" s="120"/>
      <c r="AF40" s="120"/>
      <c r="AG40" s="119"/>
      <c r="AH40" s="120"/>
      <c r="AI40" s="119"/>
      <c r="AJ40" s="119"/>
      <c r="AK40" s="112"/>
      <c r="AL40" s="112"/>
      <c r="AM40" s="122"/>
      <c r="AN40" s="53"/>
      <c r="AO40" s="53"/>
      <c r="AP40" s="53"/>
    </row>
    <row r="41">
      <c r="A41" s="24" t="s">
        <v>35</v>
      </c>
      <c r="B41" s="17"/>
      <c r="C41" s="17"/>
      <c r="D41" s="18"/>
      <c r="E41" s="106">
        <v>1.0</v>
      </c>
      <c r="F41" s="106" t="s">
        <v>21</v>
      </c>
      <c r="G41" s="107">
        <v>1115.0</v>
      </c>
      <c r="H41" s="107" t="s">
        <v>22</v>
      </c>
      <c r="I41" s="114"/>
      <c r="J41" s="114"/>
      <c r="K41" s="114"/>
      <c r="L41" s="114"/>
      <c r="M41" s="114"/>
      <c r="N41" s="107"/>
      <c r="O41" s="114"/>
      <c r="P41" s="114"/>
      <c r="Q41" s="114"/>
      <c r="R41" s="125"/>
      <c r="S41" s="112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25">
        <v>510.0</v>
      </c>
      <c r="AG41" s="112"/>
      <c r="AH41" s="112"/>
      <c r="AI41" s="112"/>
      <c r="AJ41" s="125"/>
      <c r="AK41" s="125"/>
      <c r="AL41" s="112"/>
      <c r="AM41" s="113">
        <f>G41+SUM(I41:AL41)-SUM(I42:AL42)</f>
        <v>1117</v>
      </c>
      <c r="AN41" s="53">
        <f>ROUNDDOWN((AM41/E41)/$H$4,1)</f>
        <v>37.2</v>
      </c>
      <c r="AO41" s="53">
        <f>$M$3+AN41</f>
        <v>953.2</v>
      </c>
      <c r="AP41" s="53"/>
    </row>
    <row r="42">
      <c r="A42" s="31"/>
      <c r="B42" s="17"/>
      <c r="C42" s="17"/>
      <c r="D42" s="17"/>
      <c r="E42" s="17"/>
      <c r="F42" s="18"/>
      <c r="G42" s="114"/>
      <c r="H42" s="107" t="s">
        <v>23</v>
      </c>
      <c r="I42" s="107"/>
      <c r="J42" s="107"/>
      <c r="K42" s="107">
        <v>30.0</v>
      </c>
      <c r="L42" s="107"/>
      <c r="M42" s="107">
        <v>40.0</v>
      </c>
      <c r="N42" s="107"/>
      <c r="O42" s="107">
        <v>50.0</v>
      </c>
      <c r="P42" s="107"/>
      <c r="Q42" s="107"/>
      <c r="R42" s="125">
        <v>50.0</v>
      </c>
      <c r="S42" s="112"/>
      <c r="T42" s="125">
        <v>50.0</v>
      </c>
      <c r="U42" s="125"/>
      <c r="V42" s="125">
        <v>60.0</v>
      </c>
      <c r="W42" s="125"/>
      <c r="X42" s="125">
        <v>60.0</v>
      </c>
      <c r="Y42" s="125"/>
      <c r="Z42" s="112"/>
      <c r="AA42" s="125">
        <v>60.0</v>
      </c>
      <c r="AB42" s="125"/>
      <c r="AC42" s="125"/>
      <c r="AD42" s="112"/>
      <c r="AE42" s="125">
        <v>50.0</v>
      </c>
      <c r="AF42" s="125">
        <v>29.0</v>
      </c>
      <c r="AG42" s="125"/>
      <c r="AH42" s="125">
        <v>29.0</v>
      </c>
      <c r="AI42" s="125"/>
      <c r="AJ42" s="112"/>
      <c r="AK42" s="112"/>
      <c r="AL42" s="112"/>
      <c r="AM42" s="32"/>
      <c r="AP42" s="53"/>
    </row>
    <row r="43">
      <c r="A43" s="33"/>
      <c r="B43" s="33"/>
      <c r="C43" s="33"/>
      <c r="D43" s="33"/>
      <c r="E43" s="106"/>
      <c r="F43" s="106"/>
      <c r="G43" s="107"/>
      <c r="H43" s="107"/>
      <c r="I43" s="114"/>
      <c r="J43" s="117"/>
      <c r="K43" s="124"/>
      <c r="L43" s="117"/>
      <c r="M43" s="118"/>
      <c r="N43" s="117"/>
      <c r="O43" s="118"/>
      <c r="P43" s="107"/>
      <c r="Q43" s="117"/>
      <c r="R43" s="127"/>
      <c r="S43" s="119"/>
      <c r="T43" s="120"/>
      <c r="U43" s="119"/>
      <c r="V43" s="120"/>
      <c r="W43" s="112"/>
      <c r="X43" s="120"/>
      <c r="Y43" s="119"/>
      <c r="Z43" s="119"/>
      <c r="AA43" s="120"/>
      <c r="AB43" s="119"/>
      <c r="AC43" s="119"/>
      <c r="AD43" s="112"/>
      <c r="AE43" s="120"/>
      <c r="AF43" s="120"/>
      <c r="AG43" s="119"/>
      <c r="AH43" s="120"/>
      <c r="AI43" s="119"/>
      <c r="AJ43" s="119"/>
      <c r="AK43" s="112"/>
      <c r="AL43" s="112"/>
      <c r="AM43" s="122"/>
      <c r="AN43" s="53"/>
      <c r="AO43" s="53"/>
      <c r="AP43" s="53"/>
    </row>
    <row r="44">
      <c r="A44" s="24" t="s">
        <v>36</v>
      </c>
      <c r="B44" s="17"/>
      <c r="C44" s="17"/>
      <c r="D44" s="18"/>
      <c r="E44" s="106">
        <v>2.0</v>
      </c>
      <c r="F44" s="106">
        <v>2.0</v>
      </c>
      <c r="G44" s="107">
        <v>289.0</v>
      </c>
      <c r="H44" s="107" t="s">
        <v>22</v>
      </c>
      <c r="I44" s="114"/>
      <c r="J44" s="114"/>
      <c r="K44" s="107">
        <v>1560.0</v>
      </c>
      <c r="L44" s="107"/>
      <c r="M44" s="114"/>
      <c r="N44" s="114"/>
      <c r="O44" s="114"/>
      <c r="P44" s="114"/>
      <c r="Q44" s="114"/>
      <c r="R44" s="112"/>
      <c r="S44" s="112"/>
      <c r="T44" s="125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3">
        <f>G44+SUM(I44:AL44)-SUM(I45:AL45)</f>
        <v>481</v>
      </c>
      <c r="AN44" s="53">
        <f>ROUNDDOWN((AM44/E44)/$H$4,1)</f>
        <v>8</v>
      </c>
      <c r="AO44" s="53">
        <f>$M$3+AN44</f>
        <v>924</v>
      </c>
      <c r="AP44" s="53"/>
    </row>
    <row r="45">
      <c r="A45" s="31"/>
      <c r="B45" s="17"/>
      <c r="C45" s="17"/>
      <c r="D45" s="17"/>
      <c r="E45" s="17"/>
      <c r="F45" s="18"/>
      <c r="G45" s="114"/>
      <c r="H45" s="107" t="s">
        <v>23</v>
      </c>
      <c r="I45" s="107"/>
      <c r="J45" s="107"/>
      <c r="K45" s="107">
        <v>30.0</v>
      </c>
      <c r="L45" s="107">
        <v>30.0</v>
      </c>
      <c r="M45" s="107">
        <v>30.0</v>
      </c>
      <c r="N45" s="114">
        <f>30+30</f>
        <v>60</v>
      </c>
      <c r="O45" s="107">
        <f>60+60</f>
        <v>120</v>
      </c>
      <c r="P45" s="114"/>
      <c r="Q45" s="114"/>
      <c r="R45" s="125">
        <f t="shared" ref="R45:V45" si="8">30+30</f>
        <v>60</v>
      </c>
      <c r="S45" s="112">
        <f t="shared" si="8"/>
        <v>60</v>
      </c>
      <c r="T45" s="125">
        <f t="shared" si="8"/>
        <v>60</v>
      </c>
      <c r="U45" s="125">
        <f t="shared" si="8"/>
        <v>60</v>
      </c>
      <c r="V45" s="125">
        <f t="shared" si="8"/>
        <v>60</v>
      </c>
      <c r="W45" s="125"/>
      <c r="X45" s="125">
        <f>30+30</f>
        <v>60</v>
      </c>
      <c r="Y45" s="125">
        <f>30+36</f>
        <v>66</v>
      </c>
      <c r="Z45" s="125">
        <f>36+30</f>
        <v>66</v>
      </c>
      <c r="AA45" s="125">
        <f>30+32</f>
        <v>62</v>
      </c>
      <c r="AB45" s="125">
        <f>30+10</f>
        <v>40</v>
      </c>
      <c r="AC45" s="125">
        <v>46.0</v>
      </c>
      <c r="AD45" s="112"/>
      <c r="AE45" s="125">
        <v>30.0</v>
      </c>
      <c r="AF45" s="125">
        <f>30+30+30</f>
        <v>90</v>
      </c>
      <c r="AG45" s="112">
        <f>30+30</f>
        <v>60</v>
      </c>
      <c r="AH45" s="125">
        <f>16+10+4</f>
        <v>30</v>
      </c>
      <c r="AI45" s="125">
        <f>34+36+8</f>
        <v>78</v>
      </c>
      <c r="AJ45" s="112">
        <f>40+30</f>
        <v>70</v>
      </c>
      <c r="AK45" s="125">
        <v>30.0</v>
      </c>
      <c r="AL45" s="125">
        <v>70.0</v>
      </c>
      <c r="AM45" s="32"/>
      <c r="AP45" s="53"/>
    </row>
    <row r="46">
      <c r="A46" s="33"/>
      <c r="B46" s="33"/>
      <c r="C46" s="33"/>
      <c r="D46" s="33"/>
      <c r="E46" s="106"/>
      <c r="F46" s="106"/>
      <c r="G46" s="107"/>
      <c r="H46" s="107"/>
      <c r="I46" s="114"/>
      <c r="J46" s="117"/>
      <c r="K46" s="124"/>
      <c r="L46" s="118"/>
      <c r="M46" s="118"/>
      <c r="N46" s="118"/>
      <c r="O46" s="118"/>
      <c r="P46" s="107"/>
      <c r="Q46" s="116"/>
      <c r="R46" s="120"/>
      <c r="S46" s="120"/>
      <c r="T46" s="120"/>
      <c r="U46" s="120"/>
      <c r="V46" s="120"/>
      <c r="W46" s="112"/>
      <c r="X46" s="120"/>
      <c r="Y46" s="120"/>
      <c r="Z46" s="120"/>
      <c r="AA46" s="120"/>
      <c r="AB46" s="120"/>
      <c r="AC46" s="120"/>
      <c r="AD46" s="112"/>
      <c r="AE46" s="120"/>
      <c r="AF46" s="127"/>
      <c r="AG46" s="120"/>
      <c r="AH46" s="120"/>
      <c r="AI46" s="120"/>
      <c r="AJ46" s="120"/>
      <c r="AK46" s="112"/>
      <c r="AL46" s="112"/>
      <c r="AM46" s="122"/>
      <c r="AN46" s="53"/>
      <c r="AO46" s="53"/>
      <c r="AP46" s="53"/>
    </row>
    <row r="47">
      <c r="A47" s="24" t="s">
        <v>37</v>
      </c>
      <c r="B47" s="17"/>
      <c r="C47" s="17"/>
      <c r="D47" s="18"/>
      <c r="E47" s="106">
        <v>2.0</v>
      </c>
      <c r="F47" s="106" t="s">
        <v>21</v>
      </c>
      <c r="G47" s="107">
        <v>135.0</v>
      </c>
      <c r="H47" s="107" t="s">
        <v>22</v>
      </c>
      <c r="I47" s="114"/>
      <c r="J47" s="107"/>
      <c r="K47" s="107"/>
      <c r="L47" s="114"/>
      <c r="M47" s="107">
        <v>100.0</v>
      </c>
      <c r="N47" s="114"/>
      <c r="O47" s="107">
        <v>100.0</v>
      </c>
      <c r="P47" s="107"/>
      <c r="Q47" s="107">
        <v>240.0</v>
      </c>
      <c r="R47" s="112"/>
      <c r="S47" s="112"/>
      <c r="T47" s="125">
        <v>200.0</v>
      </c>
      <c r="U47" s="125"/>
      <c r="V47" s="112"/>
      <c r="W47" s="125"/>
      <c r="X47" s="125">
        <v>200.0</v>
      </c>
      <c r="Y47" s="112"/>
      <c r="Z47" s="112"/>
      <c r="AA47" s="112"/>
      <c r="AB47" s="112"/>
      <c r="AC47" s="112"/>
      <c r="AD47" s="125"/>
      <c r="AE47" s="125">
        <v>240.0</v>
      </c>
      <c r="AF47" s="125"/>
      <c r="AG47" s="112"/>
      <c r="AH47" s="125">
        <v>240.0</v>
      </c>
      <c r="AI47" s="112"/>
      <c r="AJ47" s="112"/>
      <c r="AK47" s="125"/>
      <c r="AL47" s="125">
        <v>220.0</v>
      </c>
      <c r="AM47" s="113">
        <f>G47+SUM(I47:AL47)-SUM(I48:AL48)</f>
        <v>277</v>
      </c>
      <c r="AN47" s="53">
        <f>ROUNDDOWN((AM47/E47)/$H$4,1)</f>
        <v>4.6</v>
      </c>
      <c r="AO47" s="53">
        <f>$M$3+AN47</f>
        <v>920.6</v>
      </c>
      <c r="AP47" s="53"/>
    </row>
    <row r="48">
      <c r="A48" s="31"/>
      <c r="B48" s="17"/>
      <c r="C48" s="17"/>
      <c r="D48" s="17"/>
      <c r="E48" s="17"/>
      <c r="F48" s="18"/>
      <c r="G48" s="114"/>
      <c r="H48" s="107" t="s">
        <v>23</v>
      </c>
      <c r="I48" s="107"/>
      <c r="J48" s="107"/>
      <c r="K48" s="107">
        <v>30.0</v>
      </c>
      <c r="L48" s="107">
        <v>30.0</v>
      </c>
      <c r="M48" s="107">
        <v>30.0</v>
      </c>
      <c r="N48" s="114">
        <f>30+30</f>
        <v>60</v>
      </c>
      <c r="O48" s="107">
        <f>60+60</f>
        <v>120</v>
      </c>
      <c r="P48" s="114"/>
      <c r="Q48" s="114"/>
      <c r="R48" s="125">
        <f t="shared" ref="R48:V48" si="9">30+30</f>
        <v>60</v>
      </c>
      <c r="S48" s="112">
        <f t="shared" si="9"/>
        <v>60</v>
      </c>
      <c r="T48" s="125">
        <f t="shared" si="9"/>
        <v>60</v>
      </c>
      <c r="U48" s="125">
        <f t="shared" si="9"/>
        <v>60</v>
      </c>
      <c r="V48" s="125">
        <f t="shared" si="9"/>
        <v>60</v>
      </c>
      <c r="W48" s="125"/>
      <c r="X48" s="125">
        <f>30+30</f>
        <v>60</v>
      </c>
      <c r="Y48" s="125">
        <f t="shared" ref="Y48:Z48" si="10">36+30</f>
        <v>66</v>
      </c>
      <c r="Z48" s="125">
        <f t="shared" si="10"/>
        <v>66</v>
      </c>
      <c r="AA48" s="125">
        <f>30+32</f>
        <v>62</v>
      </c>
      <c r="AB48" s="125">
        <f>30+10</f>
        <v>40</v>
      </c>
      <c r="AC48" s="125">
        <v>46.0</v>
      </c>
      <c r="AD48" s="112"/>
      <c r="AE48" s="125">
        <v>30.0</v>
      </c>
      <c r="AF48" s="125">
        <f>30+30+30</f>
        <v>90</v>
      </c>
      <c r="AG48" s="112">
        <f>30+30</f>
        <v>60</v>
      </c>
      <c r="AH48" s="125">
        <f>32+20+8</f>
        <v>60</v>
      </c>
      <c r="AI48" s="125">
        <f>34+36+8</f>
        <v>78</v>
      </c>
      <c r="AJ48" s="112">
        <f>40+30</f>
        <v>70</v>
      </c>
      <c r="AK48" s="125">
        <v>30.0</v>
      </c>
      <c r="AL48" s="125">
        <v>70.0</v>
      </c>
      <c r="AM48" s="32"/>
      <c r="AP48" s="53"/>
    </row>
    <row r="49">
      <c r="A49" s="33"/>
      <c r="B49" s="33"/>
      <c r="C49" s="33"/>
      <c r="D49" s="33"/>
      <c r="E49" s="106"/>
      <c r="F49" s="106"/>
      <c r="G49" s="107"/>
      <c r="H49" s="107"/>
      <c r="I49" s="114"/>
      <c r="J49" s="117"/>
      <c r="K49" s="124"/>
      <c r="L49" s="118"/>
      <c r="M49" s="118"/>
      <c r="N49" s="118"/>
      <c r="O49" s="118"/>
      <c r="P49" s="107"/>
      <c r="Q49" s="117"/>
      <c r="R49" s="120"/>
      <c r="S49" s="120"/>
      <c r="T49" s="120"/>
      <c r="U49" s="127"/>
      <c r="V49" s="120"/>
      <c r="W49" s="112"/>
      <c r="X49" s="120"/>
      <c r="Y49" s="120"/>
      <c r="Z49" s="120"/>
      <c r="AA49" s="120"/>
      <c r="AB49" s="127"/>
      <c r="AC49" s="120"/>
      <c r="AD49" s="112"/>
      <c r="AE49" s="120"/>
      <c r="AF49" s="127"/>
      <c r="AG49" s="120"/>
      <c r="AH49" s="120"/>
      <c r="AI49" s="120"/>
      <c r="AJ49" s="120"/>
      <c r="AK49" s="112"/>
      <c r="AL49" s="112"/>
      <c r="AM49" s="122"/>
      <c r="AN49" s="53"/>
      <c r="AO49" s="53"/>
      <c r="AP49" s="53"/>
    </row>
    <row r="50">
      <c r="A50" s="24" t="s">
        <v>38</v>
      </c>
      <c r="B50" s="17"/>
      <c r="C50" s="17"/>
      <c r="D50" s="18"/>
      <c r="E50" s="106">
        <v>1.0</v>
      </c>
      <c r="F50" s="106" t="s">
        <v>21</v>
      </c>
      <c r="G50" s="107">
        <v>72.0</v>
      </c>
      <c r="H50" s="107" t="s">
        <v>22</v>
      </c>
      <c r="I50" s="114"/>
      <c r="J50" s="107"/>
      <c r="K50" s="107"/>
      <c r="L50" s="114"/>
      <c r="M50" s="107">
        <v>50.0</v>
      </c>
      <c r="N50" s="114"/>
      <c r="O50" s="107">
        <v>50.0</v>
      </c>
      <c r="P50" s="107"/>
      <c r="Q50" s="107">
        <v>120.0</v>
      </c>
      <c r="R50" s="112"/>
      <c r="S50" s="112"/>
      <c r="T50" s="125">
        <v>100.0</v>
      </c>
      <c r="U50" s="125"/>
      <c r="V50" s="112"/>
      <c r="W50" s="125"/>
      <c r="X50" s="125">
        <v>100.0</v>
      </c>
      <c r="Y50" s="112"/>
      <c r="Z50" s="112"/>
      <c r="AA50" s="112"/>
      <c r="AB50" s="112"/>
      <c r="AC50" s="112"/>
      <c r="AD50" s="125"/>
      <c r="AE50" s="125">
        <v>120.0</v>
      </c>
      <c r="AF50" s="125"/>
      <c r="AG50" s="112"/>
      <c r="AH50" s="125">
        <v>120.0</v>
      </c>
      <c r="AI50" s="112"/>
      <c r="AJ50" s="112"/>
      <c r="AK50" s="125"/>
      <c r="AL50" s="125">
        <v>110.0</v>
      </c>
      <c r="AM50" s="113">
        <f>G50+SUM(I50:AL50)-SUM(I51:AL51)</f>
        <v>143</v>
      </c>
      <c r="AN50" s="53">
        <f>ROUNDDOWN((AM50/E50)/$H$4,1)</f>
        <v>4.7</v>
      </c>
      <c r="AO50" s="53">
        <f>$M$3+AN50</f>
        <v>920.7</v>
      </c>
      <c r="AP50" s="53"/>
    </row>
    <row r="51">
      <c r="A51" s="31"/>
      <c r="B51" s="17"/>
      <c r="C51" s="17"/>
      <c r="D51" s="17"/>
      <c r="E51" s="17"/>
      <c r="F51" s="18"/>
      <c r="G51" s="114"/>
      <c r="H51" s="107" t="s">
        <v>23</v>
      </c>
      <c r="I51" s="107"/>
      <c r="J51" s="107"/>
      <c r="K51" s="107">
        <v>15.0</v>
      </c>
      <c r="L51" s="107">
        <v>15.0</v>
      </c>
      <c r="M51" s="107">
        <v>15.0</v>
      </c>
      <c r="N51" s="114">
        <f>15+15</f>
        <v>30</v>
      </c>
      <c r="O51" s="107">
        <f>30+30</f>
        <v>60</v>
      </c>
      <c r="P51" s="114"/>
      <c r="Q51" s="114"/>
      <c r="R51" s="125">
        <f t="shared" ref="R51:V51" si="11">15+15</f>
        <v>30</v>
      </c>
      <c r="S51" s="125">
        <f t="shared" si="11"/>
        <v>30</v>
      </c>
      <c r="T51" s="125">
        <f t="shared" si="11"/>
        <v>30</v>
      </c>
      <c r="U51" s="125">
        <f t="shared" si="11"/>
        <v>30</v>
      </c>
      <c r="V51" s="125">
        <f t="shared" si="11"/>
        <v>30</v>
      </c>
      <c r="W51" s="125"/>
      <c r="X51" s="125">
        <f>15+15</f>
        <v>30</v>
      </c>
      <c r="Y51" s="125">
        <f t="shared" ref="Y51:Z51" si="12">18+15</f>
        <v>33</v>
      </c>
      <c r="Z51" s="125">
        <f t="shared" si="12"/>
        <v>33</v>
      </c>
      <c r="AA51" s="125">
        <f>15+16</f>
        <v>31</v>
      </c>
      <c r="AB51" s="125">
        <f>15+5</f>
        <v>20</v>
      </c>
      <c r="AC51" s="125">
        <v>23.0</v>
      </c>
      <c r="AD51" s="112"/>
      <c r="AE51" s="125">
        <v>15.0</v>
      </c>
      <c r="AF51" s="125">
        <f>15+15+15</f>
        <v>45</v>
      </c>
      <c r="AG51" s="112">
        <f>15+15</f>
        <v>30</v>
      </c>
      <c r="AH51" s="125">
        <f>16+10+4</f>
        <v>30</v>
      </c>
      <c r="AI51" s="125">
        <f>17+18+4</f>
        <v>39</v>
      </c>
      <c r="AJ51" s="112">
        <f>20+15</f>
        <v>35</v>
      </c>
      <c r="AK51" s="125">
        <v>15.0</v>
      </c>
      <c r="AL51" s="125">
        <v>35.0</v>
      </c>
      <c r="AM51" s="32"/>
      <c r="AP51" s="53"/>
    </row>
    <row r="52">
      <c r="A52" s="33"/>
      <c r="B52" s="33"/>
      <c r="C52" s="33"/>
      <c r="D52" s="33"/>
      <c r="E52" s="106"/>
      <c r="F52" s="106"/>
      <c r="G52" s="107"/>
      <c r="H52" s="107"/>
      <c r="I52" s="114"/>
      <c r="J52" s="117"/>
      <c r="K52" s="124"/>
      <c r="L52" s="118"/>
      <c r="M52" s="118"/>
      <c r="N52" s="118"/>
      <c r="O52" s="118"/>
      <c r="P52" s="107"/>
      <c r="Q52" s="117"/>
      <c r="R52" s="120"/>
      <c r="S52" s="120"/>
      <c r="T52" s="120"/>
      <c r="U52" s="120"/>
      <c r="V52" s="120"/>
      <c r="W52" s="125"/>
      <c r="X52" s="120"/>
      <c r="Y52" s="120"/>
      <c r="Z52" s="120"/>
      <c r="AA52" s="120"/>
      <c r="AB52" s="120"/>
      <c r="AC52" s="120"/>
      <c r="AD52" s="112"/>
      <c r="AE52" s="120"/>
      <c r="AF52" s="127"/>
      <c r="AG52" s="120"/>
      <c r="AH52" s="120"/>
      <c r="AI52" s="120"/>
      <c r="AJ52" s="120"/>
      <c r="AK52" s="112"/>
      <c r="AL52" s="112"/>
      <c r="AM52" s="122"/>
      <c r="AN52" s="53"/>
      <c r="AO52" s="53"/>
      <c r="AP52" s="53"/>
    </row>
    <row r="53">
      <c r="A53" s="24" t="s">
        <v>39</v>
      </c>
      <c r="B53" s="17"/>
      <c r="C53" s="17"/>
      <c r="D53" s="18"/>
      <c r="E53" s="106">
        <v>1.0</v>
      </c>
      <c r="F53" s="106" t="s">
        <v>21</v>
      </c>
      <c r="G53" s="107">
        <v>94.0</v>
      </c>
      <c r="H53" s="107" t="s">
        <v>22</v>
      </c>
      <c r="I53" s="107"/>
      <c r="J53" s="107"/>
      <c r="K53" s="107"/>
      <c r="L53" s="114"/>
      <c r="M53" s="107">
        <v>50.0</v>
      </c>
      <c r="N53" s="114"/>
      <c r="O53" s="107">
        <v>50.0</v>
      </c>
      <c r="P53" s="107"/>
      <c r="Q53" s="107">
        <v>120.0</v>
      </c>
      <c r="R53" s="112"/>
      <c r="S53" s="112"/>
      <c r="T53" s="125">
        <v>100.0</v>
      </c>
      <c r="U53" s="125"/>
      <c r="V53" s="112"/>
      <c r="W53" s="125"/>
      <c r="X53" s="125">
        <v>100.0</v>
      </c>
      <c r="Y53" s="112"/>
      <c r="Z53" s="112"/>
      <c r="AA53" s="112"/>
      <c r="AB53" s="112"/>
      <c r="AC53" s="112"/>
      <c r="AD53" s="125"/>
      <c r="AE53" s="125">
        <v>120.0</v>
      </c>
      <c r="AF53" s="125"/>
      <c r="AG53" s="112"/>
      <c r="AH53" s="125">
        <v>120.0</v>
      </c>
      <c r="AI53" s="112"/>
      <c r="AJ53" s="112"/>
      <c r="AK53" s="125"/>
      <c r="AL53" s="125">
        <v>110.0</v>
      </c>
      <c r="AM53" s="113">
        <f>G53+SUM(I53:AL53)-SUM(I54:AL54)</f>
        <v>165</v>
      </c>
      <c r="AN53" s="53">
        <f>ROUNDDOWN((AM53/E53)/$H$4,1)</f>
        <v>5.5</v>
      </c>
      <c r="AO53" s="53">
        <f>$M$3+AN53</f>
        <v>921.5</v>
      </c>
      <c r="AP53" s="53"/>
    </row>
    <row r="54">
      <c r="A54" s="31"/>
      <c r="B54" s="17"/>
      <c r="C54" s="17"/>
      <c r="D54" s="17"/>
      <c r="E54" s="17"/>
      <c r="F54" s="18"/>
      <c r="G54" s="114"/>
      <c r="H54" s="107" t="s">
        <v>23</v>
      </c>
      <c r="I54" s="107"/>
      <c r="J54" s="107"/>
      <c r="K54" s="107">
        <v>15.0</v>
      </c>
      <c r="L54" s="107">
        <v>15.0</v>
      </c>
      <c r="M54" s="107">
        <v>15.0</v>
      </c>
      <c r="N54" s="114">
        <f>15+15</f>
        <v>30</v>
      </c>
      <c r="O54" s="107">
        <f>30+30</f>
        <v>60</v>
      </c>
      <c r="P54" s="114"/>
      <c r="Q54" s="114"/>
      <c r="R54" s="125">
        <f t="shared" ref="R54:V54" si="13">15+15</f>
        <v>30</v>
      </c>
      <c r="S54" s="125">
        <f t="shared" si="13"/>
        <v>30</v>
      </c>
      <c r="T54" s="125">
        <f t="shared" si="13"/>
        <v>30</v>
      </c>
      <c r="U54" s="125">
        <f t="shared" si="13"/>
        <v>30</v>
      </c>
      <c r="V54" s="125">
        <f t="shared" si="13"/>
        <v>30</v>
      </c>
      <c r="W54" s="125"/>
      <c r="X54" s="125">
        <f>15+15</f>
        <v>30</v>
      </c>
      <c r="Y54" s="125">
        <f t="shared" ref="Y54:Z54" si="14">18+15</f>
        <v>33</v>
      </c>
      <c r="Z54" s="125">
        <f t="shared" si="14"/>
        <v>33</v>
      </c>
      <c r="AA54" s="125">
        <f>15+16</f>
        <v>31</v>
      </c>
      <c r="AB54" s="125">
        <f>15+5</f>
        <v>20</v>
      </c>
      <c r="AC54" s="125">
        <v>23.0</v>
      </c>
      <c r="AD54" s="112"/>
      <c r="AE54" s="125">
        <v>15.0</v>
      </c>
      <c r="AF54" s="125">
        <f>15+15+15</f>
        <v>45</v>
      </c>
      <c r="AG54" s="112">
        <f>15+15</f>
        <v>30</v>
      </c>
      <c r="AH54" s="125">
        <f>16+10+4</f>
        <v>30</v>
      </c>
      <c r="AI54" s="125">
        <f>17+18+4</f>
        <v>39</v>
      </c>
      <c r="AJ54" s="112">
        <f>20+15</f>
        <v>35</v>
      </c>
      <c r="AK54" s="125">
        <v>15.0</v>
      </c>
      <c r="AL54" s="125">
        <v>35.0</v>
      </c>
      <c r="AM54" s="32"/>
      <c r="AP54" s="53"/>
    </row>
    <row r="55">
      <c r="A55" s="33"/>
      <c r="B55" s="33"/>
      <c r="C55" s="33"/>
      <c r="D55" s="33"/>
      <c r="E55" s="106"/>
      <c r="F55" s="106"/>
      <c r="G55" s="107"/>
      <c r="H55" s="107"/>
      <c r="I55" s="114"/>
      <c r="J55" s="117"/>
      <c r="K55" s="124"/>
      <c r="L55" s="118"/>
      <c r="M55" s="118"/>
      <c r="N55" s="118"/>
      <c r="O55" s="124"/>
      <c r="P55" s="107"/>
      <c r="Q55" s="117"/>
      <c r="R55" s="120"/>
      <c r="S55" s="120"/>
      <c r="T55" s="120"/>
      <c r="U55" s="120"/>
      <c r="V55" s="120"/>
      <c r="W55" s="112"/>
      <c r="X55" s="120"/>
      <c r="Y55" s="120"/>
      <c r="Z55" s="120"/>
      <c r="AA55" s="120"/>
      <c r="AB55" s="120"/>
      <c r="AC55" s="120"/>
      <c r="AD55" s="112"/>
      <c r="AE55" s="120"/>
      <c r="AF55" s="127"/>
      <c r="AG55" s="120"/>
      <c r="AH55" s="120"/>
      <c r="AI55" s="120"/>
      <c r="AJ55" s="120"/>
      <c r="AK55" s="112"/>
      <c r="AL55" s="112"/>
      <c r="AM55" s="122"/>
      <c r="AN55" s="53"/>
      <c r="AO55" s="53"/>
      <c r="AP55" s="53"/>
    </row>
    <row r="56">
      <c r="A56" s="24" t="s">
        <v>40</v>
      </c>
      <c r="B56" s="17"/>
      <c r="C56" s="17"/>
      <c r="D56" s="18"/>
      <c r="E56" s="106">
        <v>1.0</v>
      </c>
      <c r="F56" s="106" t="s">
        <v>21</v>
      </c>
      <c r="G56" s="107">
        <v>224.0</v>
      </c>
      <c r="H56" s="107" t="s">
        <v>22</v>
      </c>
      <c r="I56" s="114"/>
      <c r="J56" s="107"/>
      <c r="K56" s="107"/>
      <c r="L56" s="114"/>
      <c r="M56" s="107">
        <v>50.0</v>
      </c>
      <c r="N56" s="114"/>
      <c r="O56" s="107">
        <v>50.0</v>
      </c>
      <c r="P56" s="107"/>
      <c r="Q56" s="107">
        <v>120.0</v>
      </c>
      <c r="R56" s="112"/>
      <c r="S56" s="112"/>
      <c r="T56" s="125">
        <v>100.0</v>
      </c>
      <c r="U56" s="125"/>
      <c r="V56" s="112"/>
      <c r="W56" s="125"/>
      <c r="X56" s="125">
        <v>100.0</v>
      </c>
      <c r="Y56" s="112"/>
      <c r="Z56" s="112"/>
      <c r="AA56" s="112"/>
      <c r="AB56" s="112"/>
      <c r="AC56" s="112"/>
      <c r="AD56" s="125"/>
      <c r="AE56" s="125">
        <v>120.0</v>
      </c>
      <c r="AF56" s="125"/>
      <c r="AG56" s="112"/>
      <c r="AH56" s="125">
        <v>120.0</v>
      </c>
      <c r="AI56" s="112"/>
      <c r="AJ56" s="112"/>
      <c r="AK56" s="125"/>
      <c r="AL56" s="125">
        <v>110.0</v>
      </c>
      <c r="AM56" s="113">
        <f>G56+SUM(I56:AL56)-SUM(I57:AL57)</f>
        <v>317</v>
      </c>
      <c r="AN56" s="53">
        <f>ROUNDDOWN((AM56/E56)/$H$4,1)</f>
        <v>10.5</v>
      </c>
      <c r="AO56" s="53">
        <f>$M$5+AN56</f>
        <v>925.5</v>
      </c>
      <c r="AP56" s="53"/>
    </row>
    <row r="57">
      <c r="A57" s="31"/>
      <c r="B57" s="17"/>
      <c r="C57" s="17"/>
      <c r="D57" s="17"/>
      <c r="E57" s="17"/>
      <c r="F57" s="18"/>
      <c r="G57" s="114"/>
      <c r="H57" s="107" t="s">
        <v>23</v>
      </c>
      <c r="I57" s="107"/>
      <c r="J57" s="107"/>
      <c r="K57" s="107">
        <v>30.0</v>
      </c>
      <c r="L57" s="107">
        <v>15.0</v>
      </c>
      <c r="M57" s="107">
        <v>30.0</v>
      </c>
      <c r="N57" s="107">
        <v>15.0</v>
      </c>
      <c r="O57" s="107">
        <v>15.0</v>
      </c>
      <c r="P57" s="107"/>
      <c r="Q57" s="107">
        <v>30.0</v>
      </c>
      <c r="R57" s="125">
        <v>30.0</v>
      </c>
      <c r="S57" s="125">
        <v>30.0</v>
      </c>
      <c r="T57" s="125">
        <v>30.0</v>
      </c>
      <c r="U57" s="125">
        <v>30.0</v>
      </c>
      <c r="V57" s="125">
        <f>30+2</f>
        <v>32</v>
      </c>
      <c r="W57" s="125"/>
      <c r="X57" s="125">
        <f>15+15</f>
        <v>30</v>
      </c>
      <c r="Y57" s="125">
        <v>30.0</v>
      </c>
      <c r="Z57" s="125">
        <f>30+7</f>
        <v>37</v>
      </c>
      <c r="AA57" s="125">
        <v>30.0</v>
      </c>
      <c r="AB57" s="125">
        <v>30.0</v>
      </c>
      <c r="AC57" s="125">
        <v>15.0</v>
      </c>
      <c r="AD57" s="125"/>
      <c r="AE57" s="125">
        <f>10+8</f>
        <v>18</v>
      </c>
      <c r="AF57" s="125">
        <f>15+9</f>
        <v>24</v>
      </c>
      <c r="AG57" s="125">
        <f>15+20</f>
        <v>35</v>
      </c>
      <c r="AH57" s="125">
        <f>27+15</f>
        <v>42</v>
      </c>
      <c r="AI57" s="125">
        <v>34.0</v>
      </c>
      <c r="AJ57" s="125">
        <v>26.0</v>
      </c>
      <c r="AK57" s="125"/>
      <c r="AL57" s="125">
        <f>25+14</f>
        <v>39</v>
      </c>
      <c r="AM57" s="32"/>
      <c r="AP57" s="53"/>
    </row>
    <row r="58">
      <c r="A58" s="54"/>
      <c r="B58" s="54"/>
      <c r="C58" s="54"/>
      <c r="D58" s="54"/>
      <c r="E58" s="106"/>
      <c r="F58" s="106"/>
      <c r="G58" s="107"/>
      <c r="H58" s="107"/>
      <c r="I58" s="114"/>
      <c r="J58" s="117"/>
      <c r="K58" s="124"/>
      <c r="L58" s="118"/>
      <c r="M58" s="118"/>
      <c r="N58" s="118"/>
      <c r="O58" s="118"/>
      <c r="P58" s="107"/>
      <c r="Q58" s="118"/>
      <c r="R58" s="120"/>
      <c r="S58" s="120"/>
      <c r="T58" s="120"/>
      <c r="U58" s="120"/>
      <c r="V58" s="120"/>
      <c r="W58" s="125"/>
      <c r="X58" s="127"/>
      <c r="Y58" s="120"/>
      <c r="Z58" s="120"/>
      <c r="AA58" s="120"/>
      <c r="AB58" s="120"/>
      <c r="AC58" s="120"/>
      <c r="AD58" s="112"/>
      <c r="AE58" s="120"/>
      <c r="AF58" s="127"/>
      <c r="AG58" s="120"/>
      <c r="AH58" s="120"/>
      <c r="AI58" s="120"/>
      <c r="AJ58" s="120"/>
      <c r="AK58" s="112"/>
      <c r="AL58" s="112"/>
      <c r="AM58" s="122"/>
      <c r="AN58" s="53"/>
      <c r="AO58" s="53"/>
      <c r="AP58" s="53"/>
    </row>
    <row r="59">
      <c r="A59" s="55" t="s">
        <v>41</v>
      </c>
      <c r="B59" s="17"/>
      <c r="C59" s="17"/>
      <c r="D59" s="18"/>
      <c r="E59" s="106">
        <v>1.0</v>
      </c>
      <c r="F59" s="106" t="s">
        <v>21</v>
      </c>
      <c r="G59" s="107">
        <v>59.0</v>
      </c>
      <c r="H59" s="107" t="s">
        <v>22</v>
      </c>
      <c r="I59" s="114"/>
      <c r="J59" s="107"/>
      <c r="K59" s="107"/>
      <c r="L59" s="114"/>
      <c r="M59" s="107">
        <v>50.0</v>
      </c>
      <c r="N59" s="114"/>
      <c r="O59" s="107">
        <v>50.0</v>
      </c>
      <c r="P59" s="107"/>
      <c r="Q59" s="107">
        <v>120.0</v>
      </c>
      <c r="R59" s="112"/>
      <c r="S59" s="112"/>
      <c r="T59" s="125">
        <v>100.0</v>
      </c>
      <c r="U59" s="125"/>
      <c r="V59" s="112"/>
      <c r="W59" s="125"/>
      <c r="X59" s="125">
        <v>100.0</v>
      </c>
      <c r="Y59" s="112"/>
      <c r="Z59" s="112"/>
      <c r="AA59" s="112"/>
      <c r="AB59" s="112"/>
      <c r="AC59" s="112"/>
      <c r="AD59" s="125"/>
      <c r="AE59" s="125">
        <v>120.0</v>
      </c>
      <c r="AF59" s="125"/>
      <c r="AG59" s="112"/>
      <c r="AH59" s="125">
        <v>120.0</v>
      </c>
      <c r="AI59" s="112"/>
      <c r="AJ59" s="112"/>
      <c r="AK59" s="125"/>
      <c r="AL59" s="125">
        <v>110.0</v>
      </c>
      <c r="AM59" s="113">
        <f>G59+SUM(I59:AL59)-SUM(I60:AL60)</f>
        <v>321</v>
      </c>
      <c r="AN59" s="53">
        <f>ROUNDDOWN((AM59/E59)/$H$4,1)</f>
        <v>10.7</v>
      </c>
      <c r="AO59" s="53">
        <f>$M$3+AN59</f>
        <v>926.7</v>
      </c>
      <c r="AP59" s="53"/>
    </row>
    <row r="60">
      <c r="A60" s="31"/>
      <c r="B60" s="17"/>
      <c r="C60" s="17"/>
      <c r="D60" s="17"/>
      <c r="E60" s="17"/>
      <c r="F60" s="18"/>
      <c r="G60" s="114"/>
      <c r="H60" s="107" t="s">
        <v>23</v>
      </c>
      <c r="I60" s="107"/>
      <c r="J60" s="107"/>
      <c r="K60" s="107">
        <v>30.0</v>
      </c>
      <c r="L60" s="107"/>
      <c r="M60" s="107">
        <v>40.0</v>
      </c>
      <c r="N60" s="107"/>
      <c r="O60" s="107">
        <v>50.0</v>
      </c>
      <c r="P60" s="107"/>
      <c r="Q60" s="107"/>
      <c r="R60" s="125">
        <v>50.0</v>
      </c>
      <c r="S60" s="112"/>
      <c r="T60" s="125">
        <v>50.0</v>
      </c>
      <c r="U60" s="125"/>
      <c r="V60" s="125">
        <v>60.0</v>
      </c>
      <c r="W60" s="125"/>
      <c r="X60" s="125">
        <v>60.0</v>
      </c>
      <c r="Y60" s="125"/>
      <c r="Z60" s="112"/>
      <c r="AA60" s="125">
        <v>60.0</v>
      </c>
      <c r="AB60" s="125"/>
      <c r="AC60" s="125"/>
      <c r="AD60" s="112"/>
      <c r="AE60" s="125">
        <v>50.0</v>
      </c>
      <c r="AF60" s="125">
        <v>29.0</v>
      </c>
      <c r="AG60" s="125"/>
      <c r="AH60" s="125">
        <v>29.0</v>
      </c>
      <c r="AI60" s="125"/>
      <c r="AJ60" s="112"/>
      <c r="AK60" s="112"/>
      <c r="AL60" s="112"/>
      <c r="AM60" s="32"/>
      <c r="AP60" s="53"/>
    </row>
    <row r="61">
      <c r="A61" s="33"/>
      <c r="B61" s="33"/>
      <c r="C61" s="33"/>
      <c r="D61" s="33"/>
      <c r="E61" s="106"/>
      <c r="F61" s="106"/>
      <c r="G61" s="107"/>
      <c r="H61" s="107"/>
      <c r="I61" s="114"/>
      <c r="J61" s="117"/>
      <c r="K61" s="124"/>
      <c r="L61" s="117"/>
      <c r="M61" s="118"/>
      <c r="N61" s="117"/>
      <c r="O61" s="118"/>
      <c r="P61" s="107"/>
      <c r="Q61" s="117"/>
      <c r="R61" s="127"/>
      <c r="S61" s="119"/>
      <c r="T61" s="120"/>
      <c r="U61" s="119"/>
      <c r="V61" s="120"/>
      <c r="W61" s="112"/>
      <c r="X61" s="120"/>
      <c r="Y61" s="119"/>
      <c r="Z61" s="119"/>
      <c r="AA61" s="120"/>
      <c r="AB61" s="119"/>
      <c r="AC61" s="119"/>
      <c r="AD61" s="112"/>
      <c r="AE61" s="120"/>
      <c r="AF61" s="127"/>
      <c r="AG61" s="119"/>
      <c r="AH61" s="120"/>
      <c r="AI61" s="119"/>
      <c r="AJ61" s="119"/>
      <c r="AK61" s="112"/>
      <c r="AL61" s="112"/>
      <c r="AM61" s="122"/>
      <c r="AN61" s="53"/>
      <c r="AO61" s="53"/>
      <c r="AP61" s="53"/>
    </row>
    <row r="62">
      <c r="A62" s="24" t="s">
        <v>42</v>
      </c>
      <c r="B62" s="17"/>
      <c r="C62" s="17"/>
      <c r="D62" s="18"/>
      <c r="E62" s="106">
        <v>1.0</v>
      </c>
      <c r="F62" s="106" t="s">
        <v>21</v>
      </c>
      <c r="G62" s="107">
        <v>61.0</v>
      </c>
      <c r="H62" s="107" t="s">
        <v>22</v>
      </c>
      <c r="I62" s="114"/>
      <c r="J62" s="107"/>
      <c r="K62" s="107"/>
      <c r="L62" s="114"/>
      <c r="M62" s="107">
        <v>50.0</v>
      </c>
      <c r="N62" s="114"/>
      <c r="O62" s="107">
        <v>50.0</v>
      </c>
      <c r="P62" s="107"/>
      <c r="Q62" s="107">
        <v>120.0</v>
      </c>
      <c r="R62" s="112"/>
      <c r="S62" s="112"/>
      <c r="T62" s="125">
        <v>100.0</v>
      </c>
      <c r="U62" s="125"/>
      <c r="V62" s="112"/>
      <c r="W62" s="125"/>
      <c r="X62" s="125">
        <v>100.0</v>
      </c>
      <c r="Y62" s="112"/>
      <c r="Z62" s="112"/>
      <c r="AA62" s="112"/>
      <c r="AB62" s="112"/>
      <c r="AC62" s="112"/>
      <c r="AD62" s="125"/>
      <c r="AE62" s="125">
        <v>120.0</v>
      </c>
      <c r="AF62" s="125"/>
      <c r="AG62" s="112"/>
      <c r="AH62" s="125">
        <v>120.0</v>
      </c>
      <c r="AI62" s="112"/>
      <c r="AJ62" s="112"/>
      <c r="AK62" s="125"/>
      <c r="AL62" s="125">
        <v>110.0</v>
      </c>
      <c r="AM62" s="113">
        <f>G62+SUM(I62:AL62)-SUM(I63:AL63)</f>
        <v>132</v>
      </c>
      <c r="AN62" s="53">
        <f>ROUNDDOWN((AM62/E62)/$H$4,1)</f>
        <v>4.4</v>
      </c>
      <c r="AO62" s="53">
        <f>$M$3+AN62</f>
        <v>920.4</v>
      </c>
      <c r="AP62" s="53"/>
    </row>
    <row r="63">
      <c r="A63" s="31"/>
      <c r="B63" s="17"/>
      <c r="C63" s="17"/>
      <c r="D63" s="17"/>
      <c r="E63" s="17"/>
      <c r="F63" s="18"/>
      <c r="G63" s="114"/>
      <c r="H63" s="107" t="s">
        <v>23</v>
      </c>
      <c r="I63" s="107"/>
      <c r="J63" s="107"/>
      <c r="K63" s="107">
        <v>15.0</v>
      </c>
      <c r="L63" s="107">
        <v>15.0</v>
      </c>
      <c r="M63" s="107">
        <v>15.0</v>
      </c>
      <c r="N63" s="114">
        <f>15+15</f>
        <v>30</v>
      </c>
      <c r="O63" s="107">
        <f>30+30</f>
        <v>60</v>
      </c>
      <c r="P63" s="114"/>
      <c r="Q63" s="114"/>
      <c r="R63" s="125">
        <f t="shared" ref="R63:V63" si="15">15+15</f>
        <v>30</v>
      </c>
      <c r="S63" s="112">
        <f t="shared" si="15"/>
        <v>30</v>
      </c>
      <c r="T63" s="125">
        <f t="shared" si="15"/>
        <v>30</v>
      </c>
      <c r="U63" s="125">
        <f t="shared" si="15"/>
        <v>30</v>
      </c>
      <c r="V63" s="125">
        <f t="shared" si="15"/>
        <v>30</v>
      </c>
      <c r="W63" s="125"/>
      <c r="X63" s="125">
        <f>15+15</f>
        <v>30</v>
      </c>
      <c r="Y63" s="125">
        <f t="shared" ref="Y63:Z63" si="16">18+15</f>
        <v>33</v>
      </c>
      <c r="Z63" s="125">
        <f t="shared" si="16"/>
        <v>33</v>
      </c>
      <c r="AA63" s="125">
        <f>15+16</f>
        <v>31</v>
      </c>
      <c r="AB63" s="125">
        <f>15+5</f>
        <v>20</v>
      </c>
      <c r="AC63" s="125">
        <v>23.0</v>
      </c>
      <c r="AD63" s="112"/>
      <c r="AE63" s="125">
        <v>15.0</v>
      </c>
      <c r="AF63" s="125">
        <f>15+15+15</f>
        <v>45</v>
      </c>
      <c r="AG63" s="112">
        <f>15+15</f>
        <v>30</v>
      </c>
      <c r="AH63" s="125">
        <f>16+10+4</f>
        <v>30</v>
      </c>
      <c r="AI63" s="125">
        <f>35+4</f>
        <v>39</v>
      </c>
      <c r="AJ63" s="112">
        <f>20+15</f>
        <v>35</v>
      </c>
      <c r="AK63" s="125">
        <v>15.0</v>
      </c>
      <c r="AL63" s="125">
        <v>35.0</v>
      </c>
      <c r="AM63" s="32"/>
      <c r="AP63" s="53"/>
    </row>
    <row r="64">
      <c r="A64" s="54"/>
      <c r="B64" s="54"/>
      <c r="C64" s="54"/>
      <c r="D64" s="54"/>
      <c r="E64" s="106"/>
      <c r="F64" s="106"/>
      <c r="G64" s="107"/>
      <c r="H64" s="107"/>
      <c r="I64" s="114"/>
      <c r="J64" s="117"/>
      <c r="K64" s="124"/>
      <c r="L64" s="118"/>
      <c r="M64" s="118"/>
      <c r="N64" s="118"/>
      <c r="O64" s="118"/>
      <c r="P64" s="107"/>
      <c r="Q64" s="117"/>
      <c r="R64" s="120"/>
      <c r="S64" s="120"/>
      <c r="T64" s="120"/>
      <c r="U64" s="120"/>
      <c r="V64" s="120"/>
      <c r="W64" s="125"/>
      <c r="X64" s="120"/>
      <c r="Y64" s="120"/>
      <c r="Z64" s="120"/>
      <c r="AA64" s="120"/>
      <c r="AB64" s="120"/>
      <c r="AC64" s="120"/>
      <c r="AD64" s="112"/>
      <c r="AE64" s="120"/>
      <c r="AF64" s="127"/>
      <c r="AG64" s="120"/>
      <c r="AH64" s="120"/>
      <c r="AI64" s="120"/>
      <c r="AJ64" s="120"/>
      <c r="AK64" s="112"/>
      <c r="AL64" s="112"/>
      <c r="AM64" s="122"/>
      <c r="AN64" s="53"/>
      <c r="AO64" s="53"/>
      <c r="AP64" s="53"/>
    </row>
    <row r="65">
      <c r="A65" s="55" t="s">
        <v>43</v>
      </c>
      <c r="B65" s="17"/>
      <c r="C65" s="17"/>
      <c r="D65" s="18"/>
      <c r="E65" s="106">
        <v>1.0</v>
      </c>
      <c r="F65" s="106" t="s">
        <v>21</v>
      </c>
      <c r="G65" s="107">
        <v>137.0</v>
      </c>
      <c r="H65" s="107" t="s">
        <v>22</v>
      </c>
      <c r="I65" s="114"/>
      <c r="J65" s="107"/>
      <c r="K65" s="107"/>
      <c r="L65" s="114"/>
      <c r="M65" s="107">
        <v>50.0</v>
      </c>
      <c r="N65" s="114"/>
      <c r="O65" s="107">
        <v>50.0</v>
      </c>
      <c r="P65" s="107"/>
      <c r="Q65" s="107">
        <v>120.0</v>
      </c>
      <c r="R65" s="112"/>
      <c r="S65" s="112"/>
      <c r="T65" s="125">
        <v>100.0</v>
      </c>
      <c r="U65" s="125"/>
      <c r="V65" s="112"/>
      <c r="W65" s="125"/>
      <c r="X65" s="125">
        <v>100.0</v>
      </c>
      <c r="Y65" s="112"/>
      <c r="Z65" s="112"/>
      <c r="AA65" s="112"/>
      <c r="AB65" s="112"/>
      <c r="AC65" s="112"/>
      <c r="AD65" s="125"/>
      <c r="AE65" s="125">
        <v>120.0</v>
      </c>
      <c r="AF65" s="125"/>
      <c r="AG65" s="112"/>
      <c r="AH65" s="125">
        <v>120.0</v>
      </c>
      <c r="AI65" s="112"/>
      <c r="AJ65" s="112"/>
      <c r="AK65" s="125"/>
      <c r="AL65" s="125">
        <v>110.0</v>
      </c>
      <c r="AM65" s="113">
        <f>G65+SUM(I65:AL65)-SUM(I66:AL66)</f>
        <v>399</v>
      </c>
      <c r="AN65" s="53">
        <f>ROUNDDOWN((AM65/E65)/$H$4,1)</f>
        <v>13.3</v>
      </c>
      <c r="AO65" s="53">
        <f>$M$3+AN65</f>
        <v>929.3</v>
      </c>
      <c r="AP65" s="53"/>
    </row>
    <row r="66">
      <c r="A66" s="31"/>
      <c r="B66" s="17"/>
      <c r="C66" s="17"/>
      <c r="D66" s="17"/>
      <c r="E66" s="17"/>
      <c r="F66" s="18"/>
      <c r="G66" s="114"/>
      <c r="H66" s="107" t="s">
        <v>23</v>
      </c>
      <c r="I66" s="107"/>
      <c r="J66" s="107"/>
      <c r="K66" s="107">
        <v>30.0</v>
      </c>
      <c r="L66" s="107"/>
      <c r="M66" s="107">
        <v>40.0</v>
      </c>
      <c r="N66" s="107"/>
      <c r="O66" s="107">
        <v>50.0</v>
      </c>
      <c r="P66" s="107"/>
      <c r="Q66" s="107"/>
      <c r="R66" s="125">
        <v>50.0</v>
      </c>
      <c r="S66" s="112"/>
      <c r="T66" s="125">
        <v>50.0</v>
      </c>
      <c r="U66" s="125"/>
      <c r="V66" s="125">
        <v>60.0</v>
      </c>
      <c r="W66" s="125"/>
      <c r="X66" s="125">
        <v>60.0</v>
      </c>
      <c r="Y66" s="125"/>
      <c r="Z66" s="112"/>
      <c r="AA66" s="125">
        <v>60.0</v>
      </c>
      <c r="AB66" s="125"/>
      <c r="AC66" s="125"/>
      <c r="AD66" s="112"/>
      <c r="AE66" s="125">
        <v>50.0</v>
      </c>
      <c r="AF66" s="125">
        <v>29.0</v>
      </c>
      <c r="AG66" s="125"/>
      <c r="AH66" s="125">
        <v>29.0</v>
      </c>
      <c r="AI66" s="125"/>
      <c r="AJ66" s="112"/>
      <c r="AK66" s="112"/>
      <c r="AL66" s="112"/>
      <c r="AM66" s="32"/>
      <c r="AP66" s="53"/>
    </row>
    <row r="67">
      <c r="A67" s="33"/>
      <c r="B67" s="33"/>
      <c r="C67" s="33"/>
      <c r="D67" s="33"/>
      <c r="E67" s="106"/>
      <c r="F67" s="106"/>
      <c r="G67" s="107"/>
      <c r="H67" s="107"/>
      <c r="I67" s="114"/>
      <c r="J67" s="117"/>
      <c r="K67" s="124"/>
      <c r="L67" s="117"/>
      <c r="M67" s="118"/>
      <c r="N67" s="117"/>
      <c r="O67" s="118"/>
      <c r="P67" s="107"/>
      <c r="Q67" s="117"/>
      <c r="R67" s="127"/>
      <c r="S67" s="119"/>
      <c r="T67" s="120"/>
      <c r="U67" s="119"/>
      <c r="V67" s="120"/>
      <c r="W67" s="112"/>
      <c r="X67" s="120"/>
      <c r="Y67" s="119"/>
      <c r="Z67" s="119"/>
      <c r="AA67" s="120"/>
      <c r="AB67" s="119"/>
      <c r="AC67" s="119"/>
      <c r="AD67" s="112"/>
      <c r="AE67" s="120"/>
      <c r="AF67" s="127"/>
      <c r="AG67" s="119"/>
      <c r="AH67" s="120"/>
      <c r="AI67" s="119"/>
      <c r="AJ67" s="119"/>
      <c r="AK67" s="112"/>
      <c r="AL67" s="112"/>
      <c r="AM67" s="122"/>
      <c r="AN67" s="53"/>
      <c r="AO67" s="53"/>
      <c r="AP67" s="53"/>
    </row>
    <row r="68">
      <c r="A68" s="24" t="s">
        <v>44</v>
      </c>
      <c r="B68" s="17"/>
      <c r="C68" s="17"/>
      <c r="D68" s="18"/>
      <c r="E68" s="106">
        <v>2.0</v>
      </c>
      <c r="F68" s="106" t="s">
        <v>21</v>
      </c>
      <c r="G68" s="107">
        <v>202.0</v>
      </c>
      <c r="H68" s="107" t="s">
        <v>22</v>
      </c>
      <c r="I68" s="114"/>
      <c r="J68" s="107"/>
      <c r="K68" s="107"/>
      <c r="L68" s="114"/>
      <c r="M68" s="107">
        <v>100.0</v>
      </c>
      <c r="N68" s="114"/>
      <c r="O68" s="107">
        <v>100.0</v>
      </c>
      <c r="P68" s="107"/>
      <c r="Q68" s="107">
        <v>240.0</v>
      </c>
      <c r="R68" s="112"/>
      <c r="S68" s="112"/>
      <c r="T68" s="125">
        <v>200.0</v>
      </c>
      <c r="U68" s="125"/>
      <c r="V68" s="112"/>
      <c r="W68" s="125"/>
      <c r="X68" s="125">
        <v>200.0</v>
      </c>
      <c r="Y68" s="112"/>
      <c r="Z68" s="112"/>
      <c r="AA68" s="112"/>
      <c r="AB68" s="112"/>
      <c r="AC68" s="112"/>
      <c r="AD68" s="125"/>
      <c r="AE68" s="125">
        <v>240.0</v>
      </c>
      <c r="AF68" s="125"/>
      <c r="AG68" s="112"/>
      <c r="AH68" s="125">
        <v>240.0</v>
      </c>
      <c r="AI68" s="112"/>
      <c r="AJ68" s="112"/>
      <c r="AK68" s="125"/>
      <c r="AL68" s="125">
        <v>220.0</v>
      </c>
      <c r="AM68" s="113">
        <f>G68+SUM(I68:AL68)-SUM(I69:AL69)</f>
        <v>388</v>
      </c>
      <c r="AN68" s="53">
        <f>ROUNDDOWN((AM68/E68)/$H$4,1)</f>
        <v>6.4</v>
      </c>
      <c r="AO68" s="53">
        <f>$M$5+AN68</f>
        <v>921.4</v>
      </c>
      <c r="AP68" s="53"/>
    </row>
    <row r="69">
      <c r="A69" s="31"/>
      <c r="B69" s="17"/>
      <c r="C69" s="17"/>
      <c r="D69" s="17"/>
      <c r="E69" s="17"/>
      <c r="F69" s="18"/>
      <c r="G69" s="114"/>
      <c r="H69" s="107" t="s">
        <v>23</v>
      </c>
      <c r="I69" s="107"/>
      <c r="J69" s="107"/>
      <c r="K69" s="107">
        <v>60.0</v>
      </c>
      <c r="L69" s="107">
        <v>30.0</v>
      </c>
      <c r="M69" s="107">
        <v>60.0</v>
      </c>
      <c r="N69" s="107">
        <v>30.0</v>
      </c>
      <c r="O69" s="107">
        <v>30.0</v>
      </c>
      <c r="P69" s="107"/>
      <c r="Q69" s="107">
        <v>60.0</v>
      </c>
      <c r="R69" s="125">
        <v>60.0</v>
      </c>
      <c r="S69" s="125">
        <v>60.0</v>
      </c>
      <c r="T69" s="125">
        <v>60.0</v>
      </c>
      <c r="U69" s="125">
        <v>60.0</v>
      </c>
      <c r="V69" s="125">
        <f>60+4</f>
        <v>64</v>
      </c>
      <c r="W69" s="125"/>
      <c r="X69" s="125">
        <f>30+30</f>
        <v>60</v>
      </c>
      <c r="Y69" s="125">
        <v>60.0</v>
      </c>
      <c r="Z69" s="125">
        <f>60+14</f>
        <v>74</v>
      </c>
      <c r="AA69" s="125">
        <v>60.0</v>
      </c>
      <c r="AB69" s="125">
        <v>60.0</v>
      </c>
      <c r="AC69" s="125">
        <v>30.0</v>
      </c>
      <c r="AD69" s="125"/>
      <c r="AE69" s="125">
        <f>20+16</f>
        <v>36</v>
      </c>
      <c r="AF69" s="125">
        <f>30+18</f>
        <v>48</v>
      </c>
      <c r="AG69" s="125">
        <f>30+40</f>
        <v>70</v>
      </c>
      <c r="AH69" s="125">
        <f>54+30</f>
        <v>84</v>
      </c>
      <c r="AI69" s="125">
        <v>68.0</v>
      </c>
      <c r="AJ69" s="125">
        <v>52.0</v>
      </c>
      <c r="AK69" s="125"/>
      <c r="AL69" s="125">
        <f>50+28</f>
        <v>78</v>
      </c>
      <c r="AM69" s="32"/>
      <c r="AP69" s="53"/>
    </row>
    <row r="70">
      <c r="A70" s="33"/>
      <c r="B70" s="33"/>
      <c r="C70" s="33"/>
      <c r="D70" s="33"/>
      <c r="E70" s="106"/>
      <c r="F70" s="106"/>
      <c r="G70" s="107"/>
      <c r="H70" s="107"/>
      <c r="I70" s="114"/>
      <c r="J70" s="117"/>
      <c r="K70" s="118"/>
      <c r="L70" s="118"/>
      <c r="M70" s="118"/>
      <c r="N70" s="118"/>
      <c r="O70" s="118"/>
      <c r="P70" s="114"/>
      <c r="Q70" s="118"/>
      <c r="R70" s="120"/>
      <c r="S70" s="120"/>
      <c r="T70" s="120"/>
      <c r="U70" s="120"/>
      <c r="V70" s="120"/>
      <c r="W70" s="112"/>
      <c r="X70" s="120"/>
      <c r="Y70" s="120"/>
      <c r="Z70" s="120"/>
      <c r="AA70" s="120"/>
      <c r="AB70" s="120"/>
      <c r="AC70" s="120"/>
      <c r="AD70" s="112"/>
      <c r="AE70" s="120"/>
      <c r="AF70" s="120"/>
      <c r="AG70" s="120"/>
      <c r="AH70" s="120"/>
      <c r="AI70" s="120"/>
      <c r="AJ70" s="120"/>
      <c r="AK70" s="112"/>
      <c r="AL70" s="112"/>
      <c r="AM70" s="122"/>
      <c r="AN70" s="53"/>
      <c r="AO70" s="53"/>
      <c r="AP70" s="53"/>
    </row>
    <row r="71">
      <c r="A71" s="24" t="s">
        <v>45</v>
      </c>
      <c r="B71" s="17"/>
      <c r="C71" s="17"/>
      <c r="D71" s="18"/>
      <c r="E71" s="106">
        <v>2.0</v>
      </c>
      <c r="F71" s="106" t="s">
        <v>46</v>
      </c>
      <c r="G71" s="107">
        <f>1260+60+60+60+60+60+60+60</f>
        <v>1680</v>
      </c>
      <c r="H71" s="107" t="s">
        <v>22</v>
      </c>
      <c r="I71" s="114"/>
      <c r="J71" s="114"/>
      <c r="K71" s="114"/>
      <c r="L71" s="114"/>
      <c r="M71" s="114"/>
      <c r="N71" s="114"/>
      <c r="O71" s="114"/>
      <c r="P71" s="114"/>
      <c r="Q71" s="114"/>
      <c r="R71" s="112"/>
      <c r="S71" s="112"/>
      <c r="T71" s="112"/>
      <c r="U71" s="112"/>
      <c r="V71" s="112"/>
      <c r="W71" s="112"/>
      <c r="X71" s="125"/>
      <c r="Y71" s="112"/>
      <c r="Z71" s="112"/>
      <c r="AA71" s="112"/>
      <c r="AB71" s="112"/>
      <c r="AC71" s="112"/>
      <c r="AD71" s="112"/>
      <c r="AE71" s="112"/>
      <c r="AF71" s="112"/>
      <c r="AG71" s="112"/>
      <c r="AH71" s="125"/>
      <c r="AI71" s="112"/>
      <c r="AJ71" s="112"/>
      <c r="AK71" s="112"/>
      <c r="AL71" s="112"/>
      <c r="AM71" s="113">
        <f>G71+SUM(I71:AL71)-SUM(I72:AL72)</f>
        <v>292</v>
      </c>
      <c r="AN71" s="53">
        <f>ROUNDDOWN((AM71/E71)/$H$4,1)</f>
        <v>4.8</v>
      </c>
      <c r="AO71" s="53">
        <f>$M$5+AN71</f>
        <v>919.8</v>
      </c>
      <c r="AP71" s="53"/>
    </row>
    <row r="72">
      <c r="A72" s="31"/>
      <c r="B72" s="17"/>
      <c r="C72" s="17"/>
      <c r="D72" s="17"/>
      <c r="E72" s="17"/>
      <c r="F72" s="18"/>
      <c r="G72" s="114"/>
      <c r="H72" s="107" t="s">
        <v>23</v>
      </c>
      <c r="I72" s="107"/>
      <c r="J72" s="107"/>
      <c r="K72" s="107">
        <v>60.0</v>
      </c>
      <c r="L72" s="107">
        <v>30.0</v>
      </c>
      <c r="M72" s="107">
        <v>60.0</v>
      </c>
      <c r="N72" s="107">
        <v>30.0</v>
      </c>
      <c r="O72" s="107">
        <v>30.0</v>
      </c>
      <c r="P72" s="107"/>
      <c r="Q72" s="107">
        <v>60.0</v>
      </c>
      <c r="R72" s="125">
        <v>60.0</v>
      </c>
      <c r="S72" s="125">
        <v>60.0</v>
      </c>
      <c r="T72" s="125">
        <v>60.0</v>
      </c>
      <c r="U72" s="125">
        <v>60.0</v>
      </c>
      <c r="V72" s="125">
        <f>60+60</f>
        <v>120</v>
      </c>
      <c r="W72" s="125"/>
      <c r="X72" s="125">
        <f>30+30</f>
        <v>60</v>
      </c>
      <c r="Y72" s="125">
        <v>60.0</v>
      </c>
      <c r="Z72" s="125">
        <v>60.0</v>
      </c>
      <c r="AA72" s="125">
        <v>60.0</v>
      </c>
      <c r="AB72" s="125">
        <v>60.0</v>
      </c>
      <c r="AC72" s="125">
        <v>30.0</v>
      </c>
      <c r="AD72" s="125"/>
      <c r="AE72" s="125">
        <f>20+16</f>
        <v>36</v>
      </c>
      <c r="AF72" s="125">
        <f>30+18</f>
        <v>48</v>
      </c>
      <c r="AG72" s="125">
        <f>30+40</f>
        <v>70</v>
      </c>
      <c r="AH72" s="125">
        <f>54+30</f>
        <v>84</v>
      </c>
      <c r="AI72" s="125">
        <v>60.0</v>
      </c>
      <c r="AJ72" s="125">
        <v>52.0</v>
      </c>
      <c r="AK72" s="125"/>
      <c r="AL72" s="125">
        <f>50+28</f>
        <v>78</v>
      </c>
      <c r="AM72" s="32"/>
      <c r="AP72" s="53"/>
    </row>
    <row r="73">
      <c r="A73" s="33"/>
      <c r="B73" s="33"/>
      <c r="C73" s="33"/>
      <c r="D73" s="33"/>
      <c r="E73" s="106"/>
      <c r="F73" s="106"/>
      <c r="G73" s="107"/>
      <c r="H73" s="107"/>
      <c r="I73" s="114"/>
      <c r="J73" s="117"/>
      <c r="K73" s="118"/>
      <c r="L73" s="118"/>
      <c r="M73" s="118"/>
      <c r="N73" s="118"/>
      <c r="O73" s="118"/>
      <c r="P73" s="114"/>
      <c r="Q73" s="118"/>
      <c r="R73" s="120"/>
      <c r="S73" s="120"/>
      <c r="T73" s="120"/>
      <c r="U73" s="120"/>
      <c r="V73" s="120"/>
      <c r="W73" s="112"/>
      <c r="X73" s="120"/>
      <c r="Y73" s="120"/>
      <c r="Z73" s="120"/>
      <c r="AA73" s="120"/>
      <c r="AB73" s="120"/>
      <c r="AC73" s="120"/>
      <c r="AD73" s="112"/>
      <c r="AE73" s="120"/>
      <c r="AF73" s="120"/>
      <c r="AG73" s="120"/>
      <c r="AH73" s="120"/>
      <c r="AI73" s="120"/>
      <c r="AJ73" s="120"/>
      <c r="AK73" s="112"/>
      <c r="AL73" s="112"/>
      <c r="AM73" s="122"/>
      <c r="AN73" s="53"/>
      <c r="AO73" s="53"/>
      <c r="AP73" s="53"/>
    </row>
    <row r="74">
      <c r="A74" s="24" t="s">
        <v>47</v>
      </c>
      <c r="B74" s="17"/>
      <c r="C74" s="17"/>
      <c r="D74" s="18"/>
      <c r="E74" s="106">
        <v>1.0</v>
      </c>
      <c r="F74" s="106" t="s">
        <v>21</v>
      </c>
      <c r="G74" s="107">
        <v>1328.0</v>
      </c>
      <c r="H74" s="107" t="s">
        <v>22</v>
      </c>
      <c r="I74" s="114"/>
      <c r="J74" s="114"/>
      <c r="K74" s="114"/>
      <c r="L74" s="114"/>
      <c r="M74" s="107"/>
      <c r="N74" s="114"/>
      <c r="O74" s="114"/>
      <c r="P74" s="114"/>
      <c r="Q74" s="114"/>
      <c r="R74" s="112"/>
      <c r="S74" s="112"/>
      <c r="T74" s="125"/>
      <c r="U74" s="112"/>
      <c r="V74" s="112"/>
      <c r="W74" s="112"/>
      <c r="X74" s="112"/>
      <c r="Y74" s="112"/>
      <c r="Z74" s="112"/>
      <c r="AA74" s="112"/>
      <c r="AB74" s="112"/>
      <c r="AC74" s="112"/>
      <c r="AD74" s="112"/>
      <c r="AE74" s="112"/>
      <c r="AF74" s="112"/>
      <c r="AG74" s="112"/>
      <c r="AH74" s="112"/>
      <c r="AI74" s="112"/>
      <c r="AJ74" s="112"/>
      <c r="AK74" s="112"/>
      <c r="AL74" s="112"/>
      <c r="AM74" s="113">
        <f>G74+SUM(I74:AL74)-SUM(I75:AL75)</f>
        <v>660</v>
      </c>
      <c r="AN74" s="53">
        <f>ROUNDDOWN((AM74/E74)/$H$4,1)</f>
        <v>22</v>
      </c>
      <c r="AO74" s="53">
        <f>$M$5+AN74</f>
        <v>937</v>
      </c>
      <c r="AP74" s="53"/>
    </row>
    <row r="75">
      <c r="A75" s="31"/>
      <c r="B75" s="17"/>
      <c r="C75" s="17"/>
      <c r="D75" s="17"/>
      <c r="E75" s="17"/>
      <c r="F75" s="18"/>
      <c r="G75" s="114"/>
      <c r="H75" s="107" t="s">
        <v>23</v>
      </c>
      <c r="I75" s="107"/>
      <c r="J75" s="107"/>
      <c r="K75" s="107">
        <v>30.0</v>
      </c>
      <c r="L75" s="107">
        <v>15.0</v>
      </c>
      <c r="M75" s="107">
        <v>30.0</v>
      </c>
      <c r="N75" s="107">
        <v>15.0</v>
      </c>
      <c r="O75" s="107">
        <v>15.0</v>
      </c>
      <c r="P75" s="107"/>
      <c r="Q75" s="107">
        <v>30.0</v>
      </c>
      <c r="R75" s="125">
        <v>30.0</v>
      </c>
      <c r="S75" s="125">
        <v>30.0</v>
      </c>
      <c r="T75" s="125">
        <v>30.0</v>
      </c>
      <c r="U75" s="125">
        <v>30.0</v>
      </c>
      <c r="V75" s="125">
        <v>30.0</v>
      </c>
      <c r="W75" s="125"/>
      <c r="X75" s="125">
        <f>15+15</f>
        <v>30</v>
      </c>
      <c r="Y75" s="125">
        <v>30.0</v>
      </c>
      <c r="Z75" s="125">
        <v>30.0</v>
      </c>
      <c r="AA75" s="125">
        <v>30.0</v>
      </c>
      <c r="AB75" s="125">
        <v>30.0</v>
      </c>
      <c r="AC75" s="125">
        <v>15.0</v>
      </c>
      <c r="AD75" s="125"/>
      <c r="AE75" s="125">
        <f>10+8</f>
        <v>18</v>
      </c>
      <c r="AF75" s="125">
        <f>15+9</f>
        <v>24</v>
      </c>
      <c r="AG75" s="125">
        <f>15+20</f>
        <v>35</v>
      </c>
      <c r="AH75" s="125">
        <f>27+15</f>
        <v>42</v>
      </c>
      <c r="AI75" s="125">
        <v>34.0</v>
      </c>
      <c r="AJ75" s="125">
        <v>26.0</v>
      </c>
      <c r="AK75" s="125"/>
      <c r="AL75" s="125">
        <f>25+14</f>
        <v>39</v>
      </c>
      <c r="AM75" s="32"/>
      <c r="AP75" s="53"/>
    </row>
    <row r="76">
      <c r="A76" s="33"/>
      <c r="B76" s="33"/>
      <c r="C76" s="33"/>
      <c r="D76" s="33"/>
      <c r="E76" s="106"/>
      <c r="F76" s="106"/>
      <c r="G76" s="107"/>
      <c r="H76" s="107"/>
      <c r="I76" s="114"/>
      <c r="J76" s="117"/>
      <c r="K76" s="124"/>
      <c r="L76" s="124"/>
      <c r="M76" s="118"/>
      <c r="N76" s="118"/>
      <c r="O76" s="118"/>
      <c r="P76" s="114"/>
      <c r="Q76" s="118"/>
      <c r="R76" s="120"/>
      <c r="S76" s="120"/>
      <c r="T76" s="120"/>
      <c r="U76" s="127"/>
      <c r="V76" s="120"/>
      <c r="W76" s="112"/>
      <c r="X76" s="120"/>
      <c r="Y76" s="120"/>
      <c r="Z76" s="127"/>
      <c r="AA76" s="127"/>
      <c r="AB76" s="120"/>
      <c r="AC76" s="127"/>
      <c r="AD76" s="125"/>
      <c r="AE76" s="120"/>
      <c r="AF76" s="120"/>
      <c r="AG76" s="120"/>
      <c r="AH76" s="120"/>
      <c r="AI76" s="120"/>
      <c r="AJ76" s="120"/>
      <c r="AK76" s="112"/>
      <c r="AL76" s="112"/>
      <c r="AM76" s="122"/>
      <c r="AN76" s="53"/>
      <c r="AO76" s="53"/>
      <c r="AP76" s="53"/>
    </row>
    <row r="77">
      <c r="A77" s="24" t="s">
        <v>48</v>
      </c>
      <c r="B77" s="17"/>
      <c r="C77" s="17"/>
      <c r="D77" s="18"/>
      <c r="E77" s="106">
        <v>2.0</v>
      </c>
      <c r="F77" s="106" t="s">
        <v>21</v>
      </c>
      <c r="G77" s="107">
        <v>621.0</v>
      </c>
      <c r="H77" s="107" t="s">
        <v>22</v>
      </c>
      <c r="I77" s="107"/>
      <c r="J77" s="107">
        <v>180.0</v>
      </c>
      <c r="K77" s="107"/>
      <c r="L77" s="107">
        <v>120.0</v>
      </c>
      <c r="M77" s="114"/>
      <c r="N77" s="107"/>
      <c r="O77" s="107"/>
      <c r="P77" s="107"/>
      <c r="Q77" s="107"/>
      <c r="R77" s="125"/>
      <c r="S77" s="125">
        <v>240.0</v>
      </c>
      <c r="T77" s="125"/>
      <c r="U77" s="125"/>
      <c r="V77" s="125"/>
      <c r="W77" s="112"/>
      <c r="X77" s="125">
        <v>120.0</v>
      </c>
      <c r="Y77" s="112"/>
      <c r="Z77" s="125">
        <v>120.0</v>
      </c>
      <c r="AA77" s="125"/>
      <c r="AB77" s="112"/>
      <c r="AC77" s="125"/>
      <c r="AD77" s="125"/>
      <c r="AE77" s="125">
        <v>60.0</v>
      </c>
      <c r="AF77" s="112"/>
      <c r="AG77" s="112"/>
      <c r="AH77" s="112"/>
      <c r="AI77" s="125">
        <v>240.0</v>
      </c>
      <c r="AJ77" s="125"/>
      <c r="AK77" s="125"/>
      <c r="AL77" s="125"/>
      <c r="AM77" s="113">
        <f>G77+SUM(I77:AL77)-SUM(I78:AL78)</f>
        <v>263</v>
      </c>
      <c r="AN77" s="53">
        <f>ROUNDDOWN((AM77/E77)/$H$4,1)</f>
        <v>4.3</v>
      </c>
      <c r="AO77" s="53">
        <f>$M$3+AN77</f>
        <v>920.3</v>
      </c>
      <c r="AP77" s="53"/>
    </row>
    <row r="78">
      <c r="A78" s="31"/>
      <c r="B78" s="17"/>
      <c r="C78" s="17"/>
      <c r="D78" s="17"/>
      <c r="E78" s="17"/>
      <c r="F78" s="18"/>
      <c r="G78" s="114"/>
      <c r="H78" s="107" t="s">
        <v>23</v>
      </c>
      <c r="I78" s="107"/>
      <c r="J78" s="107"/>
      <c r="K78" s="107">
        <f>30+4</f>
        <v>34</v>
      </c>
      <c r="L78" s="107">
        <f>30+14</f>
        <v>44</v>
      </c>
      <c r="M78" s="107">
        <v>30.0</v>
      </c>
      <c r="N78" s="107">
        <f>30+12</f>
        <v>42</v>
      </c>
      <c r="O78" s="107">
        <f>60+30+30</f>
        <v>120</v>
      </c>
      <c r="P78" s="107"/>
      <c r="Q78" s="107">
        <v>24.0</v>
      </c>
      <c r="R78" s="125">
        <v>60.0</v>
      </c>
      <c r="S78" s="125">
        <f>30+24</f>
        <v>54</v>
      </c>
      <c r="T78" s="112">
        <f>30+36</f>
        <v>66</v>
      </c>
      <c r="U78" s="112">
        <f t="shared" ref="U78:V78" si="17">30+30</f>
        <v>60</v>
      </c>
      <c r="V78" s="125">
        <f t="shared" si="17"/>
        <v>60</v>
      </c>
      <c r="W78" s="125"/>
      <c r="X78" s="125">
        <f>30+30+6</f>
        <v>66</v>
      </c>
      <c r="Y78" s="125">
        <f>30+36</f>
        <v>66</v>
      </c>
      <c r="Z78" s="125">
        <f>30+38</f>
        <v>68</v>
      </c>
      <c r="AA78" s="112">
        <f>28+32</f>
        <v>60</v>
      </c>
      <c r="AB78" s="125">
        <f>34+6</f>
        <v>40</v>
      </c>
      <c r="AC78" s="112">
        <f>26+20</f>
        <v>46</v>
      </c>
      <c r="AD78" s="112"/>
      <c r="AE78" s="125">
        <f>20+20</f>
        <v>40</v>
      </c>
      <c r="AF78" s="125">
        <f>30+20+30+10</f>
        <v>90</v>
      </c>
      <c r="AG78" s="125">
        <f>30+32+8</f>
        <v>70</v>
      </c>
      <c r="AH78" s="125">
        <f>32+20</f>
        <v>52</v>
      </c>
      <c r="AI78" s="112">
        <f>40+30+8</f>
        <v>78</v>
      </c>
      <c r="AJ78" s="125">
        <f>60+10</f>
        <v>70</v>
      </c>
      <c r="AK78" s="125">
        <v>30.0</v>
      </c>
      <c r="AL78" s="125">
        <f>30+30+8</f>
        <v>68</v>
      </c>
      <c r="AM78" s="32"/>
      <c r="AP78" s="53"/>
    </row>
    <row r="79">
      <c r="A79" s="33"/>
      <c r="B79" s="33"/>
      <c r="C79" s="33"/>
      <c r="D79" s="33"/>
      <c r="E79" s="106"/>
      <c r="F79" s="106"/>
      <c r="G79" s="107"/>
      <c r="H79" s="107"/>
      <c r="I79" s="114"/>
      <c r="J79" s="117"/>
      <c r="K79" s="124"/>
      <c r="L79" s="124"/>
      <c r="M79" s="118"/>
      <c r="N79" s="118"/>
      <c r="O79" s="118"/>
      <c r="P79" s="114"/>
      <c r="Q79" s="118"/>
      <c r="R79" s="120"/>
      <c r="S79" s="120"/>
      <c r="T79" s="120"/>
      <c r="U79" s="127"/>
      <c r="V79" s="120"/>
      <c r="W79" s="112"/>
      <c r="X79" s="120"/>
      <c r="Y79" s="120"/>
      <c r="Z79" s="127"/>
      <c r="AA79" s="127"/>
      <c r="AB79" s="120"/>
      <c r="AC79" s="127"/>
      <c r="AD79" s="125"/>
      <c r="AE79" s="127"/>
      <c r="AF79" s="120"/>
      <c r="AG79" s="120"/>
      <c r="AH79" s="120"/>
      <c r="AI79" s="120"/>
      <c r="AJ79" s="120"/>
      <c r="AK79" s="112"/>
      <c r="AL79" s="112"/>
      <c r="AM79" s="122"/>
      <c r="AN79" s="53"/>
      <c r="AO79" s="53"/>
      <c r="AP79" s="53"/>
    </row>
    <row r="80">
      <c r="A80" s="24" t="s">
        <v>49</v>
      </c>
      <c r="B80" s="17"/>
      <c r="C80" s="17"/>
      <c r="D80" s="18"/>
      <c r="E80" s="106">
        <v>3.0</v>
      </c>
      <c r="F80" s="106" t="s">
        <v>21</v>
      </c>
      <c r="G80" s="107">
        <v>1050.0</v>
      </c>
      <c r="H80" s="107" t="s">
        <v>22</v>
      </c>
      <c r="I80" s="107"/>
      <c r="J80" s="107">
        <v>270.0</v>
      </c>
      <c r="K80" s="107"/>
      <c r="L80" s="107">
        <v>180.0</v>
      </c>
      <c r="M80" s="114"/>
      <c r="N80" s="107"/>
      <c r="O80" s="107"/>
      <c r="P80" s="107"/>
      <c r="Q80" s="107"/>
      <c r="R80" s="125"/>
      <c r="S80" s="125">
        <v>360.0</v>
      </c>
      <c r="T80" s="125"/>
      <c r="U80" s="125"/>
      <c r="V80" s="125"/>
      <c r="W80" s="112"/>
      <c r="X80" s="125">
        <v>180.0</v>
      </c>
      <c r="Y80" s="112"/>
      <c r="Z80" s="125">
        <v>180.0</v>
      </c>
      <c r="AA80" s="125"/>
      <c r="AB80" s="112"/>
      <c r="AC80" s="125"/>
      <c r="AD80" s="125"/>
      <c r="AE80" s="125">
        <v>90.0</v>
      </c>
      <c r="AF80" s="112"/>
      <c r="AG80" s="112"/>
      <c r="AH80" s="112"/>
      <c r="AI80" s="125">
        <v>360.0</v>
      </c>
      <c r="AJ80" s="125"/>
      <c r="AK80" s="125"/>
      <c r="AL80" s="125"/>
      <c r="AM80" s="113">
        <f>G80+SUM(I80:AL80)-SUM(I81:AL81)</f>
        <v>513</v>
      </c>
      <c r="AN80" s="53">
        <f>ROUNDDOWN((AM80/E80)/$H$4,1)</f>
        <v>5.7</v>
      </c>
      <c r="AO80" s="53">
        <f>$M$3+AN80</f>
        <v>921.7</v>
      </c>
      <c r="AP80" s="53"/>
    </row>
    <row r="81">
      <c r="A81" s="136"/>
      <c r="B81" s="137"/>
      <c r="C81" s="137"/>
      <c r="D81" s="137"/>
      <c r="E81" s="138"/>
      <c r="F81" s="138"/>
      <c r="G81" s="114"/>
      <c r="H81" s="107" t="s">
        <v>23</v>
      </c>
      <c r="I81" s="107"/>
      <c r="J81" s="107"/>
      <c r="K81" s="107">
        <f>45+6</f>
        <v>51</v>
      </c>
      <c r="L81" s="107">
        <f>45+21</f>
        <v>66</v>
      </c>
      <c r="M81" s="107">
        <v>45.0</v>
      </c>
      <c r="N81" s="107">
        <f>45+18</f>
        <v>63</v>
      </c>
      <c r="O81" s="107">
        <f>90+45+45</f>
        <v>180</v>
      </c>
      <c r="P81" s="107"/>
      <c r="Q81" s="107">
        <v>36.0</v>
      </c>
      <c r="R81" s="125">
        <v>90.0</v>
      </c>
      <c r="S81" s="125">
        <f>45+36</f>
        <v>81</v>
      </c>
      <c r="T81" s="125">
        <f>45+54</f>
        <v>99</v>
      </c>
      <c r="U81" s="112">
        <f t="shared" ref="U81:V81" si="18">45+45</f>
        <v>90</v>
      </c>
      <c r="V81" s="125">
        <f t="shared" si="18"/>
        <v>90</v>
      </c>
      <c r="W81" s="125"/>
      <c r="X81" s="125">
        <f>45+45+9</f>
        <v>99</v>
      </c>
      <c r="Y81" s="125">
        <f>45+54</f>
        <v>99</v>
      </c>
      <c r="Z81" s="125">
        <f>45+57</f>
        <v>102</v>
      </c>
      <c r="AA81" s="112">
        <f>42+48</f>
        <v>90</v>
      </c>
      <c r="AB81" s="125">
        <f>51+9</f>
        <v>60</v>
      </c>
      <c r="AC81" s="112">
        <f>39+30</f>
        <v>69</v>
      </c>
      <c r="AD81" s="125"/>
      <c r="AE81" s="125">
        <f>30+30</f>
        <v>60</v>
      </c>
      <c r="AF81" s="125">
        <f>45+30+45+15</f>
        <v>135</v>
      </c>
      <c r="AG81" s="125">
        <f>45+48+12</f>
        <v>105</v>
      </c>
      <c r="AH81" s="125">
        <f>48+30</f>
        <v>78</v>
      </c>
      <c r="AI81" s="112">
        <f>60+45+12</f>
        <v>117</v>
      </c>
      <c r="AJ81" s="125">
        <f>90+15</f>
        <v>105</v>
      </c>
      <c r="AK81" s="125">
        <v>45.0</v>
      </c>
      <c r="AL81" s="125">
        <f>45+45+12</f>
        <v>102</v>
      </c>
      <c r="AM81" s="32"/>
      <c r="AP81" s="53"/>
    </row>
    <row r="82">
      <c r="A82" s="139"/>
      <c r="B82" s="140"/>
      <c r="C82" s="140"/>
      <c r="D82" s="140"/>
      <c r="E82" s="140"/>
      <c r="F82" s="140"/>
      <c r="G82" s="141"/>
      <c r="H82" s="141"/>
      <c r="I82" s="143"/>
      <c r="J82" s="229"/>
      <c r="K82" s="142"/>
      <c r="L82" s="142"/>
      <c r="M82" s="142"/>
      <c r="N82" s="142"/>
      <c r="O82" s="142"/>
      <c r="P82" s="143"/>
      <c r="Q82" s="142"/>
      <c r="R82" s="144"/>
      <c r="S82" s="144"/>
      <c r="T82" s="144"/>
      <c r="U82" s="144"/>
      <c r="V82" s="144"/>
      <c r="W82" s="214"/>
      <c r="X82" s="144"/>
      <c r="Y82" s="144"/>
      <c r="Z82" s="144"/>
      <c r="AA82" s="144"/>
      <c r="AB82" s="144"/>
      <c r="AC82" s="144"/>
      <c r="AD82" s="214"/>
      <c r="AE82" s="144"/>
      <c r="AF82" s="144"/>
      <c r="AG82" s="144"/>
      <c r="AH82" s="144"/>
      <c r="AI82" s="144"/>
      <c r="AJ82" s="144"/>
      <c r="AK82" s="214"/>
      <c r="AL82" s="214"/>
      <c r="AM82" s="145"/>
      <c r="AN82" s="64"/>
      <c r="AO82" s="64"/>
      <c r="AP82" s="64"/>
    </row>
    <row r="83">
      <c r="A83" s="16" t="s">
        <v>50</v>
      </c>
      <c r="B83" s="17"/>
      <c r="C83" s="17"/>
      <c r="D83" s="17"/>
      <c r="E83" s="17"/>
      <c r="F83" s="17"/>
      <c r="G83" s="147"/>
      <c r="H83" s="147"/>
      <c r="I83" s="148"/>
      <c r="J83" s="148"/>
      <c r="K83" s="148"/>
      <c r="L83" s="148"/>
      <c r="M83" s="148"/>
      <c r="N83" s="148"/>
      <c r="O83" s="148"/>
      <c r="P83" s="148"/>
      <c r="Q83" s="148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50"/>
      <c r="AM83" s="150"/>
      <c r="AN83" s="67"/>
      <c r="AO83" s="67"/>
      <c r="AP83" s="67"/>
    </row>
    <row r="84">
      <c r="A84" s="24" t="s">
        <v>51</v>
      </c>
      <c r="B84" s="17"/>
      <c r="C84" s="17"/>
      <c r="D84" s="18"/>
      <c r="E84" s="106">
        <v>1.0</v>
      </c>
      <c r="F84" s="106" t="s">
        <v>21</v>
      </c>
      <c r="G84" s="107">
        <f>510+91</f>
        <v>601</v>
      </c>
      <c r="H84" s="107" t="s">
        <v>22</v>
      </c>
      <c r="I84" s="114"/>
      <c r="J84" s="107">
        <v>220.0</v>
      </c>
      <c r="K84" s="114"/>
      <c r="L84" s="114"/>
      <c r="M84" s="114"/>
      <c r="N84" s="114"/>
      <c r="O84" s="107"/>
      <c r="P84" s="114"/>
      <c r="Q84" s="107"/>
      <c r="R84" s="112"/>
      <c r="S84" s="112"/>
      <c r="T84" s="112"/>
      <c r="U84" s="112"/>
      <c r="V84" s="112"/>
      <c r="W84" s="112"/>
      <c r="X84" s="112"/>
      <c r="Y84" s="112"/>
      <c r="Z84" s="125"/>
      <c r="AA84" s="125"/>
      <c r="AB84" s="112"/>
      <c r="AC84" s="112"/>
      <c r="AD84" s="112"/>
      <c r="AE84" s="125"/>
      <c r="AF84" s="112"/>
      <c r="AG84" s="125"/>
      <c r="AH84" s="125">
        <v>270.0</v>
      </c>
      <c r="AI84" s="112"/>
      <c r="AJ84" s="112"/>
      <c r="AK84" s="112"/>
      <c r="AL84" s="112"/>
      <c r="AM84" s="113">
        <f>G84+SUM(I84:AL84)-SUM(I85:AL85)</f>
        <v>388</v>
      </c>
      <c r="AN84" s="53">
        <f>ROUNDDOWN((AM84/E84)/$H$4,1)</f>
        <v>12.9</v>
      </c>
      <c r="AO84" s="53">
        <f>$M$3+AN84</f>
        <v>928.9</v>
      </c>
      <c r="AP84" s="53"/>
    </row>
    <row r="85">
      <c r="A85" s="31"/>
      <c r="B85" s="17"/>
      <c r="C85" s="17"/>
      <c r="D85" s="17"/>
      <c r="E85" s="17"/>
      <c r="F85" s="18"/>
      <c r="G85" s="114"/>
      <c r="H85" s="107" t="s">
        <v>23</v>
      </c>
      <c r="I85" s="107"/>
      <c r="J85" s="107"/>
      <c r="K85" s="107">
        <f>15+1</f>
        <v>16</v>
      </c>
      <c r="L85" s="107">
        <v>15.0</v>
      </c>
      <c r="M85" s="107">
        <v>15.0</v>
      </c>
      <c r="N85" s="114">
        <f>15+15</f>
        <v>30</v>
      </c>
      <c r="O85" s="107">
        <f>30+30</f>
        <v>60</v>
      </c>
      <c r="P85" s="114"/>
      <c r="Q85" s="114"/>
      <c r="R85" s="125">
        <f>15+15+1</f>
        <v>31</v>
      </c>
      <c r="S85" s="112">
        <f>15+15</f>
        <v>30</v>
      </c>
      <c r="T85" s="125">
        <f>15+15+1</f>
        <v>31</v>
      </c>
      <c r="U85" s="125">
        <f t="shared" ref="U85:V85" si="19">15+15</f>
        <v>30</v>
      </c>
      <c r="V85" s="125">
        <f t="shared" si="19"/>
        <v>30</v>
      </c>
      <c r="W85" s="125"/>
      <c r="X85" s="125">
        <f>15+15</f>
        <v>30</v>
      </c>
      <c r="Y85" s="125">
        <f>15+18+1</f>
        <v>34</v>
      </c>
      <c r="Z85" s="125">
        <f>18+15</f>
        <v>33</v>
      </c>
      <c r="AA85" s="125">
        <f>15+16</f>
        <v>31</v>
      </c>
      <c r="AB85" s="125">
        <f>15+5</f>
        <v>20</v>
      </c>
      <c r="AC85" s="125">
        <v>23.0</v>
      </c>
      <c r="AD85" s="112"/>
      <c r="AE85" s="125">
        <v>15.0</v>
      </c>
      <c r="AF85" s="125">
        <f>15+15+15</f>
        <v>45</v>
      </c>
      <c r="AG85" s="112">
        <f>15+15</f>
        <v>30</v>
      </c>
      <c r="AH85" s="125">
        <f>16+10+4</f>
        <v>30</v>
      </c>
      <c r="AI85" s="125">
        <f>17+18+4</f>
        <v>39</v>
      </c>
      <c r="AJ85" s="112">
        <f>20+15</f>
        <v>35</v>
      </c>
      <c r="AK85" s="125">
        <v>15.0</v>
      </c>
      <c r="AL85" s="125">
        <v>35.0</v>
      </c>
      <c r="AM85" s="32"/>
      <c r="AP85" s="53"/>
    </row>
    <row r="86">
      <c r="A86" s="33"/>
      <c r="B86" s="33"/>
      <c r="C86" s="33"/>
      <c r="D86" s="33"/>
      <c r="E86" s="106"/>
      <c r="F86" s="106"/>
      <c r="G86" s="107"/>
      <c r="H86" s="107"/>
      <c r="I86" s="114"/>
      <c r="J86" s="117"/>
      <c r="K86" s="118"/>
      <c r="L86" s="118"/>
      <c r="M86" s="118"/>
      <c r="N86" s="118"/>
      <c r="O86" s="118"/>
      <c r="P86" s="114"/>
      <c r="Q86" s="117"/>
      <c r="R86" s="120"/>
      <c r="S86" s="120"/>
      <c r="T86" s="120"/>
      <c r="U86" s="120"/>
      <c r="V86" s="120"/>
      <c r="W86" s="112"/>
      <c r="X86" s="120"/>
      <c r="Y86" s="120"/>
      <c r="Z86" s="120"/>
      <c r="AA86" s="120"/>
      <c r="AB86" s="120"/>
      <c r="AC86" s="120"/>
      <c r="AD86" s="112"/>
      <c r="AE86" s="120"/>
      <c r="AF86" s="120"/>
      <c r="AG86" s="120"/>
      <c r="AH86" s="120"/>
      <c r="AI86" s="120"/>
      <c r="AJ86" s="120"/>
      <c r="AK86" s="112"/>
      <c r="AL86" s="112"/>
      <c r="AM86" s="122"/>
      <c r="AN86" s="53"/>
      <c r="AO86" s="53"/>
      <c r="AP86" s="53"/>
    </row>
    <row r="87">
      <c r="A87" s="24" t="s">
        <v>52</v>
      </c>
      <c r="B87" s="17"/>
      <c r="C87" s="17"/>
      <c r="D87" s="18"/>
      <c r="E87" s="106">
        <v>1.0</v>
      </c>
      <c r="F87" s="106" t="s">
        <v>21</v>
      </c>
      <c r="G87" s="107">
        <v>640.0</v>
      </c>
      <c r="H87" s="107" t="s">
        <v>22</v>
      </c>
      <c r="I87" s="114"/>
      <c r="J87" s="114"/>
      <c r="K87" s="107">
        <v>150.0</v>
      </c>
      <c r="L87" s="114"/>
      <c r="M87" s="114"/>
      <c r="N87" s="107">
        <v>150.0</v>
      </c>
      <c r="O87" s="114"/>
      <c r="P87" s="114"/>
      <c r="Q87" s="114"/>
      <c r="R87" s="125"/>
      <c r="S87" s="112"/>
      <c r="T87" s="125"/>
      <c r="U87" s="125">
        <v>150.0</v>
      </c>
      <c r="V87" s="112"/>
      <c r="W87" s="112"/>
      <c r="X87" s="112"/>
      <c r="Y87" s="125">
        <v>90.0</v>
      </c>
      <c r="Z87" s="112"/>
      <c r="AA87" s="125"/>
      <c r="AB87" s="112"/>
      <c r="AC87" s="125"/>
      <c r="AD87" s="125"/>
      <c r="AE87" s="112"/>
      <c r="AF87" s="112"/>
      <c r="AG87" s="125">
        <v>150.0</v>
      </c>
      <c r="AH87" s="112"/>
      <c r="AI87" s="125">
        <v>120.0</v>
      </c>
      <c r="AJ87" s="112"/>
      <c r="AK87" s="112"/>
      <c r="AL87" s="125"/>
      <c r="AM87" s="113">
        <f>G87+SUM(I87:AL87)-SUM(I88:AL88)</f>
        <v>731</v>
      </c>
      <c r="AN87" s="53">
        <f>ROUNDDOWN((AM87/E87)/$H$4,1)</f>
        <v>24.3</v>
      </c>
      <c r="AO87" s="53">
        <f>$M$3+AN87</f>
        <v>940.3</v>
      </c>
      <c r="AP87" s="53"/>
    </row>
    <row r="88">
      <c r="A88" s="31"/>
      <c r="B88" s="17"/>
      <c r="C88" s="17"/>
      <c r="D88" s="17"/>
      <c r="E88" s="17"/>
      <c r="F88" s="18"/>
      <c r="G88" s="114"/>
      <c r="H88" s="107" t="s">
        <v>23</v>
      </c>
      <c r="I88" s="107"/>
      <c r="J88" s="107"/>
      <c r="K88" s="107">
        <f>15+2</f>
        <v>17</v>
      </c>
      <c r="L88" s="107">
        <f>15+7</f>
        <v>22</v>
      </c>
      <c r="M88" s="107">
        <v>15.0</v>
      </c>
      <c r="N88" s="107">
        <f>15+6</f>
        <v>21</v>
      </c>
      <c r="O88" s="107">
        <f>30+15+15</f>
        <v>60</v>
      </c>
      <c r="P88" s="107"/>
      <c r="Q88" s="107">
        <v>12.0</v>
      </c>
      <c r="R88" s="125">
        <v>30.0</v>
      </c>
      <c r="S88" s="125">
        <f>15+12</f>
        <v>27</v>
      </c>
      <c r="T88" s="112">
        <f>15+18</f>
        <v>33</v>
      </c>
      <c r="U88" s="112">
        <f t="shared" ref="U88:V88" si="20">15+15</f>
        <v>30</v>
      </c>
      <c r="V88" s="112">
        <f t="shared" si="20"/>
        <v>30</v>
      </c>
      <c r="W88" s="125"/>
      <c r="X88" s="125">
        <f>15+15+3</f>
        <v>33</v>
      </c>
      <c r="Y88" s="125">
        <f>15+18</f>
        <v>33</v>
      </c>
      <c r="Z88" s="125">
        <f>15+19</f>
        <v>34</v>
      </c>
      <c r="AA88" s="112">
        <f>14+16</f>
        <v>30</v>
      </c>
      <c r="AB88" s="125">
        <f>17+3</f>
        <v>20</v>
      </c>
      <c r="AC88" s="125">
        <v>23.0</v>
      </c>
      <c r="AD88" s="112"/>
      <c r="AE88" s="125">
        <f>10+10</f>
        <v>20</v>
      </c>
      <c r="AF88" s="125">
        <f>15+10+15+5</f>
        <v>45</v>
      </c>
      <c r="AG88" s="125">
        <f>15+16+4</f>
        <v>35</v>
      </c>
      <c r="AH88" s="125">
        <f>16+10</f>
        <v>26</v>
      </c>
      <c r="AI88" s="112">
        <f>20+15+4</f>
        <v>39</v>
      </c>
      <c r="AJ88" s="125">
        <f>30+5</f>
        <v>35</v>
      </c>
      <c r="AK88" s="125">
        <v>15.0</v>
      </c>
      <c r="AL88" s="125">
        <f>15+15+4</f>
        <v>34</v>
      </c>
      <c r="AM88" s="32"/>
      <c r="AP88" s="53"/>
    </row>
    <row r="89">
      <c r="A89" s="33"/>
      <c r="B89" s="33"/>
      <c r="C89" s="33"/>
      <c r="D89" s="33"/>
      <c r="E89" s="106"/>
      <c r="F89" s="106"/>
      <c r="G89" s="107"/>
      <c r="H89" s="107"/>
      <c r="I89" s="114"/>
      <c r="J89" s="117"/>
      <c r="K89" s="118"/>
      <c r="L89" s="118"/>
      <c r="M89" s="124"/>
      <c r="N89" s="118"/>
      <c r="O89" s="118"/>
      <c r="P89" s="114"/>
      <c r="Q89" s="118"/>
      <c r="R89" s="120"/>
      <c r="S89" s="120"/>
      <c r="T89" s="127"/>
      <c r="U89" s="120"/>
      <c r="V89" s="120"/>
      <c r="W89" s="112"/>
      <c r="X89" s="120"/>
      <c r="Y89" s="120"/>
      <c r="Z89" s="120"/>
      <c r="AA89" s="120"/>
      <c r="AB89" s="120"/>
      <c r="AC89" s="120"/>
      <c r="AD89" s="112"/>
      <c r="AE89" s="120"/>
      <c r="AF89" s="120"/>
      <c r="AG89" s="120"/>
      <c r="AH89" s="127"/>
      <c r="AI89" s="120"/>
      <c r="AJ89" s="120"/>
      <c r="AK89" s="112"/>
      <c r="AL89" s="112"/>
      <c r="AM89" s="122"/>
      <c r="AN89" s="53"/>
      <c r="AO89" s="53"/>
      <c r="AP89" s="53"/>
    </row>
    <row r="90">
      <c r="A90" s="24" t="s">
        <v>53</v>
      </c>
      <c r="B90" s="17"/>
      <c r="C90" s="17"/>
      <c r="D90" s="18"/>
      <c r="E90" s="106">
        <v>1.0</v>
      </c>
      <c r="F90" s="106" t="s">
        <v>30</v>
      </c>
      <c r="G90" s="107">
        <v>330.0</v>
      </c>
      <c r="H90" s="107" t="s">
        <v>22</v>
      </c>
      <c r="I90" s="107"/>
      <c r="J90" s="114"/>
      <c r="K90" s="107">
        <v>60.0</v>
      </c>
      <c r="L90" s="114"/>
      <c r="M90" s="107"/>
      <c r="N90" s="107">
        <v>120.0</v>
      </c>
      <c r="O90" s="114"/>
      <c r="P90" s="107"/>
      <c r="Q90" s="114"/>
      <c r="R90" s="125">
        <v>90.0</v>
      </c>
      <c r="S90" s="125"/>
      <c r="T90" s="125"/>
      <c r="U90" s="125">
        <v>120.0</v>
      </c>
      <c r="V90" s="112"/>
      <c r="W90" s="112"/>
      <c r="X90" s="112"/>
      <c r="Y90" s="125">
        <v>120.0</v>
      </c>
      <c r="Z90" s="112"/>
      <c r="AA90" s="125"/>
      <c r="AB90" s="125"/>
      <c r="AC90" s="125">
        <v>120.0</v>
      </c>
      <c r="AD90" s="112"/>
      <c r="AE90" s="112"/>
      <c r="AF90" s="125"/>
      <c r="AG90" s="112"/>
      <c r="AH90" s="125"/>
      <c r="AI90" s="125">
        <v>150.0</v>
      </c>
      <c r="AJ90" s="112"/>
      <c r="AK90" s="125"/>
      <c r="AL90" s="125"/>
      <c r="AM90" s="113">
        <f>G90+SUM(I90:AL90)-SUM(I91:AL91)</f>
        <v>411</v>
      </c>
      <c r="AN90" s="53">
        <f>ROUNDDOWN((AM90/E90)/$H$4,1)</f>
        <v>13.7</v>
      </c>
      <c r="AO90" s="53">
        <f>$M$3+AN90</f>
        <v>929.7</v>
      </c>
      <c r="AP90" s="53"/>
    </row>
    <row r="91">
      <c r="A91" s="136"/>
      <c r="B91" s="137"/>
      <c r="C91" s="137"/>
      <c r="D91" s="137"/>
      <c r="E91" s="138"/>
      <c r="F91" s="138"/>
      <c r="G91" s="114"/>
      <c r="H91" s="107" t="s">
        <v>23</v>
      </c>
      <c r="I91" s="107"/>
      <c r="J91" s="107"/>
      <c r="K91" s="107">
        <v>15.0</v>
      </c>
      <c r="L91" s="107">
        <v>15.0</v>
      </c>
      <c r="M91" s="107">
        <v>15.0</v>
      </c>
      <c r="N91" s="114">
        <f>15+15</f>
        <v>30</v>
      </c>
      <c r="O91" s="107">
        <f>30+30</f>
        <v>60</v>
      </c>
      <c r="P91" s="114"/>
      <c r="Q91" s="114"/>
      <c r="R91" s="125">
        <f t="shared" ref="R91:V91" si="21">15+15</f>
        <v>30</v>
      </c>
      <c r="S91" s="112">
        <f t="shared" si="21"/>
        <v>30</v>
      </c>
      <c r="T91" s="125">
        <f t="shared" si="21"/>
        <v>30</v>
      </c>
      <c r="U91" s="125">
        <f t="shared" si="21"/>
        <v>30</v>
      </c>
      <c r="V91" s="125">
        <f t="shared" si="21"/>
        <v>30</v>
      </c>
      <c r="W91" s="125"/>
      <c r="X91" s="125">
        <f>15+15</f>
        <v>30</v>
      </c>
      <c r="Y91" s="125">
        <f t="shared" ref="Y91:Z91" si="22">18+15</f>
        <v>33</v>
      </c>
      <c r="Z91" s="125">
        <f t="shared" si="22"/>
        <v>33</v>
      </c>
      <c r="AA91" s="125">
        <f>15+16</f>
        <v>31</v>
      </c>
      <c r="AB91" s="125">
        <f>15+5</f>
        <v>20</v>
      </c>
      <c r="AC91" s="125">
        <v>23.0</v>
      </c>
      <c r="AD91" s="112"/>
      <c r="AE91" s="125">
        <v>15.0</v>
      </c>
      <c r="AF91" s="125">
        <f>15+15+15</f>
        <v>45</v>
      </c>
      <c r="AG91" s="112">
        <f>15+15</f>
        <v>30</v>
      </c>
      <c r="AH91" s="125">
        <f>16+10+4</f>
        <v>30</v>
      </c>
      <c r="AI91" s="125">
        <f>17+18+4</f>
        <v>39</v>
      </c>
      <c r="AJ91" s="112">
        <f>20+15</f>
        <v>35</v>
      </c>
      <c r="AK91" s="125">
        <v>15.0</v>
      </c>
      <c r="AL91" s="125">
        <v>35.0</v>
      </c>
      <c r="AM91" s="32"/>
      <c r="AP91" s="53"/>
    </row>
    <row r="92">
      <c r="A92" s="139"/>
      <c r="B92" s="140"/>
      <c r="C92" s="140"/>
      <c r="D92" s="140"/>
      <c r="E92" s="140"/>
      <c r="F92" s="140"/>
      <c r="G92" s="151"/>
      <c r="H92" s="110"/>
      <c r="I92" s="112"/>
      <c r="J92" s="119"/>
      <c r="K92" s="120"/>
      <c r="L92" s="120"/>
      <c r="M92" s="120"/>
      <c r="N92" s="120"/>
      <c r="O92" s="120"/>
      <c r="P92" s="112"/>
      <c r="Q92" s="119"/>
      <c r="R92" s="120"/>
      <c r="S92" s="120"/>
      <c r="T92" s="120"/>
      <c r="U92" s="120"/>
      <c r="V92" s="120"/>
      <c r="W92" s="112"/>
      <c r="X92" s="120"/>
      <c r="Y92" s="120"/>
      <c r="Z92" s="120"/>
      <c r="AA92" s="120"/>
      <c r="AB92" s="120"/>
      <c r="AC92" s="120"/>
      <c r="AD92" s="112"/>
      <c r="AE92" s="120"/>
      <c r="AF92" s="120"/>
      <c r="AG92" s="120"/>
      <c r="AH92" s="120"/>
      <c r="AI92" s="120"/>
      <c r="AJ92" s="120"/>
      <c r="AK92" s="112"/>
      <c r="AL92" s="112"/>
      <c r="AM92" s="110"/>
      <c r="AN92" s="49"/>
      <c r="AO92" s="49"/>
      <c r="AP92" s="49"/>
    </row>
    <row r="93">
      <c r="A93" s="16" t="s">
        <v>54</v>
      </c>
      <c r="B93" s="17"/>
      <c r="C93" s="17"/>
      <c r="D93" s="17"/>
      <c r="E93" s="17"/>
      <c r="F93" s="17"/>
      <c r="G93" s="152"/>
      <c r="H93" s="135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5"/>
      <c r="AM93" s="135"/>
      <c r="AN93" s="52"/>
      <c r="AO93" s="52"/>
      <c r="AP93" s="52"/>
    </row>
    <row r="94">
      <c r="A94" s="24" t="s">
        <v>55</v>
      </c>
      <c r="B94" s="17"/>
      <c r="C94" s="17"/>
      <c r="D94" s="18"/>
      <c r="E94" s="106">
        <v>1.0</v>
      </c>
      <c r="F94" s="106" t="s">
        <v>21</v>
      </c>
      <c r="G94" s="107">
        <v>966.0</v>
      </c>
      <c r="H94" s="107" t="s">
        <v>22</v>
      </c>
      <c r="I94" s="114"/>
      <c r="J94" s="114"/>
      <c r="K94" s="114"/>
      <c r="L94" s="114"/>
      <c r="M94" s="114"/>
      <c r="N94" s="114"/>
      <c r="O94" s="114"/>
      <c r="P94" s="114"/>
      <c r="Q94" s="114"/>
      <c r="R94" s="112"/>
      <c r="S94" s="125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25"/>
      <c r="AE94" s="112"/>
      <c r="AF94" s="112"/>
      <c r="AG94" s="112"/>
      <c r="AH94" s="112"/>
      <c r="AI94" s="112"/>
      <c r="AJ94" s="112"/>
      <c r="AK94" s="112"/>
      <c r="AL94" s="112"/>
      <c r="AM94" s="113">
        <f>G94+SUM(I94:AL94)-SUM(I95:AL95)</f>
        <v>267</v>
      </c>
      <c r="AN94" s="53">
        <f>ROUNDDOWN((AM94/E94)/$H$4,1)</f>
        <v>8.9</v>
      </c>
      <c r="AO94" s="53">
        <f>$M$3+AN94</f>
        <v>924.9</v>
      </c>
      <c r="AP94" s="53"/>
    </row>
    <row r="95">
      <c r="A95" s="31"/>
      <c r="B95" s="17"/>
      <c r="C95" s="17"/>
      <c r="D95" s="17"/>
      <c r="E95" s="17"/>
      <c r="F95" s="18"/>
      <c r="G95" s="114"/>
      <c r="H95" s="107" t="s">
        <v>23</v>
      </c>
      <c r="I95" s="107"/>
      <c r="J95" s="107"/>
      <c r="K95" s="107">
        <v>15.0</v>
      </c>
      <c r="L95" s="107">
        <v>15.0</v>
      </c>
      <c r="M95" s="107">
        <v>15.0</v>
      </c>
      <c r="N95" s="114">
        <f>15+15</f>
        <v>30</v>
      </c>
      <c r="O95" s="107">
        <f>30+30</f>
        <v>60</v>
      </c>
      <c r="P95" s="114"/>
      <c r="Q95" s="114"/>
      <c r="R95" s="125">
        <f t="shared" ref="R95:V95" si="23">15+15</f>
        <v>30</v>
      </c>
      <c r="S95" s="112">
        <f t="shared" si="23"/>
        <v>30</v>
      </c>
      <c r="T95" s="125">
        <f t="shared" si="23"/>
        <v>30</v>
      </c>
      <c r="U95" s="125">
        <f t="shared" si="23"/>
        <v>30</v>
      </c>
      <c r="V95" s="125">
        <f t="shared" si="23"/>
        <v>30</v>
      </c>
      <c r="W95" s="125"/>
      <c r="X95" s="125">
        <f>15+15</f>
        <v>30</v>
      </c>
      <c r="Y95" s="125">
        <f>15+18</f>
        <v>33</v>
      </c>
      <c r="Z95" s="125">
        <f>18+15</f>
        <v>33</v>
      </c>
      <c r="AA95" s="125">
        <f>15+16</f>
        <v>31</v>
      </c>
      <c r="AB95" s="125">
        <f>15+5</f>
        <v>20</v>
      </c>
      <c r="AC95" s="125">
        <v>23.0</v>
      </c>
      <c r="AD95" s="112"/>
      <c r="AE95" s="125">
        <v>15.0</v>
      </c>
      <c r="AF95" s="125">
        <f>15+15+15</f>
        <v>45</v>
      </c>
      <c r="AG95" s="112">
        <f>15+15</f>
        <v>30</v>
      </c>
      <c r="AH95" s="125">
        <f>16+10+4</f>
        <v>30</v>
      </c>
      <c r="AI95" s="125">
        <f>17+18+4</f>
        <v>39</v>
      </c>
      <c r="AJ95" s="112">
        <f>20+15</f>
        <v>35</v>
      </c>
      <c r="AK95" s="125">
        <v>15.0</v>
      </c>
      <c r="AL95" s="125">
        <v>35.0</v>
      </c>
      <c r="AM95" s="32"/>
      <c r="AP95" s="53"/>
    </row>
    <row r="96">
      <c r="A96" s="33"/>
      <c r="B96" s="33"/>
      <c r="C96" s="33"/>
      <c r="D96" s="33"/>
      <c r="E96" s="106"/>
      <c r="F96" s="106"/>
      <c r="G96" s="107"/>
      <c r="H96" s="107"/>
      <c r="I96" s="114"/>
      <c r="J96" s="117"/>
      <c r="K96" s="118"/>
      <c r="L96" s="118"/>
      <c r="M96" s="118"/>
      <c r="N96" s="118"/>
      <c r="O96" s="118"/>
      <c r="P96" s="114"/>
      <c r="Q96" s="117"/>
      <c r="R96" s="120"/>
      <c r="S96" s="120"/>
      <c r="T96" s="120"/>
      <c r="U96" s="120"/>
      <c r="V96" s="120"/>
      <c r="W96" s="112"/>
      <c r="X96" s="120"/>
      <c r="Y96" s="120"/>
      <c r="Z96" s="120"/>
      <c r="AA96" s="120"/>
      <c r="AB96" s="120"/>
      <c r="AC96" s="120"/>
      <c r="AD96" s="112"/>
      <c r="AE96" s="120"/>
      <c r="AF96" s="120"/>
      <c r="AG96" s="120"/>
      <c r="AH96" s="120"/>
      <c r="AI96" s="120"/>
      <c r="AJ96" s="120"/>
      <c r="AK96" s="112"/>
      <c r="AL96" s="112"/>
      <c r="AM96" s="122"/>
      <c r="AN96" s="53"/>
      <c r="AO96" s="53"/>
      <c r="AP96" s="53"/>
    </row>
    <row r="97">
      <c r="A97" s="24" t="s">
        <v>56</v>
      </c>
      <c r="B97" s="17"/>
      <c r="C97" s="17"/>
      <c r="D97" s="18"/>
      <c r="E97" s="106">
        <v>1.0</v>
      </c>
      <c r="F97" s="106" t="s">
        <v>21</v>
      </c>
      <c r="G97" s="107">
        <v>846.0</v>
      </c>
      <c r="H97" s="107" t="s">
        <v>22</v>
      </c>
      <c r="I97" s="114"/>
      <c r="J97" s="114"/>
      <c r="K97" s="114"/>
      <c r="L97" s="114"/>
      <c r="M97" s="114"/>
      <c r="N97" s="107"/>
      <c r="O97" s="114"/>
      <c r="P97" s="114"/>
      <c r="Q97" s="114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25"/>
      <c r="AE97" s="112"/>
      <c r="AF97" s="112"/>
      <c r="AG97" s="125">
        <v>510.0</v>
      </c>
      <c r="AH97" s="112"/>
      <c r="AI97" s="112"/>
      <c r="AJ97" s="112"/>
      <c r="AK97" s="112"/>
      <c r="AL97" s="112"/>
      <c r="AM97" s="113">
        <f>G97+SUM(I97:AL97)-SUM(I98:AL98)</f>
        <v>657</v>
      </c>
      <c r="AN97" s="53">
        <f>ROUNDDOWN((AM97/E97)/$H$4,1)</f>
        <v>21.9</v>
      </c>
      <c r="AO97" s="53">
        <f>$M$3+AN97</f>
        <v>937.9</v>
      </c>
      <c r="AP97" s="53"/>
    </row>
    <row r="98">
      <c r="A98" s="136"/>
      <c r="B98" s="137"/>
      <c r="C98" s="137"/>
      <c r="D98" s="137"/>
      <c r="E98" s="138"/>
      <c r="F98" s="138"/>
      <c r="G98" s="114"/>
      <c r="H98" s="107" t="s">
        <v>23</v>
      </c>
      <c r="I98" s="107"/>
      <c r="J98" s="107"/>
      <c r="K98" s="107">
        <v>15.0</v>
      </c>
      <c r="L98" s="107">
        <v>15.0</v>
      </c>
      <c r="M98" s="107">
        <v>15.0</v>
      </c>
      <c r="N98" s="114">
        <f>15+15</f>
        <v>30</v>
      </c>
      <c r="O98" s="107">
        <f>30+30</f>
        <v>60</v>
      </c>
      <c r="P98" s="114"/>
      <c r="Q98" s="114"/>
      <c r="R98" s="125">
        <f t="shared" ref="R98:V98" si="24">15+15</f>
        <v>30</v>
      </c>
      <c r="S98" s="112">
        <f t="shared" si="24"/>
        <v>30</v>
      </c>
      <c r="T98" s="125">
        <f t="shared" si="24"/>
        <v>30</v>
      </c>
      <c r="U98" s="125">
        <f t="shared" si="24"/>
        <v>30</v>
      </c>
      <c r="V98" s="125">
        <f t="shared" si="24"/>
        <v>30</v>
      </c>
      <c r="W98" s="125"/>
      <c r="X98" s="125">
        <f>15+15</f>
        <v>30</v>
      </c>
      <c r="Y98" s="125">
        <f>15+18</f>
        <v>33</v>
      </c>
      <c r="Z98" s="125">
        <f>18+15</f>
        <v>33</v>
      </c>
      <c r="AA98" s="125">
        <f>15+16</f>
        <v>31</v>
      </c>
      <c r="AB98" s="125">
        <f>15+5</f>
        <v>20</v>
      </c>
      <c r="AC98" s="125">
        <v>23.0</v>
      </c>
      <c r="AD98" s="112"/>
      <c r="AE98" s="125">
        <v>15.0</v>
      </c>
      <c r="AF98" s="112">
        <f>15+15+15</f>
        <v>45</v>
      </c>
      <c r="AG98" s="112">
        <f>15+15</f>
        <v>30</v>
      </c>
      <c r="AH98" s="125">
        <f>16+10+4</f>
        <v>30</v>
      </c>
      <c r="AI98" s="125">
        <f>17+18+4</f>
        <v>39</v>
      </c>
      <c r="AJ98" s="112">
        <f>20+15</f>
        <v>35</v>
      </c>
      <c r="AK98" s="125">
        <v>15.0</v>
      </c>
      <c r="AL98" s="125">
        <v>35.0</v>
      </c>
      <c r="AM98" s="32"/>
      <c r="AP98" s="53"/>
    </row>
    <row r="99">
      <c r="A99" s="139"/>
      <c r="B99" s="140"/>
      <c r="C99" s="140"/>
      <c r="D99" s="140"/>
      <c r="E99" s="140"/>
      <c r="F99" s="140"/>
      <c r="G99" s="151"/>
      <c r="H99" s="108"/>
      <c r="I99" s="114"/>
      <c r="J99" s="117"/>
      <c r="K99" s="118"/>
      <c r="L99" s="118"/>
      <c r="M99" s="118"/>
      <c r="N99" s="118"/>
      <c r="O99" s="118"/>
      <c r="P99" s="114"/>
      <c r="Q99" s="117"/>
      <c r="R99" s="120"/>
      <c r="S99" s="120"/>
      <c r="T99" s="120"/>
      <c r="U99" s="120"/>
      <c r="V99" s="120"/>
      <c r="W99" s="112"/>
      <c r="X99" s="120"/>
      <c r="Y99" s="120"/>
      <c r="Z99" s="120"/>
      <c r="AA99" s="120"/>
      <c r="AB99" s="120"/>
      <c r="AC99" s="120"/>
      <c r="AD99" s="112"/>
      <c r="AE99" s="120"/>
      <c r="AF99" s="120"/>
      <c r="AG99" s="120"/>
      <c r="AH99" s="120"/>
      <c r="AI99" s="120"/>
      <c r="AJ99" s="120"/>
      <c r="AK99" s="112"/>
      <c r="AL99" s="112"/>
      <c r="AM99" s="110"/>
      <c r="AN99" s="49"/>
      <c r="AO99" s="49"/>
      <c r="AP99" s="49"/>
    </row>
    <row r="100">
      <c r="A100" s="16" t="s">
        <v>57</v>
      </c>
      <c r="B100" s="17"/>
      <c r="C100" s="17"/>
      <c r="D100" s="17"/>
      <c r="E100" s="17"/>
      <c r="F100" s="17"/>
      <c r="G100" s="152"/>
      <c r="H100" s="153"/>
      <c r="I100" s="154"/>
      <c r="J100" s="154"/>
      <c r="K100" s="154"/>
      <c r="L100" s="154"/>
      <c r="M100" s="154"/>
      <c r="N100" s="154"/>
      <c r="O100" s="154"/>
      <c r="P100" s="154"/>
      <c r="Q100" s="15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5"/>
      <c r="AM100" s="135"/>
      <c r="AN100" s="52"/>
      <c r="AO100" s="52"/>
      <c r="AP100" s="52"/>
    </row>
    <row r="101">
      <c r="A101" s="55" t="s">
        <v>58</v>
      </c>
      <c r="B101" s="17"/>
      <c r="C101" s="17"/>
      <c r="D101" s="18"/>
      <c r="E101" s="106">
        <v>2.0</v>
      </c>
      <c r="F101" s="106" t="s">
        <v>21</v>
      </c>
      <c r="G101" s="107">
        <v>1926.0</v>
      </c>
      <c r="H101" s="107" t="s">
        <v>22</v>
      </c>
      <c r="I101" s="114"/>
      <c r="J101" s="114"/>
      <c r="K101" s="114"/>
      <c r="L101" s="114"/>
      <c r="M101" s="114"/>
      <c r="N101" s="114"/>
      <c r="O101" s="114"/>
      <c r="P101" s="114"/>
      <c r="Q101" s="114"/>
      <c r="R101" s="112"/>
      <c r="S101" s="125"/>
      <c r="T101" s="112"/>
      <c r="U101" s="112"/>
      <c r="V101" s="112"/>
      <c r="W101" s="112"/>
      <c r="X101" s="112"/>
      <c r="Y101" s="112"/>
      <c r="Z101" s="125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3">
        <f>G101+SUM(I101:AL101)-SUM(I102:AL102)</f>
        <v>536</v>
      </c>
      <c r="AN101" s="53">
        <f>ROUNDDOWN((AM101/E101)/$H$4,1)</f>
        <v>8.9</v>
      </c>
      <c r="AO101" s="53">
        <f>$M$3+AN101</f>
        <v>924.9</v>
      </c>
      <c r="AP101" s="53"/>
    </row>
    <row r="102">
      <c r="A102" s="70"/>
      <c r="B102" s="17"/>
      <c r="C102" s="17"/>
      <c r="D102" s="17"/>
      <c r="E102" s="17"/>
      <c r="F102" s="18"/>
      <c r="G102" s="114"/>
      <c r="H102" s="107" t="s">
        <v>23</v>
      </c>
      <c r="I102" s="107"/>
      <c r="J102" s="107"/>
      <c r="K102" s="107">
        <v>30.0</v>
      </c>
      <c r="L102" s="107">
        <v>30.0</v>
      </c>
      <c r="M102" s="107">
        <v>30.0</v>
      </c>
      <c r="N102" s="114">
        <f>30+30</f>
        <v>60</v>
      </c>
      <c r="O102" s="107">
        <f>60+60</f>
        <v>120</v>
      </c>
      <c r="P102" s="114"/>
      <c r="Q102" s="114"/>
      <c r="R102" s="125">
        <f t="shared" ref="R102:V102" si="25">30+30</f>
        <v>60</v>
      </c>
      <c r="S102" s="112">
        <f t="shared" si="25"/>
        <v>60</v>
      </c>
      <c r="T102" s="125">
        <f t="shared" si="25"/>
        <v>60</v>
      </c>
      <c r="U102" s="125">
        <f t="shared" si="25"/>
        <v>60</v>
      </c>
      <c r="V102" s="125">
        <f t="shared" si="25"/>
        <v>60</v>
      </c>
      <c r="W102" s="125"/>
      <c r="X102" s="125">
        <f>30+30</f>
        <v>60</v>
      </c>
      <c r="Y102" s="125">
        <f>30+36</f>
        <v>66</v>
      </c>
      <c r="Z102" s="125">
        <f>36+30</f>
        <v>66</v>
      </c>
      <c r="AA102" s="125">
        <f>30+32</f>
        <v>62</v>
      </c>
      <c r="AB102" s="125">
        <f>30+10</f>
        <v>40</v>
      </c>
      <c r="AC102" s="125">
        <v>46.0</v>
      </c>
      <c r="AD102" s="112"/>
      <c r="AE102" s="125">
        <v>30.0</v>
      </c>
      <c r="AF102" s="125">
        <f>30+30+30</f>
        <v>90</v>
      </c>
      <c r="AG102" s="112">
        <f>30+30</f>
        <v>60</v>
      </c>
      <c r="AH102" s="125">
        <f>32+20</f>
        <v>52</v>
      </c>
      <c r="AI102" s="125">
        <f>34+36+8</f>
        <v>78</v>
      </c>
      <c r="AJ102" s="112">
        <f>40+30</f>
        <v>70</v>
      </c>
      <c r="AK102" s="125">
        <v>30.0</v>
      </c>
      <c r="AL102" s="125">
        <v>70.0</v>
      </c>
      <c r="AM102" s="32"/>
      <c r="AP102" s="53"/>
    </row>
    <row r="103">
      <c r="A103" s="54"/>
      <c r="B103" s="54"/>
      <c r="C103" s="54"/>
      <c r="D103" s="54"/>
      <c r="E103" s="106"/>
      <c r="F103" s="106"/>
      <c r="G103" s="107"/>
      <c r="H103" s="107"/>
      <c r="I103" s="114"/>
      <c r="J103" s="117"/>
      <c r="K103" s="118"/>
      <c r="L103" s="118"/>
      <c r="M103" s="118"/>
      <c r="N103" s="118"/>
      <c r="O103" s="118"/>
      <c r="P103" s="114"/>
      <c r="Q103" s="117"/>
      <c r="R103" s="120"/>
      <c r="S103" s="127"/>
      <c r="T103" s="120"/>
      <c r="U103" s="120"/>
      <c r="V103" s="120"/>
      <c r="W103" s="112"/>
      <c r="X103" s="120"/>
      <c r="Y103" s="120"/>
      <c r="Z103" s="120"/>
      <c r="AA103" s="120"/>
      <c r="AB103" s="120"/>
      <c r="AC103" s="120"/>
      <c r="AD103" s="112"/>
      <c r="AE103" s="120"/>
      <c r="AF103" s="120"/>
      <c r="AG103" s="120"/>
      <c r="AH103" s="120"/>
      <c r="AI103" s="120"/>
      <c r="AJ103" s="120"/>
      <c r="AK103" s="112"/>
      <c r="AL103" s="112"/>
      <c r="AM103" s="122"/>
      <c r="AN103" s="53"/>
      <c r="AO103" s="53"/>
      <c r="AP103" s="53"/>
    </row>
    <row r="104">
      <c r="A104" s="55" t="s">
        <v>59</v>
      </c>
      <c r="B104" s="17"/>
      <c r="C104" s="17"/>
      <c r="D104" s="18"/>
      <c r="E104" s="106">
        <v>2.0</v>
      </c>
      <c r="F104" s="106" t="s">
        <v>21</v>
      </c>
      <c r="G104" s="107">
        <v>2008.0</v>
      </c>
      <c r="H104" s="107" t="s">
        <v>22</v>
      </c>
      <c r="I104" s="114"/>
      <c r="J104" s="114"/>
      <c r="K104" s="114"/>
      <c r="L104" s="114"/>
      <c r="M104" s="114"/>
      <c r="N104" s="114"/>
      <c r="O104" s="114"/>
      <c r="P104" s="114"/>
      <c r="Q104" s="114"/>
      <c r="R104" s="112"/>
      <c r="S104" s="125"/>
      <c r="T104" s="112"/>
      <c r="U104" s="112"/>
      <c r="V104" s="112"/>
      <c r="W104" s="112"/>
      <c r="X104" s="112"/>
      <c r="Y104" s="112"/>
      <c r="Z104" s="125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3">
        <f>G104+SUM(I104:AL104)-SUM(I105:AL105)</f>
        <v>618</v>
      </c>
      <c r="AN104" s="53">
        <f>ROUNDDOWN((AM104/E104)/$H$4,1)</f>
        <v>10.3</v>
      </c>
      <c r="AO104" s="53">
        <f>$M$3+AN104</f>
        <v>926.3</v>
      </c>
      <c r="AP104" s="53"/>
    </row>
    <row r="105">
      <c r="A105" s="70"/>
      <c r="B105" s="17"/>
      <c r="C105" s="17"/>
      <c r="D105" s="17"/>
      <c r="E105" s="17"/>
      <c r="F105" s="18"/>
      <c r="G105" s="114"/>
      <c r="H105" s="107" t="s">
        <v>23</v>
      </c>
      <c r="I105" s="107"/>
      <c r="J105" s="107"/>
      <c r="K105" s="107">
        <v>30.0</v>
      </c>
      <c r="L105" s="107">
        <v>30.0</v>
      </c>
      <c r="M105" s="107">
        <v>30.0</v>
      </c>
      <c r="N105" s="114">
        <f>30+30</f>
        <v>60</v>
      </c>
      <c r="O105" s="107">
        <f>60+60</f>
        <v>120</v>
      </c>
      <c r="P105" s="114"/>
      <c r="Q105" s="114"/>
      <c r="R105" s="125">
        <f t="shared" ref="R105:V105" si="26">30+30</f>
        <v>60</v>
      </c>
      <c r="S105" s="112">
        <f t="shared" si="26"/>
        <v>60</v>
      </c>
      <c r="T105" s="125">
        <f t="shared" si="26"/>
        <v>60</v>
      </c>
      <c r="U105" s="125">
        <f t="shared" si="26"/>
        <v>60</v>
      </c>
      <c r="V105" s="125">
        <f t="shared" si="26"/>
        <v>60</v>
      </c>
      <c r="W105" s="125"/>
      <c r="X105" s="125">
        <f>30+30</f>
        <v>60</v>
      </c>
      <c r="Y105" s="125">
        <f>30+36</f>
        <v>66</v>
      </c>
      <c r="Z105" s="125">
        <f>36+30</f>
        <v>66</v>
      </c>
      <c r="AA105" s="125">
        <f>30+32</f>
        <v>62</v>
      </c>
      <c r="AB105" s="125">
        <f>30+10</f>
        <v>40</v>
      </c>
      <c r="AC105" s="125">
        <v>46.0</v>
      </c>
      <c r="AD105" s="112"/>
      <c r="AE105" s="125">
        <v>30.0</v>
      </c>
      <c r="AF105" s="125">
        <f>30+30+30</f>
        <v>90</v>
      </c>
      <c r="AG105" s="112">
        <f>30+30</f>
        <v>60</v>
      </c>
      <c r="AH105" s="125">
        <f>32+20</f>
        <v>52</v>
      </c>
      <c r="AI105" s="125">
        <f>34+36+8</f>
        <v>78</v>
      </c>
      <c r="AJ105" s="112">
        <f>40+30</f>
        <v>70</v>
      </c>
      <c r="AK105" s="125">
        <v>30.0</v>
      </c>
      <c r="AL105" s="125">
        <v>70.0</v>
      </c>
      <c r="AM105" s="32"/>
      <c r="AP105" s="53"/>
    </row>
    <row r="106">
      <c r="A106" s="54"/>
      <c r="B106" s="54"/>
      <c r="C106" s="54"/>
      <c r="D106" s="54"/>
      <c r="E106" s="106"/>
      <c r="F106" s="106"/>
      <c r="G106" s="107"/>
      <c r="H106" s="107"/>
      <c r="I106" s="114"/>
      <c r="J106" s="117"/>
      <c r="K106" s="118"/>
      <c r="L106" s="118"/>
      <c r="M106" s="118"/>
      <c r="N106" s="118"/>
      <c r="O106" s="118"/>
      <c r="P106" s="114"/>
      <c r="Q106" s="117"/>
      <c r="R106" s="120"/>
      <c r="S106" s="120"/>
      <c r="T106" s="120"/>
      <c r="U106" s="120"/>
      <c r="V106" s="120"/>
      <c r="W106" s="112"/>
      <c r="X106" s="120"/>
      <c r="Y106" s="120"/>
      <c r="Z106" s="120"/>
      <c r="AA106" s="120"/>
      <c r="AB106" s="120"/>
      <c r="AC106" s="120"/>
      <c r="AD106" s="112"/>
      <c r="AE106" s="120"/>
      <c r="AF106" s="120"/>
      <c r="AG106" s="120"/>
      <c r="AH106" s="127"/>
      <c r="AI106" s="120"/>
      <c r="AJ106" s="120"/>
      <c r="AK106" s="112"/>
      <c r="AL106" s="112"/>
      <c r="AM106" s="122"/>
      <c r="AN106" s="53"/>
      <c r="AO106" s="53"/>
      <c r="AP106" s="53"/>
    </row>
    <row r="107">
      <c r="A107" s="55" t="s">
        <v>60</v>
      </c>
      <c r="B107" s="17"/>
      <c r="C107" s="17"/>
      <c r="D107" s="18"/>
      <c r="E107" s="106">
        <v>1.0</v>
      </c>
      <c r="F107" s="106" t="s">
        <v>21</v>
      </c>
      <c r="G107" s="107">
        <v>960.0</v>
      </c>
      <c r="H107" s="107" t="s">
        <v>22</v>
      </c>
      <c r="I107" s="114"/>
      <c r="J107" s="114"/>
      <c r="K107" s="114"/>
      <c r="L107" s="114"/>
      <c r="M107" s="114"/>
      <c r="N107" s="114"/>
      <c r="O107" s="114"/>
      <c r="P107" s="114"/>
      <c r="Q107" s="114"/>
      <c r="R107" s="112"/>
      <c r="S107" s="112"/>
      <c r="T107" s="112"/>
      <c r="U107" s="112"/>
      <c r="V107" s="112"/>
      <c r="W107" s="112"/>
      <c r="X107" s="125"/>
      <c r="Y107" s="112"/>
      <c r="Z107" s="112"/>
      <c r="AA107" s="112"/>
      <c r="AB107" s="112"/>
      <c r="AC107" s="112"/>
      <c r="AD107" s="112"/>
      <c r="AE107" s="112"/>
      <c r="AF107" s="112"/>
      <c r="AG107" s="125">
        <v>510.0</v>
      </c>
      <c r="AH107" s="125"/>
      <c r="AI107" s="112"/>
      <c r="AJ107" s="112"/>
      <c r="AK107" s="112"/>
      <c r="AL107" s="112"/>
      <c r="AM107" s="113">
        <f>G107+SUM(I107:AL107)-SUM(I108:AL108)</f>
        <v>870</v>
      </c>
      <c r="AN107" s="53">
        <f>ROUNDDOWN((AM107/E107)/$H$4,1)</f>
        <v>29</v>
      </c>
      <c r="AO107" s="53">
        <f>$M$3+AN107</f>
        <v>945</v>
      </c>
      <c r="AP107" s="53"/>
    </row>
    <row r="108">
      <c r="A108" s="70"/>
      <c r="B108" s="17"/>
      <c r="C108" s="17"/>
      <c r="D108" s="17"/>
      <c r="E108" s="17"/>
      <c r="F108" s="18"/>
      <c r="G108" s="114"/>
      <c r="H108" s="107" t="s">
        <v>23</v>
      </c>
      <c r="I108" s="107"/>
      <c r="J108" s="107"/>
      <c r="K108" s="114"/>
      <c r="L108" s="107"/>
      <c r="M108" s="107">
        <v>100.0</v>
      </c>
      <c r="N108" s="114"/>
      <c r="O108" s="107"/>
      <c r="P108" s="114"/>
      <c r="Q108" s="107"/>
      <c r="R108" s="125">
        <v>100.0</v>
      </c>
      <c r="S108" s="112"/>
      <c r="T108" s="125">
        <v>100.0</v>
      </c>
      <c r="U108" s="125"/>
      <c r="V108" s="112"/>
      <c r="W108" s="112"/>
      <c r="X108" s="125">
        <v>100.0</v>
      </c>
      <c r="Y108" s="112"/>
      <c r="Z108" s="112"/>
      <c r="AA108" s="125"/>
      <c r="AB108" s="112"/>
      <c r="AC108" s="112"/>
      <c r="AD108" s="125"/>
      <c r="AE108" s="125"/>
      <c r="AF108" s="125">
        <v>100.0</v>
      </c>
      <c r="AG108" s="112"/>
      <c r="AH108" s="125"/>
      <c r="AI108" s="125"/>
      <c r="AJ108" s="112"/>
      <c r="AK108" s="125">
        <v>100.0</v>
      </c>
      <c r="AL108" s="112"/>
      <c r="AM108" s="32"/>
      <c r="AP108" s="53"/>
    </row>
    <row r="109">
      <c r="A109" s="33"/>
      <c r="B109" s="33"/>
      <c r="C109" s="33"/>
      <c r="D109" s="33"/>
      <c r="E109" s="106"/>
      <c r="F109" s="106"/>
      <c r="G109" s="107"/>
      <c r="H109" s="107"/>
      <c r="I109" s="107"/>
      <c r="J109" s="117"/>
      <c r="K109" s="116"/>
      <c r="L109" s="117"/>
      <c r="M109" s="118"/>
      <c r="N109" s="117"/>
      <c r="O109" s="117"/>
      <c r="P109" s="114"/>
      <c r="Q109" s="117"/>
      <c r="R109" s="120"/>
      <c r="S109" s="119"/>
      <c r="T109" s="120"/>
      <c r="U109" s="119"/>
      <c r="V109" s="119"/>
      <c r="W109" s="112"/>
      <c r="X109" s="120"/>
      <c r="Y109" s="119"/>
      <c r="Z109" s="119"/>
      <c r="AA109" s="119"/>
      <c r="AB109" s="119"/>
      <c r="AC109" s="119"/>
      <c r="AD109" s="112"/>
      <c r="AE109" s="119"/>
      <c r="AF109" s="120"/>
      <c r="AG109" s="119"/>
      <c r="AH109" s="121"/>
      <c r="AI109" s="119"/>
      <c r="AJ109" s="119"/>
      <c r="AK109" s="112"/>
      <c r="AL109" s="112"/>
      <c r="AM109" s="122"/>
      <c r="AN109" s="53"/>
      <c r="AO109" s="53"/>
      <c r="AP109" s="53"/>
    </row>
    <row r="110">
      <c r="A110" s="24" t="s">
        <v>61</v>
      </c>
      <c r="B110" s="17"/>
      <c r="C110" s="17"/>
      <c r="D110" s="18"/>
      <c r="E110" s="106">
        <v>1.0</v>
      </c>
      <c r="F110" s="106" t="s">
        <v>21</v>
      </c>
      <c r="G110" s="107">
        <v>936.0</v>
      </c>
      <c r="H110" s="107" t="s">
        <v>22</v>
      </c>
      <c r="I110" s="107"/>
      <c r="J110" s="114"/>
      <c r="K110" s="107"/>
      <c r="L110" s="114"/>
      <c r="M110" s="114"/>
      <c r="N110" s="114"/>
      <c r="O110" s="114"/>
      <c r="P110" s="114"/>
      <c r="Q110" s="114"/>
      <c r="R110" s="112"/>
      <c r="S110" s="112"/>
      <c r="T110" s="112"/>
      <c r="U110" s="112"/>
      <c r="V110" s="112"/>
      <c r="W110" s="112"/>
      <c r="X110" s="125"/>
      <c r="Y110" s="112"/>
      <c r="Z110" s="112"/>
      <c r="AA110" s="112"/>
      <c r="AB110" s="112"/>
      <c r="AC110" s="112"/>
      <c r="AD110" s="112"/>
      <c r="AE110" s="112"/>
      <c r="AF110" s="112"/>
      <c r="AG110" s="125">
        <v>252.0</v>
      </c>
      <c r="AH110" s="125"/>
      <c r="AI110" s="112"/>
      <c r="AJ110" s="112"/>
      <c r="AK110" s="112"/>
      <c r="AL110" s="112"/>
      <c r="AM110" s="113">
        <f>G110+SUM(I110:AL110)-SUM(I111:AL111)</f>
        <v>696</v>
      </c>
      <c r="AN110" s="53">
        <f>ROUNDDOWN((AM110/E110)/$H$4,1)</f>
        <v>23.2</v>
      </c>
      <c r="AO110" s="53">
        <f>M6+AN110</f>
        <v>23.2</v>
      </c>
      <c r="AP110" s="53"/>
    </row>
    <row r="111">
      <c r="A111" s="31"/>
      <c r="B111" s="17"/>
      <c r="C111" s="17"/>
      <c r="D111" s="17"/>
      <c r="E111" s="17"/>
      <c r="F111" s="17"/>
      <c r="G111" s="114"/>
      <c r="H111" s="107" t="s">
        <v>23</v>
      </c>
      <c r="I111" s="107"/>
      <c r="J111" s="107"/>
      <c r="K111" s="107">
        <v>24.0</v>
      </c>
      <c r="L111" s="107"/>
      <c r="M111" s="107">
        <f>24+24</f>
        <v>48</v>
      </c>
      <c r="N111" s="107"/>
      <c r="O111" s="107">
        <v>24.0</v>
      </c>
      <c r="P111" s="107"/>
      <c r="Q111" s="107">
        <v>24.0</v>
      </c>
      <c r="R111" s="125"/>
      <c r="S111" s="125">
        <f>24+24</f>
        <v>48</v>
      </c>
      <c r="T111" s="125">
        <v>24.0</v>
      </c>
      <c r="U111" s="125">
        <v>24.0</v>
      </c>
      <c r="V111" s="125"/>
      <c r="W111" s="125"/>
      <c r="X111" s="112">
        <f>24+24</f>
        <v>48</v>
      </c>
      <c r="Y111" s="125">
        <v>24.0</v>
      </c>
      <c r="Z111" s="125">
        <v>36.0</v>
      </c>
      <c r="AA111" s="125"/>
      <c r="AB111" s="125">
        <v>24.0</v>
      </c>
      <c r="AC111" s="125"/>
      <c r="AD111" s="112"/>
      <c r="AE111" s="125">
        <f>24+24+24</f>
        <v>72</v>
      </c>
      <c r="AF111" s="125"/>
      <c r="AG111" s="125"/>
      <c r="AH111" s="125"/>
      <c r="AI111" s="125">
        <f>48+24</f>
        <v>72</v>
      </c>
      <c r="AJ111" s="125"/>
      <c r="AK111" s="112"/>
      <c r="AL111" s="112"/>
      <c r="AM111" s="32"/>
      <c r="AP111" s="53"/>
    </row>
    <row r="112">
      <c r="A112" s="156"/>
      <c r="B112" s="156"/>
      <c r="C112" s="156"/>
      <c r="D112" s="156"/>
      <c r="E112" s="156"/>
      <c r="F112" s="156"/>
      <c r="G112" s="108"/>
      <c r="H112" s="110"/>
      <c r="I112" s="112"/>
      <c r="J112" s="119"/>
      <c r="K112" s="120"/>
      <c r="L112" s="119"/>
      <c r="M112" s="120"/>
      <c r="N112" s="119"/>
      <c r="O112" s="120"/>
      <c r="P112" s="112"/>
      <c r="Q112" s="120"/>
      <c r="R112" s="119"/>
      <c r="S112" s="120"/>
      <c r="T112" s="120"/>
      <c r="U112" s="120"/>
      <c r="V112" s="119"/>
      <c r="W112" s="112"/>
      <c r="X112" s="120"/>
      <c r="Y112" s="120"/>
      <c r="Z112" s="120"/>
      <c r="AA112" s="119"/>
      <c r="AB112" s="120"/>
      <c r="AC112" s="119"/>
      <c r="AD112" s="112"/>
      <c r="AE112" s="120"/>
      <c r="AF112" s="119"/>
      <c r="AG112" s="119"/>
      <c r="AH112" s="119"/>
      <c r="AI112" s="120"/>
      <c r="AJ112" s="119"/>
      <c r="AK112" s="112"/>
      <c r="AL112" s="112"/>
      <c r="AM112" s="110"/>
      <c r="AN112" s="49"/>
      <c r="AO112" s="49"/>
      <c r="AP112" s="49"/>
    </row>
    <row r="113">
      <c r="A113" s="73" t="s">
        <v>62</v>
      </c>
      <c r="B113" s="17"/>
      <c r="C113" s="17"/>
      <c r="D113" s="17"/>
      <c r="E113" s="17"/>
      <c r="F113" s="17"/>
      <c r="G113" s="153"/>
      <c r="H113" s="135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5"/>
      <c r="AM113" s="135"/>
      <c r="AN113" s="52"/>
      <c r="AO113" s="52"/>
      <c r="AP113" s="52"/>
    </row>
    <row r="114">
      <c r="A114" s="24" t="s">
        <v>131</v>
      </c>
      <c r="B114" s="17"/>
      <c r="C114" s="17"/>
      <c r="D114" s="18"/>
      <c r="E114" s="106">
        <v>8.0</v>
      </c>
      <c r="F114" s="106" t="s">
        <v>21</v>
      </c>
      <c r="G114" s="107">
        <v>6204.0</v>
      </c>
      <c r="H114" s="107" t="s">
        <v>22</v>
      </c>
      <c r="I114" s="114"/>
      <c r="J114" s="114"/>
      <c r="K114" s="114"/>
      <c r="L114" s="114"/>
      <c r="M114" s="114"/>
      <c r="N114" s="114"/>
      <c r="O114" s="114"/>
      <c r="P114" s="114"/>
      <c r="Q114" s="114"/>
      <c r="R114" s="112"/>
      <c r="S114" s="112"/>
      <c r="T114" s="112"/>
      <c r="U114" s="112"/>
      <c r="V114" s="112"/>
      <c r="W114" s="112"/>
      <c r="X114" s="11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25"/>
      <c r="AI114" s="112"/>
      <c r="AJ114" s="112"/>
      <c r="AK114" s="112"/>
      <c r="AL114" s="112"/>
      <c r="AM114" s="113">
        <f>G114+SUM(I114:AL114)-SUM(I115:AL115)</f>
        <v>384</v>
      </c>
      <c r="AN114" s="53">
        <f>ROUNDDOWN((AM114/E114)/$H$4,1)</f>
        <v>1.6</v>
      </c>
      <c r="AO114" s="53">
        <f>$M$3+AN114</f>
        <v>917.6</v>
      </c>
      <c r="AP114" s="53"/>
    </row>
    <row r="115">
      <c r="A115" s="31"/>
      <c r="B115" s="17"/>
      <c r="C115" s="17"/>
      <c r="D115" s="17"/>
      <c r="E115" s="17"/>
      <c r="F115" s="18"/>
      <c r="G115" s="114"/>
      <c r="H115" s="107" t="s">
        <v>23</v>
      </c>
      <c r="I115" s="107"/>
      <c r="J115" s="107"/>
      <c r="K115" s="107">
        <f>120+16</f>
        <v>136</v>
      </c>
      <c r="L115" s="107">
        <f>120+56</f>
        <v>176</v>
      </c>
      <c r="M115" s="107">
        <v>120.0</v>
      </c>
      <c r="N115" s="107">
        <f>120+48</f>
        <v>168</v>
      </c>
      <c r="O115" s="107">
        <f>240+120+120</f>
        <v>480</v>
      </c>
      <c r="P115" s="107"/>
      <c r="Q115" s="107">
        <v>96.0</v>
      </c>
      <c r="R115" s="125">
        <v>240.0</v>
      </c>
      <c r="S115" s="125">
        <f>120+96</f>
        <v>216</v>
      </c>
      <c r="T115" s="112">
        <f>120+144</f>
        <v>264</v>
      </c>
      <c r="U115" s="112">
        <f t="shared" ref="U115:V115" si="27">120+120</f>
        <v>240</v>
      </c>
      <c r="V115" s="112">
        <f t="shared" si="27"/>
        <v>240</v>
      </c>
      <c r="W115" s="125"/>
      <c r="X115" s="125">
        <f>120+120+24</f>
        <v>264</v>
      </c>
      <c r="Y115" s="125">
        <f>120+144</f>
        <v>264</v>
      </c>
      <c r="Z115" s="125">
        <f>120+152</f>
        <v>272</v>
      </c>
      <c r="AA115" s="112">
        <f>112+128</f>
        <v>240</v>
      </c>
      <c r="AB115" s="125">
        <f>136+24</f>
        <v>160</v>
      </c>
      <c r="AC115" s="125">
        <f>104+80</f>
        <v>184</v>
      </c>
      <c r="AD115" s="112"/>
      <c r="AE115" s="125">
        <f>80+80</f>
        <v>160</v>
      </c>
      <c r="AF115" s="125">
        <f>120+80+120+40</f>
        <v>360</v>
      </c>
      <c r="AG115" s="125">
        <f>120+128+32</f>
        <v>280</v>
      </c>
      <c r="AH115" s="125">
        <f>128+80</f>
        <v>208</v>
      </c>
      <c r="AI115" s="112">
        <f>160+120+32</f>
        <v>312</v>
      </c>
      <c r="AJ115" s="125">
        <f>240+40</f>
        <v>280</v>
      </c>
      <c r="AK115" s="125">
        <v>460.0</v>
      </c>
      <c r="AL115" s="125"/>
      <c r="AM115" s="32"/>
      <c r="AP115" s="53"/>
    </row>
    <row r="116">
      <c r="A116" s="33"/>
      <c r="B116" s="33"/>
      <c r="C116" s="33"/>
      <c r="D116" s="33"/>
      <c r="E116" s="106"/>
      <c r="F116" s="106"/>
      <c r="G116" s="107"/>
      <c r="H116" s="107"/>
      <c r="I116" s="114"/>
      <c r="J116" s="117"/>
      <c r="K116" s="118"/>
      <c r="L116" s="118"/>
      <c r="M116" s="118"/>
      <c r="N116" s="124"/>
      <c r="O116" s="118"/>
      <c r="P116" s="114"/>
      <c r="Q116" s="118"/>
      <c r="R116" s="120"/>
      <c r="S116" s="120"/>
      <c r="T116" s="120"/>
      <c r="U116" s="120"/>
      <c r="V116" s="120"/>
      <c r="W116" s="112"/>
      <c r="X116" s="120"/>
      <c r="Y116" s="120"/>
      <c r="Z116" s="127"/>
      <c r="AA116" s="120"/>
      <c r="AB116" s="120"/>
      <c r="AC116" s="120"/>
      <c r="AD116" s="112"/>
      <c r="AE116" s="120"/>
      <c r="AF116" s="120"/>
      <c r="AG116" s="120"/>
      <c r="AH116" s="120"/>
      <c r="AI116" s="127"/>
      <c r="AJ116" s="120"/>
      <c r="AK116" s="112"/>
      <c r="AL116" s="112"/>
      <c r="AM116" s="122"/>
      <c r="AN116" s="53"/>
      <c r="AO116" s="53"/>
      <c r="AP116" s="53"/>
    </row>
    <row r="117">
      <c r="A117" s="24" t="s">
        <v>64</v>
      </c>
      <c r="B117" s="17"/>
      <c r="C117" s="17"/>
      <c r="D117" s="18"/>
      <c r="E117" s="106">
        <v>26.0</v>
      </c>
      <c r="F117" s="106" t="s">
        <v>21</v>
      </c>
      <c r="G117" s="107">
        <v>25600.0</v>
      </c>
      <c r="H117" s="107" t="s">
        <v>22</v>
      </c>
      <c r="I117" s="114"/>
      <c r="J117" s="114"/>
      <c r="K117" s="114"/>
      <c r="L117" s="114"/>
      <c r="M117" s="114"/>
      <c r="N117" s="114"/>
      <c r="O117" s="114"/>
      <c r="P117" s="114"/>
      <c r="Q117" s="114"/>
      <c r="R117" s="112"/>
      <c r="S117" s="112"/>
      <c r="T117" s="112"/>
      <c r="U117" s="112"/>
      <c r="V117" s="112"/>
      <c r="W117" s="112"/>
      <c r="X117" s="112"/>
      <c r="Y117" s="112"/>
      <c r="Z117" s="112"/>
      <c r="AA117" s="112"/>
      <c r="AB117" s="112"/>
      <c r="AC117" s="112"/>
      <c r="AD117" s="112"/>
      <c r="AE117" s="112"/>
      <c r="AF117" s="112"/>
      <c r="AG117" s="112"/>
      <c r="AH117" s="112"/>
      <c r="AI117" s="125">
        <v>13260.0</v>
      </c>
      <c r="AJ117" s="112"/>
      <c r="AK117" s="125"/>
      <c r="AL117" s="112"/>
      <c r="AM117" s="113">
        <f>G117+SUM(I117:AL117)-SUM(I118:AL118)</f>
        <v>20702</v>
      </c>
      <c r="AN117" s="53">
        <f>ROUNDDOWN((AM117/E117)/$H$4,1)</f>
        <v>26.5</v>
      </c>
      <c r="AO117" s="53">
        <f>$M$3+AN117</f>
        <v>942.5</v>
      </c>
      <c r="AP117" s="53"/>
    </row>
    <row r="118">
      <c r="A118" s="31"/>
      <c r="B118" s="17"/>
      <c r="C118" s="17"/>
      <c r="D118" s="17"/>
      <c r="E118" s="17"/>
      <c r="F118" s="18"/>
      <c r="G118" s="114"/>
      <c r="H118" s="107" t="s">
        <v>23</v>
      </c>
      <c r="I118" s="107"/>
      <c r="J118" s="107"/>
      <c r="K118" s="107">
        <v>390.0</v>
      </c>
      <c r="L118" s="107">
        <v>390.0</v>
      </c>
      <c r="M118" s="107">
        <v>390.0</v>
      </c>
      <c r="N118" s="114">
        <f>390+390</f>
        <v>780</v>
      </c>
      <c r="O118" s="107">
        <f>780+780</f>
        <v>1560</v>
      </c>
      <c r="P118" s="114"/>
      <c r="Q118" s="114"/>
      <c r="R118" s="125">
        <f t="shared" ref="R118:V118" si="28">390+390</f>
        <v>780</v>
      </c>
      <c r="S118" s="112">
        <f t="shared" si="28"/>
        <v>780</v>
      </c>
      <c r="T118" s="125">
        <f t="shared" si="28"/>
        <v>780</v>
      </c>
      <c r="U118" s="125">
        <f t="shared" si="28"/>
        <v>780</v>
      </c>
      <c r="V118" s="125">
        <f t="shared" si="28"/>
        <v>780</v>
      </c>
      <c r="W118" s="125"/>
      <c r="X118" s="125">
        <f>390+390</f>
        <v>780</v>
      </c>
      <c r="Y118" s="125">
        <f t="shared" ref="Y118:Z118" si="29">468+390</f>
        <v>858</v>
      </c>
      <c r="Z118" s="125">
        <f t="shared" si="29"/>
        <v>858</v>
      </c>
      <c r="AA118" s="125">
        <f>390+416</f>
        <v>806</v>
      </c>
      <c r="AB118" s="125">
        <f>390+130</f>
        <v>520</v>
      </c>
      <c r="AC118" s="125">
        <v>598.0</v>
      </c>
      <c r="AD118" s="112"/>
      <c r="AE118" s="125">
        <v>390.0</v>
      </c>
      <c r="AF118" s="125">
        <f>390+390+390</f>
        <v>1170</v>
      </c>
      <c r="AG118" s="125">
        <f>390+390</f>
        <v>780</v>
      </c>
      <c r="AH118" s="125">
        <f>416+260+88</f>
        <v>764</v>
      </c>
      <c r="AI118" s="125">
        <f>442+468+104</f>
        <v>1014</v>
      </c>
      <c r="AJ118" s="112">
        <f>520+390</f>
        <v>910</v>
      </c>
      <c r="AK118" s="125">
        <v>390.0</v>
      </c>
      <c r="AL118" s="125">
        <v>910.0</v>
      </c>
      <c r="AM118" s="32"/>
      <c r="AP118" s="53"/>
    </row>
    <row r="119">
      <c r="A119" s="33"/>
      <c r="B119" s="33"/>
      <c r="C119" s="33"/>
      <c r="D119" s="33"/>
      <c r="E119" s="106"/>
      <c r="F119" s="106"/>
      <c r="G119" s="107"/>
      <c r="H119" s="107"/>
      <c r="I119" s="114"/>
      <c r="J119" s="117"/>
      <c r="K119" s="118"/>
      <c r="L119" s="118"/>
      <c r="M119" s="118"/>
      <c r="N119" s="118"/>
      <c r="O119" s="118"/>
      <c r="P119" s="114"/>
      <c r="Q119" s="117"/>
      <c r="R119" s="120"/>
      <c r="S119" s="120"/>
      <c r="T119" s="120"/>
      <c r="U119" s="120"/>
      <c r="V119" s="120"/>
      <c r="W119" s="112"/>
      <c r="X119" s="120"/>
      <c r="Y119" s="120"/>
      <c r="Z119" s="120"/>
      <c r="AA119" s="120"/>
      <c r="AB119" s="120"/>
      <c r="AC119" s="120"/>
      <c r="AD119" s="112"/>
      <c r="AE119" s="120"/>
      <c r="AF119" s="120"/>
      <c r="AG119" s="120"/>
      <c r="AH119" s="120"/>
      <c r="AI119" s="120"/>
      <c r="AJ119" s="120"/>
      <c r="AK119" s="112"/>
      <c r="AL119" s="112"/>
      <c r="AM119" s="122"/>
      <c r="AN119" s="53"/>
      <c r="AO119" s="53"/>
      <c r="AP119" s="53"/>
    </row>
    <row r="120">
      <c r="A120" s="24" t="s">
        <v>65</v>
      </c>
      <c r="B120" s="17"/>
      <c r="C120" s="17"/>
      <c r="D120" s="18"/>
      <c r="E120" s="106">
        <v>2.0</v>
      </c>
      <c r="F120" s="106" t="s">
        <v>21</v>
      </c>
      <c r="G120" s="107">
        <v>45949.0</v>
      </c>
      <c r="H120" s="107" t="s">
        <v>22</v>
      </c>
      <c r="I120" s="114"/>
      <c r="J120" s="114"/>
      <c r="K120" s="114"/>
      <c r="L120" s="114"/>
      <c r="M120" s="114"/>
      <c r="N120" s="114"/>
      <c r="O120" s="114"/>
      <c r="P120" s="114"/>
      <c r="Q120" s="114"/>
      <c r="R120" s="112"/>
      <c r="S120" s="112"/>
      <c r="T120" s="112"/>
      <c r="U120" s="112"/>
      <c r="V120" s="112"/>
      <c r="W120" s="112"/>
      <c r="X120" s="11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3">
        <f>G120+SUM(I120:AL120)-SUM(I121:AL121)</f>
        <v>44551</v>
      </c>
      <c r="AN120" s="53">
        <f>ROUNDDOWN((AM120/E120)/$H$4,1)</f>
        <v>742.5</v>
      </c>
      <c r="AO120" s="53">
        <f>$M$3+AN120</f>
        <v>1658.5</v>
      </c>
      <c r="AP120" s="53"/>
    </row>
    <row r="121">
      <c r="A121" s="31"/>
      <c r="B121" s="17"/>
      <c r="C121" s="17"/>
      <c r="D121" s="17"/>
      <c r="E121" s="17"/>
      <c r="F121" s="18"/>
      <c r="G121" s="114"/>
      <c r="H121" s="107" t="s">
        <v>23</v>
      </c>
      <c r="I121" s="107"/>
      <c r="J121" s="107"/>
      <c r="K121" s="107">
        <v>30.0</v>
      </c>
      <c r="L121" s="107">
        <v>30.0</v>
      </c>
      <c r="M121" s="107">
        <v>30.0</v>
      </c>
      <c r="N121" s="114">
        <f>30+30</f>
        <v>60</v>
      </c>
      <c r="O121" s="107">
        <f>60+60</f>
        <v>120</v>
      </c>
      <c r="P121" s="114"/>
      <c r="Q121" s="114"/>
      <c r="R121" s="125">
        <f t="shared" ref="R121:V121" si="30">30+30</f>
        <v>60</v>
      </c>
      <c r="S121" s="112">
        <f t="shared" si="30"/>
        <v>60</v>
      </c>
      <c r="T121" s="125">
        <f t="shared" si="30"/>
        <v>60</v>
      </c>
      <c r="U121" s="125">
        <f t="shared" si="30"/>
        <v>60</v>
      </c>
      <c r="V121" s="125">
        <f t="shared" si="30"/>
        <v>60</v>
      </c>
      <c r="W121" s="125"/>
      <c r="X121" s="125">
        <f>30+30</f>
        <v>60</v>
      </c>
      <c r="Y121" s="125">
        <f>30+36</f>
        <v>66</v>
      </c>
      <c r="Z121" s="125">
        <f>36+30</f>
        <v>66</v>
      </c>
      <c r="AA121" s="125">
        <f>30+32</f>
        <v>62</v>
      </c>
      <c r="AB121" s="125">
        <f>30+10</f>
        <v>40</v>
      </c>
      <c r="AC121" s="125">
        <v>46.0</v>
      </c>
      <c r="AD121" s="112"/>
      <c r="AE121" s="125">
        <v>30.0</v>
      </c>
      <c r="AF121" s="125">
        <f>30+30+30</f>
        <v>90</v>
      </c>
      <c r="AG121" s="125">
        <f>30+30</f>
        <v>60</v>
      </c>
      <c r="AH121" s="125">
        <f>32+20+8</f>
        <v>60</v>
      </c>
      <c r="AI121" s="125">
        <f>34+36+8</f>
        <v>78</v>
      </c>
      <c r="AJ121" s="112">
        <f>40+30</f>
        <v>70</v>
      </c>
      <c r="AK121" s="125">
        <v>30.0</v>
      </c>
      <c r="AL121" s="125">
        <v>70.0</v>
      </c>
      <c r="AM121" s="32"/>
      <c r="AP121" s="53"/>
    </row>
    <row r="122">
      <c r="A122" s="33"/>
      <c r="B122" s="33"/>
      <c r="C122" s="33"/>
      <c r="D122" s="33"/>
      <c r="E122" s="106"/>
      <c r="F122" s="106"/>
      <c r="G122" s="126"/>
      <c r="H122" s="107"/>
      <c r="I122" s="114"/>
      <c r="J122" s="117"/>
      <c r="K122" s="118"/>
      <c r="L122" s="118"/>
      <c r="M122" s="118"/>
      <c r="N122" s="118"/>
      <c r="O122" s="118"/>
      <c r="P122" s="114"/>
      <c r="Q122" s="117"/>
      <c r="R122" s="120"/>
      <c r="S122" s="120"/>
      <c r="T122" s="120"/>
      <c r="U122" s="120"/>
      <c r="V122" s="120"/>
      <c r="W122" s="112"/>
      <c r="X122" s="120"/>
      <c r="Y122" s="120"/>
      <c r="Z122" s="120"/>
      <c r="AA122" s="120"/>
      <c r="AB122" s="120"/>
      <c r="AC122" s="120"/>
      <c r="AD122" s="112"/>
      <c r="AE122" s="120"/>
      <c r="AF122" s="120"/>
      <c r="AG122" s="120"/>
      <c r="AH122" s="120"/>
      <c r="AI122" s="120"/>
      <c r="AJ122" s="120"/>
      <c r="AK122" s="112"/>
      <c r="AL122" s="112"/>
      <c r="AM122" s="122"/>
      <c r="AN122" s="53"/>
      <c r="AO122" s="53"/>
      <c r="AP122" s="53"/>
    </row>
    <row r="123">
      <c r="A123" s="24" t="s">
        <v>66</v>
      </c>
      <c r="B123" s="17"/>
      <c r="C123" s="17"/>
      <c r="D123" s="18"/>
      <c r="E123" s="106">
        <v>10.0</v>
      </c>
      <c r="F123" s="106" t="s">
        <v>21</v>
      </c>
      <c r="G123" s="126">
        <v>14024.0</v>
      </c>
      <c r="H123" s="107" t="s">
        <v>22</v>
      </c>
      <c r="I123" s="114"/>
      <c r="J123" s="114"/>
      <c r="K123" s="114"/>
      <c r="L123" s="114"/>
      <c r="M123" s="114"/>
      <c r="N123" s="114"/>
      <c r="O123" s="114"/>
      <c r="P123" s="114"/>
      <c r="Q123" s="114"/>
      <c r="R123" s="112"/>
      <c r="S123" s="112"/>
      <c r="T123" s="112"/>
      <c r="U123" s="112"/>
      <c r="V123" s="112"/>
      <c r="W123" s="112"/>
      <c r="X123" s="11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3">
        <f>G123+SUM(I123:AL123)-SUM(I124:AL124)</f>
        <v>7230</v>
      </c>
      <c r="AN123" s="53">
        <f>ROUNDDOWN((AM123/E123)/$H$4,1)</f>
        <v>24.1</v>
      </c>
      <c r="AO123" s="53">
        <f>$M$3+AN123</f>
        <v>940.1</v>
      </c>
      <c r="AP123" s="53"/>
    </row>
    <row r="124">
      <c r="A124" s="31"/>
      <c r="B124" s="17"/>
      <c r="C124" s="17"/>
      <c r="D124" s="17"/>
      <c r="E124" s="17"/>
      <c r="F124" s="18"/>
      <c r="G124" s="114"/>
      <c r="H124" s="107" t="s">
        <v>23</v>
      </c>
      <c r="I124" s="107"/>
      <c r="J124" s="107"/>
      <c r="K124" s="107">
        <f>90+120</f>
        <v>210</v>
      </c>
      <c r="L124" s="107">
        <f>90+60</f>
        <v>150</v>
      </c>
      <c r="M124" s="107">
        <f>90+120</f>
        <v>210</v>
      </c>
      <c r="N124" s="107">
        <f>90+90+60</f>
        <v>240</v>
      </c>
      <c r="O124" s="107">
        <f>180+180+60</f>
        <v>420</v>
      </c>
      <c r="P124" s="107"/>
      <c r="Q124" s="107">
        <v>120.0</v>
      </c>
      <c r="R124" s="125">
        <f t="shared" ref="R124:V124" si="31">90+90+120</f>
        <v>300</v>
      </c>
      <c r="S124" s="125">
        <f t="shared" si="31"/>
        <v>300</v>
      </c>
      <c r="T124" s="125">
        <f t="shared" si="31"/>
        <v>300</v>
      </c>
      <c r="U124" s="125">
        <f t="shared" si="31"/>
        <v>300</v>
      </c>
      <c r="V124" s="125">
        <f t="shared" si="31"/>
        <v>300</v>
      </c>
      <c r="W124" s="125"/>
      <c r="X124" s="125">
        <f>90+90+60+60</f>
        <v>300</v>
      </c>
      <c r="Y124" s="125">
        <f>90+108+120</f>
        <v>318</v>
      </c>
      <c r="Z124" s="125">
        <f>108+90+120</f>
        <v>318</v>
      </c>
      <c r="AA124" s="125">
        <f>90+96+120</f>
        <v>306</v>
      </c>
      <c r="AB124" s="125">
        <f>90+30+120</f>
        <v>240</v>
      </c>
      <c r="AC124" s="125">
        <f>138+60</f>
        <v>198</v>
      </c>
      <c r="AD124" s="112"/>
      <c r="AE124" s="125">
        <f>90+40+32</f>
        <v>162</v>
      </c>
      <c r="AF124" s="125">
        <f>90+90+90+60+36</f>
        <v>366</v>
      </c>
      <c r="AG124" s="112">
        <f>60+80</f>
        <v>140</v>
      </c>
      <c r="AH124" s="125">
        <f>96+60+24+108+60</f>
        <v>348</v>
      </c>
      <c r="AI124" s="125">
        <f>102+108+136+24</f>
        <v>370</v>
      </c>
      <c r="AJ124" s="112">
        <f>120+90+156</f>
        <v>366</v>
      </c>
      <c r="AK124" s="125">
        <v>90.0</v>
      </c>
      <c r="AL124" s="125">
        <f>210+100+112</f>
        <v>422</v>
      </c>
      <c r="AM124" s="32"/>
      <c r="AP124" s="53"/>
    </row>
    <row r="125">
      <c r="A125" s="33"/>
      <c r="B125" s="33"/>
      <c r="C125" s="33"/>
      <c r="D125" s="33"/>
      <c r="E125" s="106"/>
      <c r="F125" s="106"/>
      <c r="G125" s="107"/>
      <c r="H125" s="107"/>
      <c r="I125" s="114"/>
      <c r="J125" s="117"/>
      <c r="K125" s="118"/>
      <c r="L125" s="118"/>
      <c r="M125" s="118"/>
      <c r="N125" s="118"/>
      <c r="O125" s="118"/>
      <c r="P125" s="114"/>
      <c r="Q125" s="118"/>
      <c r="R125" s="120"/>
      <c r="S125" s="120"/>
      <c r="T125" s="120"/>
      <c r="U125" s="120"/>
      <c r="V125" s="120"/>
      <c r="W125" s="112"/>
      <c r="X125" s="120"/>
      <c r="Y125" s="120"/>
      <c r="Z125" s="120"/>
      <c r="AA125" s="120"/>
      <c r="AB125" s="120"/>
      <c r="AC125" s="120"/>
      <c r="AD125" s="112"/>
      <c r="AE125" s="120"/>
      <c r="AF125" s="120"/>
      <c r="AG125" s="120"/>
      <c r="AH125" s="120"/>
      <c r="AI125" s="120"/>
      <c r="AJ125" s="120"/>
      <c r="AK125" s="112"/>
      <c r="AL125" s="112"/>
      <c r="AM125" s="122"/>
      <c r="AN125" s="53"/>
      <c r="AO125" s="53"/>
      <c r="AP125" s="53"/>
    </row>
    <row r="126">
      <c r="A126" s="24" t="s">
        <v>67</v>
      </c>
      <c r="B126" s="17"/>
      <c r="C126" s="17"/>
      <c r="D126" s="18"/>
      <c r="E126" s="106">
        <v>6.0</v>
      </c>
      <c r="F126" s="106" t="s">
        <v>21</v>
      </c>
      <c r="G126" s="107">
        <v>68011.0</v>
      </c>
      <c r="H126" s="107" t="s">
        <v>22</v>
      </c>
      <c r="I126" s="114"/>
      <c r="J126" s="114"/>
      <c r="K126" s="114"/>
      <c r="L126" s="114"/>
      <c r="M126" s="114"/>
      <c r="N126" s="114"/>
      <c r="O126" s="114"/>
      <c r="P126" s="114"/>
      <c r="Q126" s="114"/>
      <c r="R126" s="112"/>
      <c r="S126" s="112"/>
      <c r="T126" s="112"/>
      <c r="U126" s="112"/>
      <c r="V126" s="112"/>
      <c r="W126" s="112"/>
      <c r="X126" s="112"/>
      <c r="Y126" s="112"/>
      <c r="Z126" s="112"/>
      <c r="AA126" s="112"/>
      <c r="AB126" s="112"/>
      <c r="AC126" s="112"/>
      <c r="AD126" s="112"/>
      <c r="AE126" s="112"/>
      <c r="AF126" s="112"/>
      <c r="AG126" s="112"/>
      <c r="AH126" s="112"/>
      <c r="AI126" s="112"/>
      <c r="AJ126" s="112"/>
      <c r="AK126" s="112"/>
      <c r="AL126" s="112"/>
      <c r="AM126" s="113">
        <f>G126+SUM(I126:AL126)-SUM(I127:AL127)</f>
        <v>64003</v>
      </c>
      <c r="AN126" s="53">
        <f>ROUNDDOWN((AM126/E126)/$H$4,1)</f>
        <v>355.5</v>
      </c>
      <c r="AO126" s="53">
        <f>$M$3+AN126</f>
        <v>1271.5</v>
      </c>
      <c r="AP126" s="53"/>
    </row>
    <row r="127">
      <c r="A127" s="31"/>
      <c r="B127" s="17"/>
      <c r="C127" s="17"/>
      <c r="D127" s="17"/>
      <c r="E127" s="17"/>
      <c r="F127" s="18"/>
      <c r="G127" s="114"/>
      <c r="H127" s="107" t="s">
        <v>23</v>
      </c>
      <c r="I127" s="107"/>
      <c r="J127" s="107"/>
      <c r="K127" s="107">
        <v>180.0</v>
      </c>
      <c r="L127" s="107">
        <v>90.0</v>
      </c>
      <c r="M127" s="107">
        <v>180.0</v>
      </c>
      <c r="N127" s="107">
        <v>90.0</v>
      </c>
      <c r="O127" s="107">
        <v>90.0</v>
      </c>
      <c r="P127" s="107"/>
      <c r="Q127" s="107">
        <v>180.0</v>
      </c>
      <c r="R127" s="125">
        <v>180.0</v>
      </c>
      <c r="S127" s="125">
        <v>180.0</v>
      </c>
      <c r="T127" s="125">
        <v>180.0</v>
      </c>
      <c r="U127" s="125">
        <v>180.0</v>
      </c>
      <c r="V127" s="125">
        <v>180.0</v>
      </c>
      <c r="W127" s="125"/>
      <c r="X127" s="125">
        <f>90+90</f>
        <v>180</v>
      </c>
      <c r="Y127" s="125">
        <v>180.0</v>
      </c>
      <c r="Z127" s="125">
        <v>180.0</v>
      </c>
      <c r="AA127" s="125">
        <v>180.0</v>
      </c>
      <c r="AB127" s="125">
        <v>180.0</v>
      </c>
      <c r="AC127" s="125">
        <v>90.0</v>
      </c>
      <c r="AD127" s="125"/>
      <c r="AE127" s="125">
        <f>60+48</f>
        <v>108</v>
      </c>
      <c r="AF127" s="125">
        <f>90+54</f>
        <v>144</v>
      </c>
      <c r="AG127" s="125">
        <f>90+120</f>
        <v>210</v>
      </c>
      <c r="AH127" s="125">
        <f>162+90</f>
        <v>252</v>
      </c>
      <c r="AI127" s="125">
        <v>204.0</v>
      </c>
      <c r="AJ127" s="125">
        <v>156.0</v>
      </c>
      <c r="AK127" s="125"/>
      <c r="AL127" s="125">
        <f>150+84</f>
        <v>234</v>
      </c>
      <c r="AM127" s="32"/>
      <c r="AP127" s="53"/>
    </row>
    <row r="128">
      <c r="A128" s="33"/>
      <c r="B128" s="33"/>
      <c r="C128" s="33"/>
      <c r="D128" s="33"/>
      <c r="E128" s="106"/>
      <c r="F128" s="106"/>
      <c r="G128" s="107"/>
      <c r="H128" s="107"/>
      <c r="I128" s="114"/>
      <c r="J128" s="117"/>
      <c r="K128" s="118"/>
      <c r="L128" s="118"/>
      <c r="M128" s="118"/>
      <c r="N128" s="118"/>
      <c r="O128" s="118"/>
      <c r="P128" s="114"/>
      <c r="Q128" s="118"/>
      <c r="R128" s="120"/>
      <c r="S128" s="120"/>
      <c r="T128" s="120"/>
      <c r="U128" s="120"/>
      <c r="V128" s="120"/>
      <c r="W128" s="112"/>
      <c r="X128" s="120"/>
      <c r="Y128" s="120"/>
      <c r="Z128" s="120"/>
      <c r="AA128" s="120"/>
      <c r="AB128" s="120"/>
      <c r="AC128" s="120"/>
      <c r="AD128" s="112"/>
      <c r="AE128" s="120"/>
      <c r="AF128" s="120"/>
      <c r="AG128" s="120"/>
      <c r="AH128" s="120"/>
      <c r="AI128" s="127"/>
      <c r="AJ128" s="120"/>
      <c r="AK128" s="112"/>
      <c r="AL128" s="112"/>
      <c r="AM128" s="122"/>
      <c r="AN128" s="53"/>
      <c r="AO128" s="53"/>
      <c r="AP128" s="53"/>
    </row>
    <row r="129">
      <c r="A129" s="24" t="s">
        <v>68</v>
      </c>
      <c r="B129" s="17"/>
      <c r="C129" s="17"/>
      <c r="D129" s="18"/>
      <c r="E129" s="106">
        <v>12.0</v>
      </c>
      <c r="F129" s="106" t="s">
        <v>21</v>
      </c>
      <c r="G129" s="107">
        <v>11391.0</v>
      </c>
      <c r="H129" s="107" t="s">
        <v>22</v>
      </c>
      <c r="I129" s="114"/>
      <c r="J129" s="114"/>
      <c r="K129" s="114"/>
      <c r="L129" s="114"/>
      <c r="M129" s="114"/>
      <c r="N129" s="114"/>
      <c r="O129" s="114"/>
      <c r="P129" s="114"/>
      <c r="Q129" s="114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25">
        <v>5100.0</v>
      </c>
      <c r="AJ129" s="112"/>
      <c r="AK129" s="125"/>
      <c r="AL129" s="112"/>
      <c r="AM129" s="113">
        <f>G129+SUM(I129:AL129)-SUM(I130:AL130)</f>
        <v>8289</v>
      </c>
      <c r="AN129" s="53">
        <f>ROUNDDOWN((AM129/E129)/$H$4,1)</f>
        <v>23</v>
      </c>
      <c r="AO129" s="53">
        <f>$M$3+AN129</f>
        <v>939</v>
      </c>
      <c r="AP129" s="53"/>
    </row>
    <row r="130">
      <c r="A130" s="31"/>
      <c r="B130" s="17"/>
      <c r="C130" s="17"/>
      <c r="D130" s="17"/>
      <c r="E130" s="17"/>
      <c r="F130" s="18"/>
      <c r="G130" s="114"/>
      <c r="H130" s="107" t="s">
        <v>23</v>
      </c>
      <c r="I130" s="107"/>
      <c r="J130" s="107"/>
      <c r="K130" s="107">
        <f>90+180</f>
        <v>270</v>
      </c>
      <c r="L130" s="107">
        <f>90+90</f>
        <v>180</v>
      </c>
      <c r="M130" s="107">
        <f>90+180</f>
        <v>270</v>
      </c>
      <c r="N130" s="114">
        <f>90+90+90</f>
        <v>270</v>
      </c>
      <c r="O130" s="107">
        <f>180+180+90</f>
        <v>450</v>
      </c>
      <c r="P130" s="107"/>
      <c r="Q130" s="107">
        <v>180.0</v>
      </c>
      <c r="R130" s="125">
        <f t="shared" ref="R130:V130" si="32">90+90+180</f>
        <v>360</v>
      </c>
      <c r="S130" s="125">
        <f t="shared" si="32"/>
        <v>360</v>
      </c>
      <c r="T130" s="125">
        <f t="shared" si="32"/>
        <v>360</v>
      </c>
      <c r="U130" s="125">
        <f t="shared" si="32"/>
        <v>360</v>
      </c>
      <c r="V130" s="125">
        <f t="shared" si="32"/>
        <v>360</v>
      </c>
      <c r="W130" s="125"/>
      <c r="X130" s="125">
        <f>90+90+90+90</f>
        <v>360</v>
      </c>
      <c r="Y130" s="125">
        <f>90+108+180</f>
        <v>378</v>
      </c>
      <c r="Z130" s="125">
        <f>108+90+180</f>
        <v>378</v>
      </c>
      <c r="AA130" s="125">
        <f>90+96+180</f>
        <v>366</v>
      </c>
      <c r="AB130" s="125">
        <f>90+30+180</f>
        <v>300</v>
      </c>
      <c r="AC130" s="125">
        <f>138+90</f>
        <v>228</v>
      </c>
      <c r="AD130" s="112"/>
      <c r="AE130" s="125">
        <f>90+60+48</f>
        <v>198</v>
      </c>
      <c r="AF130" s="125">
        <f>90+90+90+90+54</f>
        <v>414</v>
      </c>
      <c r="AG130" s="112">
        <f>90+90+90+120</f>
        <v>390</v>
      </c>
      <c r="AH130" s="125">
        <f>96+60+24+162+90</f>
        <v>432</v>
      </c>
      <c r="AI130" s="125">
        <f>102+108+204+24</f>
        <v>438</v>
      </c>
      <c r="AJ130" s="112">
        <f>120+90+156</f>
        <v>366</v>
      </c>
      <c r="AK130" s="125">
        <v>90.0</v>
      </c>
      <c r="AL130" s="125">
        <f>210+150+84</f>
        <v>444</v>
      </c>
      <c r="AM130" s="32"/>
      <c r="AP130" s="53"/>
    </row>
    <row r="131">
      <c r="A131" s="33"/>
      <c r="B131" s="33"/>
      <c r="C131" s="33"/>
      <c r="D131" s="33"/>
      <c r="E131" s="106"/>
      <c r="F131" s="106"/>
      <c r="G131" s="107"/>
      <c r="H131" s="107"/>
      <c r="I131" s="114"/>
      <c r="J131" s="117"/>
      <c r="K131" s="118"/>
      <c r="L131" s="118"/>
      <c r="M131" s="118"/>
      <c r="N131" s="118"/>
      <c r="O131" s="118"/>
      <c r="P131" s="114"/>
      <c r="Q131" s="118"/>
      <c r="R131" s="120"/>
      <c r="S131" s="120"/>
      <c r="T131" s="120"/>
      <c r="U131" s="120"/>
      <c r="V131" s="127"/>
      <c r="W131" s="112"/>
      <c r="X131" s="120"/>
      <c r="Y131" s="120"/>
      <c r="Z131" s="120"/>
      <c r="AA131" s="120"/>
      <c r="AB131" s="120"/>
      <c r="AC131" s="120"/>
      <c r="AD131" s="112"/>
      <c r="AE131" s="120"/>
      <c r="AF131" s="230"/>
      <c r="AG131" s="120"/>
      <c r="AH131" s="120"/>
      <c r="AI131" s="120"/>
      <c r="AJ131" s="120"/>
      <c r="AK131" s="112"/>
      <c r="AL131" s="112"/>
      <c r="AM131" s="122"/>
      <c r="AN131" s="53"/>
      <c r="AO131" s="53"/>
      <c r="AP131" s="53"/>
    </row>
    <row r="132">
      <c r="A132" s="24" t="s">
        <v>132</v>
      </c>
      <c r="B132" s="17"/>
      <c r="C132" s="17"/>
      <c r="D132" s="18"/>
      <c r="E132" s="106">
        <v>6.0</v>
      </c>
      <c r="F132" s="106" t="s">
        <v>21</v>
      </c>
      <c r="G132" s="107">
        <v>58687.0</v>
      </c>
      <c r="H132" s="107" t="s">
        <v>22</v>
      </c>
      <c r="I132" s="114"/>
      <c r="J132" s="114"/>
      <c r="K132" s="114"/>
      <c r="L132" s="114"/>
      <c r="M132" s="114"/>
      <c r="N132" s="114"/>
      <c r="O132" s="114"/>
      <c r="P132" s="114"/>
      <c r="Q132" s="107"/>
      <c r="R132" s="112"/>
      <c r="S132" s="112"/>
      <c r="T132" s="112"/>
      <c r="U132" s="112"/>
      <c r="V132" s="112"/>
      <c r="W132" s="112"/>
      <c r="X132" s="112"/>
      <c r="Y132" s="112"/>
      <c r="Z132" s="112"/>
      <c r="AA132" s="112"/>
      <c r="AB132" s="112"/>
      <c r="AC132" s="112"/>
      <c r="AD132" s="112"/>
      <c r="AE132" s="112"/>
      <c r="AF132" s="112"/>
      <c r="AG132" s="112"/>
      <c r="AH132" s="112"/>
      <c r="AI132" s="112"/>
      <c r="AJ132" s="112"/>
      <c r="AK132" s="112"/>
      <c r="AL132" s="112"/>
      <c r="AM132" s="113">
        <f>G132+SUM(I132:AL132)-SUM(I133:AL133)</f>
        <v>54877</v>
      </c>
      <c r="AN132" s="53">
        <f>ROUNDDOWN((AM132/E132)/$H$4,1)</f>
        <v>304.8</v>
      </c>
      <c r="AO132" s="53">
        <f>$M$3+AN132</f>
        <v>1220.8</v>
      </c>
      <c r="AP132" s="53"/>
    </row>
    <row r="133">
      <c r="A133" s="31"/>
      <c r="B133" s="17"/>
      <c r="C133" s="17"/>
      <c r="D133" s="17"/>
      <c r="E133" s="17"/>
      <c r="F133" s="18"/>
      <c r="G133" s="114"/>
      <c r="H133" s="107" t="s">
        <v>23</v>
      </c>
      <c r="I133" s="107"/>
      <c r="J133" s="107"/>
      <c r="K133" s="107"/>
      <c r="L133" s="107">
        <v>180.0</v>
      </c>
      <c r="M133" s="107">
        <v>90.0</v>
      </c>
      <c r="N133" s="107">
        <v>90.0</v>
      </c>
      <c r="O133" s="107">
        <f>180+90</f>
        <v>270</v>
      </c>
      <c r="P133" s="107"/>
      <c r="Q133" s="107">
        <v>180.0</v>
      </c>
      <c r="R133" s="125">
        <v>180.0</v>
      </c>
      <c r="S133" s="125">
        <v>180.0</v>
      </c>
      <c r="T133" s="125"/>
      <c r="U133" s="125">
        <v>180.0</v>
      </c>
      <c r="V133" s="125">
        <v>180.0</v>
      </c>
      <c r="W133" s="125"/>
      <c r="X133" s="125">
        <v>180.0</v>
      </c>
      <c r="Y133" s="125">
        <v>180.0</v>
      </c>
      <c r="Z133" s="125">
        <v>180.0</v>
      </c>
      <c r="AA133" s="125">
        <v>180.0</v>
      </c>
      <c r="AB133" s="125">
        <v>180.0</v>
      </c>
      <c r="AC133" s="125">
        <v>90.0</v>
      </c>
      <c r="AD133" s="125"/>
      <c r="AE133" s="125">
        <v>180.0</v>
      </c>
      <c r="AF133" s="125">
        <v>180.0</v>
      </c>
      <c r="AG133" s="125">
        <v>210.0</v>
      </c>
      <c r="AH133" s="125">
        <v>180.0</v>
      </c>
      <c r="AI133" s="125">
        <v>180.0</v>
      </c>
      <c r="AJ133" s="125">
        <v>180.0</v>
      </c>
      <c r="AK133" s="125"/>
      <c r="AL133" s="125">
        <v>180.0</v>
      </c>
      <c r="AM133" s="32"/>
      <c r="AP133" s="53"/>
    </row>
    <row r="134">
      <c r="A134" s="33"/>
      <c r="B134" s="33"/>
      <c r="C134" s="33"/>
      <c r="D134" s="33"/>
      <c r="E134" s="106"/>
      <c r="F134" s="106"/>
      <c r="G134" s="107"/>
      <c r="H134" s="107"/>
      <c r="I134" s="114"/>
      <c r="J134" s="117"/>
      <c r="K134" s="117"/>
      <c r="L134" s="118"/>
      <c r="M134" s="118"/>
      <c r="N134" s="118"/>
      <c r="O134" s="118"/>
      <c r="P134" s="114"/>
      <c r="Q134" s="118"/>
      <c r="R134" s="120"/>
      <c r="S134" s="120"/>
      <c r="T134" s="119"/>
      <c r="U134" s="120"/>
      <c r="V134" s="120"/>
      <c r="W134" s="112"/>
      <c r="X134" s="120"/>
      <c r="Y134" s="120"/>
      <c r="Z134" s="120"/>
      <c r="AA134" s="120"/>
      <c r="AB134" s="120"/>
      <c r="AC134" s="120"/>
      <c r="AD134" s="112"/>
      <c r="AE134" s="120"/>
      <c r="AF134" s="120"/>
      <c r="AG134" s="120"/>
      <c r="AH134" s="120"/>
      <c r="AI134" s="120"/>
      <c r="AJ134" s="120"/>
      <c r="AK134" s="112"/>
      <c r="AL134" s="112"/>
      <c r="AM134" s="122"/>
      <c r="AN134" s="53"/>
      <c r="AO134" s="53"/>
      <c r="AP134" s="53"/>
    </row>
    <row r="135">
      <c r="A135" s="24" t="s">
        <v>70</v>
      </c>
      <c r="B135" s="17"/>
      <c r="C135" s="17"/>
      <c r="D135" s="18"/>
      <c r="E135" s="106">
        <v>8.0</v>
      </c>
      <c r="F135" s="106" t="s">
        <v>21</v>
      </c>
      <c r="G135" s="107">
        <f>4080+3808</f>
        <v>7888</v>
      </c>
      <c r="H135" s="107" t="s">
        <v>22</v>
      </c>
      <c r="I135" s="114"/>
      <c r="J135" s="114"/>
      <c r="K135" s="114"/>
      <c r="L135" s="114"/>
      <c r="M135" s="114"/>
      <c r="N135" s="114"/>
      <c r="O135" s="114"/>
      <c r="P135" s="114"/>
      <c r="Q135" s="114"/>
      <c r="R135" s="112"/>
      <c r="S135" s="112"/>
      <c r="T135" s="112"/>
      <c r="U135" s="112"/>
      <c r="V135" s="112"/>
      <c r="W135" s="112"/>
      <c r="X135" s="112"/>
      <c r="Y135" s="112"/>
      <c r="Z135" s="112"/>
      <c r="AA135" s="112"/>
      <c r="AB135" s="112"/>
      <c r="AC135" s="125"/>
      <c r="AD135" s="112"/>
      <c r="AE135" s="112"/>
      <c r="AF135" s="112"/>
      <c r="AG135" s="112"/>
      <c r="AH135" s="112"/>
      <c r="AI135" s="125">
        <v>2160.0</v>
      </c>
      <c r="AJ135" s="112"/>
      <c r="AK135" s="112"/>
      <c r="AL135" s="112"/>
      <c r="AM135" s="113">
        <f>G135+SUM(I135:AL135)-SUM(I136:AL136)</f>
        <v>5020</v>
      </c>
      <c r="AN135" s="53">
        <f>ROUNDDOWN((AM135/E135)/$H$4,1)</f>
        <v>20.9</v>
      </c>
      <c r="AO135" s="53">
        <f>$M$3+AN135</f>
        <v>936.9</v>
      </c>
      <c r="AP135" s="53"/>
    </row>
    <row r="136">
      <c r="A136" s="31"/>
      <c r="B136" s="17"/>
      <c r="C136" s="17"/>
      <c r="D136" s="17"/>
      <c r="E136" s="17"/>
      <c r="F136" s="18"/>
      <c r="G136" s="114"/>
      <c r="H136" s="107" t="s">
        <v>23</v>
      </c>
      <c r="I136" s="107"/>
      <c r="J136" s="107"/>
      <c r="K136" s="107">
        <v>30.0</v>
      </c>
      <c r="L136" s="107">
        <f>30+180</f>
        <v>210</v>
      </c>
      <c r="M136" s="107">
        <f>30+90</f>
        <v>120</v>
      </c>
      <c r="N136" s="107">
        <f>30+30+90</f>
        <v>150</v>
      </c>
      <c r="O136" s="107">
        <f>60+60+180+90</f>
        <v>390</v>
      </c>
      <c r="P136" s="107"/>
      <c r="Q136" s="107">
        <v>180.0</v>
      </c>
      <c r="R136" s="125">
        <f t="shared" ref="R136:S136" si="33">30+30+180</f>
        <v>240</v>
      </c>
      <c r="S136" s="112">
        <f t="shared" si="33"/>
        <v>240</v>
      </c>
      <c r="T136" s="125">
        <f>30+30</f>
        <v>60</v>
      </c>
      <c r="U136" s="125">
        <f t="shared" ref="U136:V136" si="34">30+30+180</f>
        <v>240</v>
      </c>
      <c r="V136" s="125">
        <f t="shared" si="34"/>
        <v>240</v>
      </c>
      <c r="W136" s="125"/>
      <c r="X136" s="125">
        <f>30+30+180</f>
        <v>240</v>
      </c>
      <c r="Y136" s="125">
        <f>30+36+180</f>
        <v>246</v>
      </c>
      <c r="Z136" s="125">
        <f>36+30</f>
        <v>66</v>
      </c>
      <c r="AA136" s="125">
        <f>30+32+180</f>
        <v>242</v>
      </c>
      <c r="AB136" s="125">
        <f>30+10+180</f>
        <v>220</v>
      </c>
      <c r="AC136" s="125">
        <f>46+90</f>
        <v>136</v>
      </c>
      <c r="AD136" s="112"/>
      <c r="AE136" s="125">
        <f>30+180</f>
        <v>210</v>
      </c>
      <c r="AF136" s="125">
        <f>30+30+30+180</f>
        <v>270</v>
      </c>
      <c r="AG136" s="112">
        <f>30+30+210</f>
        <v>270</v>
      </c>
      <c r="AH136" s="125">
        <f>32+20+8+180</f>
        <v>240</v>
      </c>
      <c r="AI136" s="125">
        <f>34+36+180+8</f>
        <v>258</v>
      </c>
      <c r="AJ136" s="112">
        <f>40+30+180</f>
        <v>250</v>
      </c>
      <c r="AK136" s="125">
        <v>30.0</v>
      </c>
      <c r="AL136" s="125">
        <f>70+180</f>
        <v>250</v>
      </c>
      <c r="AM136" s="32"/>
      <c r="AP136" s="53"/>
    </row>
    <row r="137">
      <c r="A137" s="33"/>
      <c r="B137" s="33"/>
      <c r="C137" s="33"/>
      <c r="D137" s="33"/>
      <c r="E137" s="106"/>
      <c r="F137" s="106"/>
      <c r="G137" s="107"/>
      <c r="H137" s="107"/>
      <c r="I137" s="114"/>
      <c r="J137" s="117"/>
      <c r="K137" s="118"/>
      <c r="L137" s="118"/>
      <c r="M137" s="118"/>
      <c r="N137" s="118"/>
      <c r="O137" s="118"/>
      <c r="P137" s="114"/>
      <c r="Q137" s="120"/>
      <c r="R137" s="120"/>
      <c r="S137" s="120"/>
      <c r="T137" s="120"/>
      <c r="U137" s="120"/>
      <c r="V137" s="120"/>
      <c r="W137" s="112"/>
      <c r="X137" s="120"/>
      <c r="Y137" s="120"/>
      <c r="Z137" s="120"/>
      <c r="AA137" s="120"/>
      <c r="AB137" s="120"/>
      <c r="AC137" s="120"/>
      <c r="AD137" s="112"/>
      <c r="AE137" s="120"/>
      <c r="AF137" s="120"/>
      <c r="AG137" s="120"/>
      <c r="AH137" s="120"/>
      <c r="AI137" s="127"/>
      <c r="AJ137" s="120"/>
      <c r="AK137" s="112"/>
      <c r="AL137" s="112"/>
      <c r="AM137" s="122"/>
      <c r="AN137" s="53"/>
      <c r="AO137" s="53"/>
      <c r="AP137" s="53"/>
    </row>
    <row r="138">
      <c r="A138" s="24" t="s">
        <v>71</v>
      </c>
      <c r="B138" s="17"/>
      <c r="C138" s="17"/>
      <c r="D138" s="18"/>
      <c r="E138" s="106">
        <v>8.0</v>
      </c>
      <c r="F138" s="106" t="s">
        <v>21</v>
      </c>
      <c r="G138" s="107">
        <v>6474.0</v>
      </c>
      <c r="H138" s="107" t="s">
        <v>22</v>
      </c>
      <c r="I138" s="114"/>
      <c r="J138" s="114"/>
      <c r="K138" s="114"/>
      <c r="L138" s="114"/>
      <c r="M138" s="114"/>
      <c r="N138" s="114"/>
      <c r="O138" s="114"/>
      <c r="P138" s="114"/>
      <c r="Q138" s="114"/>
      <c r="R138" s="112"/>
      <c r="S138" s="112"/>
      <c r="T138" s="112"/>
      <c r="U138" s="112"/>
      <c r="V138" s="112"/>
      <c r="W138" s="112"/>
      <c r="X138" s="112"/>
      <c r="Y138" s="112"/>
      <c r="Z138" s="112"/>
      <c r="AA138" s="112"/>
      <c r="AB138" s="112"/>
      <c r="AC138" s="112"/>
      <c r="AD138" s="112"/>
      <c r="AE138" s="112"/>
      <c r="AF138" s="112"/>
      <c r="AG138" s="112"/>
      <c r="AH138" s="112"/>
      <c r="AI138" s="125">
        <v>4080.0</v>
      </c>
      <c r="AJ138" s="112"/>
      <c r="AK138" s="125"/>
      <c r="AL138" s="112"/>
      <c r="AM138" s="113">
        <f>G138+SUM(I138:AL138)-SUM(I139:AL139)</f>
        <v>5226</v>
      </c>
      <c r="AN138" s="53">
        <f>ROUNDDOWN((AM138/E138)/$H$4,1)</f>
        <v>21.7</v>
      </c>
      <c r="AO138" s="53">
        <f>$M$3+AN138</f>
        <v>937.7</v>
      </c>
      <c r="AP138" s="53"/>
    </row>
    <row r="139">
      <c r="A139" s="31"/>
      <c r="B139" s="17"/>
      <c r="C139" s="17"/>
      <c r="D139" s="17"/>
      <c r="E139" s="17"/>
      <c r="F139" s="18"/>
      <c r="G139" s="114"/>
      <c r="H139" s="107" t="s">
        <v>23</v>
      </c>
      <c r="I139" s="107"/>
      <c r="J139" s="107"/>
      <c r="K139" s="107">
        <v>30.0</v>
      </c>
      <c r="L139" s="107">
        <f>30+180</f>
        <v>210</v>
      </c>
      <c r="M139" s="107">
        <f>30+90</f>
        <v>120</v>
      </c>
      <c r="N139" s="107">
        <f>30+30+90</f>
        <v>150</v>
      </c>
      <c r="O139" s="107">
        <f>60+60+180+90</f>
        <v>390</v>
      </c>
      <c r="P139" s="107"/>
      <c r="Q139" s="107">
        <v>180.0</v>
      </c>
      <c r="R139" s="125">
        <f t="shared" ref="R139:S139" si="35">30+30+180</f>
        <v>240</v>
      </c>
      <c r="S139" s="112">
        <f t="shared" si="35"/>
        <v>240</v>
      </c>
      <c r="T139" s="125">
        <f>30+30</f>
        <v>60</v>
      </c>
      <c r="U139" s="125">
        <v>180.0</v>
      </c>
      <c r="V139" s="125">
        <f>30+30+180</f>
        <v>240</v>
      </c>
      <c r="W139" s="125"/>
      <c r="X139" s="125">
        <f>30+30+180</f>
        <v>240</v>
      </c>
      <c r="Y139" s="125">
        <f>30+36+180</f>
        <v>246</v>
      </c>
      <c r="Z139" s="125">
        <f>36+30</f>
        <v>66</v>
      </c>
      <c r="AA139" s="125">
        <f>30+32+180</f>
        <v>242</v>
      </c>
      <c r="AB139" s="125">
        <f>30+10+360+180</f>
        <v>580</v>
      </c>
      <c r="AC139" s="125">
        <f>46+90</f>
        <v>136</v>
      </c>
      <c r="AD139" s="112"/>
      <c r="AE139" s="125">
        <f>30+180</f>
        <v>210</v>
      </c>
      <c r="AF139" s="125">
        <f>30+30+30+180</f>
        <v>270</v>
      </c>
      <c r="AG139" s="112">
        <f>30+30+210</f>
        <v>270</v>
      </c>
      <c r="AH139" s="125">
        <f>32+20+8+180</f>
        <v>240</v>
      </c>
      <c r="AI139" s="125">
        <f>34+36+180+8</f>
        <v>258</v>
      </c>
      <c r="AJ139" s="112">
        <f>40+30+180</f>
        <v>250</v>
      </c>
      <c r="AK139" s="125">
        <v>30.0</v>
      </c>
      <c r="AL139" s="125">
        <f>70+180</f>
        <v>250</v>
      </c>
      <c r="AM139" s="32"/>
      <c r="AP139" s="53"/>
    </row>
    <row r="140">
      <c r="A140" s="33"/>
      <c r="B140" s="33"/>
      <c r="C140" s="33"/>
      <c r="D140" s="33"/>
      <c r="E140" s="106"/>
      <c r="F140" s="106"/>
      <c r="G140" s="107"/>
      <c r="H140" s="107"/>
      <c r="I140" s="114"/>
      <c r="J140" s="117"/>
      <c r="K140" s="118"/>
      <c r="L140" s="118"/>
      <c r="M140" s="118"/>
      <c r="N140" s="118"/>
      <c r="O140" s="118"/>
      <c r="P140" s="114"/>
      <c r="Q140" s="118"/>
      <c r="R140" s="120"/>
      <c r="S140" s="120"/>
      <c r="T140" s="120"/>
      <c r="U140" s="120"/>
      <c r="V140" s="120"/>
      <c r="W140" s="112"/>
      <c r="X140" s="120"/>
      <c r="Y140" s="120"/>
      <c r="Z140" s="120"/>
      <c r="AA140" s="120"/>
      <c r="AB140" s="120"/>
      <c r="AC140" s="120"/>
      <c r="AD140" s="112"/>
      <c r="AE140" s="120"/>
      <c r="AF140" s="120"/>
      <c r="AG140" s="120"/>
      <c r="AH140" s="120"/>
      <c r="AI140" s="127"/>
      <c r="AJ140" s="120"/>
      <c r="AK140" s="112"/>
      <c r="AL140" s="112"/>
      <c r="AM140" s="122"/>
      <c r="AN140" s="53"/>
      <c r="AO140" s="53"/>
      <c r="AP140" s="53"/>
    </row>
    <row r="141">
      <c r="A141" s="24" t="s">
        <v>72</v>
      </c>
      <c r="B141" s="17"/>
      <c r="C141" s="17"/>
      <c r="D141" s="18"/>
      <c r="E141" s="106">
        <v>12.0</v>
      </c>
      <c r="F141" s="106" t="s">
        <v>21</v>
      </c>
      <c r="G141" s="107">
        <v>10303.0</v>
      </c>
      <c r="H141" s="107" t="s">
        <v>22</v>
      </c>
      <c r="I141" s="114"/>
      <c r="J141" s="114"/>
      <c r="K141" s="114"/>
      <c r="L141" s="114"/>
      <c r="M141" s="114"/>
      <c r="N141" s="114"/>
      <c r="O141" s="114"/>
      <c r="P141" s="114"/>
      <c r="Q141" s="114"/>
      <c r="R141" s="112"/>
      <c r="S141" s="112"/>
      <c r="T141" s="112"/>
      <c r="U141" s="112"/>
      <c r="V141" s="112"/>
      <c r="W141" s="112"/>
      <c r="X141" s="112"/>
      <c r="Y141" s="112"/>
      <c r="Z141" s="112"/>
      <c r="AA141" s="112"/>
      <c r="AB141" s="112"/>
      <c r="AC141" s="112"/>
      <c r="AD141" s="112"/>
      <c r="AE141" s="112"/>
      <c r="AF141" s="112"/>
      <c r="AG141" s="112"/>
      <c r="AH141" s="112"/>
      <c r="AI141" s="125">
        <v>6120.0</v>
      </c>
      <c r="AJ141" s="112"/>
      <c r="AK141" s="125"/>
      <c r="AL141" s="112"/>
      <c r="AM141" s="113">
        <f>G141+SUM(I141:AL141)-SUM(I142:AL142)</f>
        <v>8407</v>
      </c>
      <c r="AN141" s="53">
        <f>ROUNDDOWN((AM141/E141)/$H$4,1)</f>
        <v>23.3</v>
      </c>
      <c r="AO141" s="53">
        <f>$M$5+AN141</f>
        <v>938.3</v>
      </c>
      <c r="AP141" s="53"/>
    </row>
    <row r="142">
      <c r="A142" s="31"/>
      <c r="B142" s="17"/>
      <c r="C142" s="17"/>
      <c r="D142" s="17"/>
      <c r="E142" s="17"/>
      <c r="F142" s="18"/>
      <c r="G142" s="114"/>
      <c r="H142" s="107" t="s">
        <v>23</v>
      </c>
      <c r="I142" s="107"/>
      <c r="J142" s="107"/>
      <c r="K142" s="107">
        <v>360.0</v>
      </c>
      <c r="L142" s="107">
        <v>180.0</v>
      </c>
      <c r="M142" s="107">
        <v>360.0</v>
      </c>
      <c r="N142" s="107">
        <v>180.0</v>
      </c>
      <c r="O142" s="107">
        <v>180.0</v>
      </c>
      <c r="P142" s="107"/>
      <c r="Q142" s="107">
        <v>360.0</v>
      </c>
      <c r="R142" s="125">
        <v>360.0</v>
      </c>
      <c r="S142" s="125">
        <v>360.0</v>
      </c>
      <c r="T142" s="125">
        <v>360.0</v>
      </c>
      <c r="U142" s="125">
        <v>360.0</v>
      </c>
      <c r="V142" s="125">
        <v>360.0</v>
      </c>
      <c r="W142" s="125"/>
      <c r="X142" s="125">
        <f>180+180</f>
        <v>360</v>
      </c>
      <c r="Y142" s="125">
        <v>360.0</v>
      </c>
      <c r="Z142" s="125">
        <v>360.0</v>
      </c>
      <c r="AA142" s="125">
        <v>360.0</v>
      </c>
      <c r="AB142" s="125">
        <v>360.0</v>
      </c>
      <c r="AC142" s="125">
        <v>180.0</v>
      </c>
      <c r="AD142" s="125"/>
      <c r="AE142" s="125">
        <f>120+96</f>
        <v>216</v>
      </c>
      <c r="AF142" s="125">
        <f>180+108</f>
        <v>288</v>
      </c>
      <c r="AG142" s="125">
        <f>180+240</f>
        <v>420</v>
      </c>
      <c r="AH142" s="125">
        <f>324+180</f>
        <v>504</v>
      </c>
      <c r="AI142" s="125">
        <v>408.0</v>
      </c>
      <c r="AJ142" s="125">
        <v>312.0</v>
      </c>
      <c r="AK142" s="125"/>
      <c r="AL142" s="125">
        <f>300+168</f>
        <v>468</v>
      </c>
      <c r="AM142" s="32"/>
      <c r="AP142" s="53"/>
    </row>
    <row r="143">
      <c r="A143" s="33"/>
      <c r="B143" s="33"/>
      <c r="C143" s="33"/>
      <c r="D143" s="33"/>
      <c r="E143" s="106"/>
      <c r="F143" s="106"/>
      <c r="G143" s="107"/>
      <c r="H143" s="107"/>
      <c r="I143" s="114"/>
      <c r="J143" s="117"/>
      <c r="K143" s="118"/>
      <c r="L143" s="118"/>
      <c r="M143" s="118"/>
      <c r="N143" s="118"/>
      <c r="O143" s="118"/>
      <c r="P143" s="114"/>
      <c r="Q143" s="118"/>
      <c r="R143" s="120"/>
      <c r="S143" s="120"/>
      <c r="T143" s="120"/>
      <c r="U143" s="120"/>
      <c r="V143" s="120"/>
      <c r="W143" s="112"/>
      <c r="X143" s="120"/>
      <c r="Y143" s="120"/>
      <c r="Z143" s="120"/>
      <c r="AA143" s="120"/>
      <c r="AB143" s="120"/>
      <c r="AC143" s="120"/>
      <c r="AD143" s="112"/>
      <c r="AE143" s="120"/>
      <c r="AF143" s="120"/>
      <c r="AG143" s="120"/>
      <c r="AH143" s="120"/>
      <c r="AI143" s="127"/>
      <c r="AJ143" s="120"/>
      <c r="AK143" s="112"/>
      <c r="AL143" s="112"/>
      <c r="AM143" s="122"/>
      <c r="AN143" s="53"/>
      <c r="AO143" s="53"/>
      <c r="AP143" s="53"/>
    </row>
    <row r="144">
      <c r="A144" s="24" t="s">
        <v>73</v>
      </c>
      <c r="B144" s="17"/>
      <c r="C144" s="17"/>
      <c r="D144" s="18"/>
      <c r="E144" s="106">
        <v>12.0</v>
      </c>
      <c r="F144" s="106" t="s">
        <v>21</v>
      </c>
      <c r="G144" s="107">
        <v>8821.0</v>
      </c>
      <c r="H144" s="107" t="s">
        <v>22</v>
      </c>
      <c r="I144" s="114"/>
      <c r="J144" s="114"/>
      <c r="K144" s="114"/>
      <c r="L144" s="114"/>
      <c r="M144" s="114"/>
      <c r="N144" s="114"/>
      <c r="O144" s="114"/>
      <c r="P144" s="114"/>
      <c r="Q144" s="114"/>
      <c r="R144" s="112"/>
      <c r="S144" s="112"/>
      <c r="T144" s="112"/>
      <c r="U144" s="112"/>
      <c r="V144" s="112"/>
      <c r="W144" s="112"/>
      <c r="X144" s="112"/>
      <c r="Y144" s="112"/>
      <c r="Z144" s="112"/>
      <c r="AA144" s="112"/>
      <c r="AB144" s="112"/>
      <c r="AC144" s="112"/>
      <c r="AD144" s="112"/>
      <c r="AE144" s="112"/>
      <c r="AF144" s="112"/>
      <c r="AG144" s="112"/>
      <c r="AH144" s="112"/>
      <c r="AI144" s="125">
        <v>6120.0</v>
      </c>
      <c r="AJ144" s="112"/>
      <c r="AK144" s="125"/>
      <c r="AL144" s="112"/>
      <c r="AM144" s="113">
        <f>G144+SUM(I144:AL144)-SUM(I145:AL145)</f>
        <v>6925</v>
      </c>
      <c r="AN144" s="53">
        <f>ROUNDDOWN((AM144/E144)/$H$4,1)</f>
        <v>19.2</v>
      </c>
      <c r="AO144" s="53">
        <f>$M$5+AN144</f>
        <v>934.2</v>
      </c>
      <c r="AP144" s="53"/>
    </row>
    <row r="145">
      <c r="A145" s="31"/>
      <c r="B145" s="17"/>
      <c r="C145" s="17"/>
      <c r="D145" s="17"/>
      <c r="E145" s="17"/>
      <c r="F145" s="18"/>
      <c r="G145" s="114"/>
      <c r="H145" s="107" t="s">
        <v>23</v>
      </c>
      <c r="I145" s="107"/>
      <c r="J145" s="107"/>
      <c r="K145" s="107">
        <v>360.0</v>
      </c>
      <c r="L145" s="107">
        <v>180.0</v>
      </c>
      <c r="M145" s="107">
        <v>360.0</v>
      </c>
      <c r="N145" s="107">
        <v>180.0</v>
      </c>
      <c r="O145" s="107">
        <v>180.0</v>
      </c>
      <c r="P145" s="107"/>
      <c r="Q145" s="107">
        <v>360.0</v>
      </c>
      <c r="R145" s="125">
        <v>360.0</v>
      </c>
      <c r="S145" s="125">
        <v>360.0</v>
      </c>
      <c r="T145" s="125">
        <v>360.0</v>
      </c>
      <c r="U145" s="125">
        <v>360.0</v>
      </c>
      <c r="V145" s="125">
        <v>360.0</v>
      </c>
      <c r="W145" s="125"/>
      <c r="X145" s="125">
        <f>180+180</f>
        <v>360</v>
      </c>
      <c r="Y145" s="125">
        <v>360.0</v>
      </c>
      <c r="Z145" s="125">
        <v>360.0</v>
      </c>
      <c r="AA145" s="125">
        <v>360.0</v>
      </c>
      <c r="AB145" s="125">
        <v>360.0</v>
      </c>
      <c r="AC145" s="125">
        <v>180.0</v>
      </c>
      <c r="AD145" s="125"/>
      <c r="AE145" s="125">
        <f>120+96</f>
        <v>216</v>
      </c>
      <c r="AF145" s="125">
        <f>180+108</f>
        <v>288</v>
      </c>
      <c r="AG145" s="125">
        <f>180+240</f>
        <v>420</v>
      </c>
      <c r="AH145" s="125">
        <f>324+180</f>
        <v>504</v>
      </c>
      <c r="AI145" s="125">
        <v>408.0</v>
      </c>
      <c r="AJ145" s="125">
        <v>312.0</v>
      </c>
      <c r="AK145" s="125"/>
      <c r="AL145" s="125">
        <f>300+168</f>
        <v>468</v>
      </c>
      <c r="AM145" s="32"/>
      <c r="AP145" s="53"/>
    </row>
    <row r="146">
      <c r="A146" s="33"/>
      <c r="B146" s="33"/>
      <c r="C146" s="33"/>
      <c r="D146" s="33"/>
      <c r="E146" s="106"/>
      <c r="F146" s="106"/>
      <c r="G146" s="107"/>
      <c r="H146" s="107"/>
      <c r="I146" s="114"/>
      <c r="J146" s="117"/>
      <c r="K146" s="118"/>
      <c r="L146" s="118"/>
      <c r="M146" s="118"/>
      <c r="N146" s="118"/>
      <c r="O146" s="118"/>
      <c r="P146" s="114"/>
      <c r="Q146" s="118"/>
      <c r="R146" s="120"/>
      <c r="S146" s="120"/>
      <c r="T146" s="120"/>
      <c r="U146" s="120"/>
      <c r="V146" s="120"/>
      <c r="W146" s="112"/>
      <c r="X146" s="120"/>
      <c r="Y146" s="120"/>
      <c r="Z146" s="120"/>
      <c r="AA146" s="120"/>
      <c r="AB146" s="120"/>
      <c r="AC146" s="120"/>
      <c r="AD146" s="112"/>
      <c r="AE146" s="120"/>
      <c r="AF146" s="120"/>
      <c r="AG146" s="120"/>
      <c r="AH146" s="120"/>
      <c r="AI146" s="120"/>
      <c r="AJ146" s="120"/>
      <c r="AK146" s="112"/>
      <c r="AL146" s="112"/>
      <c r="AM146" s="122"/>
      <c r="AN146" s="53"/>
      <c r="AO146" s="53"/>
      <c r="AP146" s="53"/>
    </row>
    <row r="147">
      <c r="A147" s="24" t="s">
        <v>74</v>
      </c>
      <c r="B147" s="17"/>
      <c r="C147" s="17"/>
      <c r="D147" s="18"/>
      <c r="E147" s="106">
        <v>18.0</v>
      </c>
      <c r="F147" s="106" t="s">
        <v>21</v>
      </c>
      <c r="G147" s="107">
        <f>16560+6000</f>
        <v>22560</v>
      </c>
      <c r="H147" s="107" t="s">
        <v>22</v>
      </c>
      <c r="I147" s="114"/>
      <c r="J147" s="114"/>
      <c r="K147" s="114"/>
      <c r="L147" s="114"/>
      <c r="M147" s="114"/>
      <c r="N147" s="114"/>
      <c r="O147" s="114"/>
      <c r="P147" s="114"/>
      <c r="Q147" s="114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2"/>
      <c r="AF147" s="112"/>
      <c r="AG147" s="112"/>
      <c r="AH147" s="112"/>
      <c r="AI147" s="112"/>
      <c r="AJ147" s="125"/>
      <c r="AK147" s="125"/>
      <c r="AL147" s="112"/>
      <c r="AM147" s="113">
        <f>G147+SUM(I147:AL147)-SUM(I148:AL148)</f>
        <v>10010</v>
      </c>
      <c r="AN147" s="53">
        <f>ROUNDDOWN((AM147/E147)/$H$4,1)</f>
        <v>18.5</v>
      </c>
      <c r="AO147" s="53">
        <f>$M$5+AN147</f>
        <v>933.5</v>
      </c>
      <c r="AP147" s="53"/>
    </row>
    <row r="148">
      <c r="A148" s="31"/>
      <c r="B148" s="17"/>
      <c r="C148" s="17"/>
      <c r="D148" s="17"/>
      <c r="E148" s="17"/>
      <c r="F148" s="18"/>
      <c r="G148" s="114"/>
      <c r="H148" s="107" t="s">
        <v>23</v>
      </c>
      <c r="I148" s="107"/>
      <c r="J148" s="107"/>
      <c r="K148" s="107">
        <v>270.0</v>
      </c>
      <c r="L148" s="107">
        <v>270.0</v>
      </c>
      <c r="M148" s="107">
        <v>270.0</v>
      </c>
      <c r="N148" s="114">
        <f>270+270</f>
        <v>540</v>
      </c>
      <c r="O148" s="107">
        <f>540+540</f>
        <v>1080</v>
      </c>
      <c r="P148" s="114"/>
      <c r="Q148" s="114"/>
      <c r="R148" s="125">
        <f t="shared" ref="R148:V148" si="36">270+270</f>
        <v>540</v>
      </c>
      <c r="S148" s="125">
        <f t="shared" si="36"/>
        <v>540</v>
      </c>
      <c r="T148" s="125">
        <f t="shared" si="36"/>
        <v>540</v>
      </c>
      <c r="U148" s="125">
        <f t="shared" si="36"/>
        <v>540</v>
      </c>
      <c r="V148" s="125">
        <f t="shared" si="36"/>
        <v>540</v>
      </c>
      <c r="W148" s="125"/>
      <c r="X148" s="125">
        <f>270+270</f>
        <v>540</v>
      </c>
      <c r="Y148" s="125">
        <f>270+324</f>
        <v>594</v>
      </c>
      <c r="Z148" s="125">
        <f>324+270</f>
        <v>594</v>
      </c>
      <c r="AA148" s="125">
        <f>270+288</f>
        <v>558</v>
      </c>
      <c r="AB148" s="125">
        <f>270+90</f>
        <v>360</v>
      </c>
      <c r="AC148" s="125">
        <v>414.0</v>
      </c>
      <c r="AD148" s="125"/>
      <c r="AE148" s="125">
        <v>270.0</v>
      </c>
      <c r="AF148" s="125">
        <f>270+270+270</f>
        <v>810</v>
      </c>
      <c r="AG148" s="112">
        <f>270+270</f>
        <v>540</v>
      </c>
      <c r="AH148" s="125">
        <f>288+180+40</f>
        <v>508</v>
      </c>
      <c r="AI148" s="125">
        <f>306+324+72</f>
        <v>702</v>
      </c>
      <c r="AJ148" s="112">
        <f>360+270</f>
        <v>630</v>
      </c>
      <c r="AK148" s="125">
        <v>270.0</v>
      </c>
      <c r="AL148" s="125">
        <v>630.0</v>
      </c>
      <c r="AM148" s="32"/>
      <c r="AP148" s="53"/>
    </row>
    <row r="149">
      <c r="A149" s="33"/>
      <c r="B149" s="33"/>
      <c r="C149" s="33"/>
      <c r="D149" s="33"/>
      <c r="E149" s="106"/>
      <c r="F149" s="106"/>
      <c r="G149" s="107"/>
      <c r="H149" s="107"/>
      <c r="I149" s="114"/>
      <c r="J149" s="117"/>
      <c r="K149" s="118"/>
      <c r="L149" s="118"/>
      <c r="M149" s="118"/>
      <c r="N149" s="118"/>
      <c r="O149" s="118"/>
      <c r="P149" s="114"/>
      <c r="Q149" s="117"/>
      <c r="R149" s="120"/>
      <c r="S149" s="120"/>
      <c r="T149" s="120"/>
      <c r="U149" s="120"/>
      <c r="V149" s="120"/>
      <c r="W149" s="112"/>
      <c r="X149" s="120"/>
      <c r="Y149" s="120"/>
      <c r="Z149" s="120"/>
      <c r="AA149" s="120"/>
      <c r="AB149" s="120"/>
      <c r="AC149" s="120"/>
      <c r="AD149" s="112"/>
      <c r="AE149" s="120"/>
      <c r="AF149" s="120"/>
      <c r="AG149" s="120"/>
      <c r="AH149" s="120"/>
      <c r="AI149" s="120"/>
      <c r="AJ149" s="120"/>
      <c r="AK149" s="112"/>
      <c r="AL149" s="112"/>
      <c r="AM149" s="122"/>
      <c r="AN149" s="53"/>
      <c r="AO149" s="53"/>
      <c r="AP149" s="53"/>
    </row>
    <row r="150">
      <c r="A150" s="24" t="s">
        <v>75</v>
      </c>
      <c r="B150" s="17"/>
      <c r="C150" s="17"/>
      <c r="D150" s="18"/>
      <c r="E150" s="106">
        <v>12.0</v>
      </c>
      <c r="F150" s="106" t="s">
        <v>21</v>
      </c>
      <c r="G150" s="107">
        <v>23290.0</v>
      </c>
      <c r="H150" s="107" t="s">
        <v>22</v>
      </c>
      <c r="I150" s="114"/>
      <c r="J150" s="114"/>
      <c r="K150" s="114"/>
      <c r="L150" s="114"/>
      <c r="M150" s="114"/>
      <c r="N150" s="114"/>
      <c r="O150" s="114"/>
      <c r="P150" s="114"/>
      <c r="Q150" s="114"/>
      <c r="R150" s="112"/>
      <c r="S150" s="112"/>
      <c r="T150" s="112"/>
      <c r="U150" s="112"/>
      <c r="V150" s="112"/>
      <c r="W150" s="112"/>
      <c r="X150" s="112"/>
      <c r="Y150" s="112"/>
      <c r="Z150" s="112"/>
      <c r="AA150" s="112"/>
      <c r="AB150" s="112"/>
      <c r="AC150" s="112"/>
      <c r="AD150" s="112"/>
      <c r="AE150" s="112"/>
      <c r="AF150" s="112"/>
      <c r="AG150" s="112"/>
      <c r="AH150" s="112"/>
      <c r="AI150" s="112"/>
      <c r="AJ150" s="112"/>
      <c r="AK150" s="112"/>
      <c r="AL150" s="112"/>
      <c r="AM150" s="113">
        <f>G150+SUM(I150:AL150)-SUM(I151:AL151)</f>
        <v>15090</v>
      </c>
      <c r="AN150" s="53">
        <f>ROUNDDOWN((AM150/E150)/$H$4,1)</f>
        <v>41.9</v>
      </c>
      <c r="AO150" s="53">
        <f>$M$4+AN150</f>
        <v>959.9</v>
      </c>
      <c r="AP150" s="53"/>
    </row>
    <row r="151">
      <c r="A151" s="31"/>
      <c r="B151" s="17"/>
      <c r="C151" s="17"/>
      <c r="D151" s="17"/>
      <c r="E151" s="17"/>
      <c r="F151" s="18"/>
      <c r="G151" s="114"/>
      <c r="H151" s="107" t="s">
        <v>23</v>
      </c>
      <c r="I151" s="107"/>
      <c r="J151" s="107"/>
      <c r="K151" s="107"/>
      <c r="L151" s="107">
        <f>270+270</f>
        <v>540</v>
      </c>
      <c r="M151" s="107">
        <v>120.0</v>
      </c>
      <c r="N151" s="107">
        <f>270</f>
        <v>270</v>
      </c>
      <c r="O151" s="107"/>
      <c r="P151" s="107"/>
      <c r="Q151" s="107">
        <f>120+270</f>
        <v>390</v>
      </c>
      <c r="R151" s="125">
        <v>270.0</v>
      </c>
      <c r="S151" s="125">
        <f>120+200+270</f>
        <v>590</v>
      </c>
      <c r="T151" s="125">
        <v>270.0</v>
      </c>
      <c r="U151" s="125">
        <f>120+270</f>
        <v>390</v>
      </c>
      <c r="V151" s="125">
        <v>270.0</v>
      </c>
      <c r="W151" s="125"/>
      <c r="X151" s="125">
        <f>120+270+270</f>
        <v>660</v>
      </c>
      <c r="Y151" s="125"/>
      <c r="Z151" s="125">
        <f>120+200+270</f>
        <v>590</v>
      </c>
      <c r="AA151" s="125">
        <v>270.0</v>
      </c>
      <c r="AB151" s="125">
        <f>120+270</f>
        <v>390</v>
      </c>
      <c r="AC151" s="125">
        <v>270.0</v>
      </c>
      <c r="AD151" s="125"/>
      <c r="AE151" s="125">
        <f>120+270+270</f>
        <v>660</v>
      </c>
      <c r="AF151" s="125">
        <f>120+270</f>
        <v>390</v>
      </c>
      <c r="AG151" s="125">
        <v>270.0</v>
      </c>
      <c r="AH151" s="125">
        <f>120+270</f>
        <v>390</v>
      </c>
      <c r="AI151" s="125">
        <v>270.0</v>
      </c>
      <c r="AJ151" s="125">
        <v>270.0</v>
      </c>
      <c r="AK151" s="125"/>
      <c r="AL151" s="125">
        <f>120+270+270</f>
        <v>660</v>
      </c>
      <c r="AM151" s="32"/>
      <c r="AP151" s="53"/>
    </row>
    <row r="152">
      <c r="A152" s="33"/>
      <c r="B152" s="33"/>
      <c r="C152" s="33"/>
      <c r="D152" s="33"/>
      <c r="E152" s="106"/>
      <c r="F152" s="106"/>
      <c r="G152" s="107"/>
      <c r="H152" s="107"/>
      <c r="I152" s="114"/>
      <c r="J152" s="117"/>
      <c r="K152" s="117"/>
      <c r="L152" s="118"/>
      <c r="M152" s="118"/>
      <c r="N152" s="118"/>
      <c r="O152" s="117"/>
      <c r="P152" s="114"/>
      <c r="Q152" s="118"/>
      <c r="R152" s="120"/>
      <c r="S152" s="120"/>
      <c r="T152" s="120"/>
      <c r="U152" s="120"/>
      <c r="V152" s="120"/>
      <c r="W152" s="112"/>
      <c r="X152" s="120"/>
      <c r="Y152" s="119"/>
      <c r="Z152" s="120"/>
      <c r="AA152" s="120"/>
      <c r="AB152" s="120"/>
      <c r="AC152" s="120"/>
      <c r="AD152" s="112"/>
      <c r="AE152" s="120"/>
      <c r="AF152" s="120"/>
      <c r="AG152" s="120"/>
      <c r="AH152" s="120"/>
      <c r="AI152" s="120"/>
      <c r="AJ152" s="120"/>
      <c r="AK152" s="112"/>
      <c r="AL152" s="112"/>
      <c r="AM152" s="122"/>
      <c r="AN152" s="53"/>
      <c r="AO152" s="53"/>
      <c r="AP152" s="53"/>
    </row>
    <row r="153">
      <c r="A153" s="24" t="s">
        <v>76</v>
      </c>
      <c r="B153" s="17"/>
      <c r="C153" s="17"/>
      <c r="D153" s="18"/>
      <c r="E153" s="106">
        <v>1.0</v>
      </c>
      <c r="F153" s="106" t="s">
        <v>21</v>
      </c>
      <c r="G153" s="107">
        <v>917.0</v>
      </c>
      <c r="H153" s="107" t="s">
        <v>22</v>
      </c>
      <c r="I153" s="114"/>
      <c r="J153" s="114"/>
      <c r="K153" s="114"/>
      <c r="L153" s="114"/>
      <c r="M153" s="114"/>
      <c r="N153" s="114"/>
      <c r="O153" s="114"/>
      <c r="P153" s="114"/>
      <c r="Q153" s="114"/>
      <c r="R153" s="125"/>
      <c r="S153" s="112"/>
      <c r="T153" s="112"/>
      <c r="U153" s="112"/>
      <c r="V153" s="112"/>
      <c r="W153" s="112"/>
      <c r="X153" s="125">
        <v>500.0</v>
      </c>
      <c r="Y153" s="112"/>
      <c r="Z153" s="112"/>
      <c r="AA153" s="112"/>
      <c r="AB153" s="112"/>
      <c r="AC153" s="112"/>
      <c r="AD153" s="112"/>
      <c r="AE153" s="112"/>
      <c r="AF153" s="112"/>
      <c r="AG153" s="112"/>
      <c r="AH153" s="112"/>
      <c r="AI153" s="112"/>
      <c r="AJ153" s="112"/>
      <c r="AK153" s="112"/>
      <c r="AL153" s="112"/>
      <c r="AM153" s="113">
        <f>G153+SUM(I153:AL153)-SUM(I154:AL154)</f>
        <v>787</v>
      </c>
      <c r="AN153" s="53">
        <f>ROUNDDOWN((AM153/E153)/$H$4,1)</f>
        <v>26.2</v>
      </c>
      <c r="AO153" s="53">
        <f>$M$4+AN153</f>
        <v>944.2</v>
      </c>
      <c r="AP153" s="53"/>
    </row>
    <row r="154">
      <c r="A154" s="31"/>
      <c r="B154" s="17"/>
      <c r="C154" s="17"/>
      <c r="D154" s="17"/>
      <c r="E154" s="17"/>
      <c r="F154" s="18"/>
      <c r="G154" s="114"/>
      <c r="H154" s="107" t="s">
        <v>23</v>
      </c>
      <c r="I154" s="107"/>
      <c r="J154" s="114"/>
      <c r="K154" s="107"/>
      <c r="L154" s="114"/>
      <c r="M154" s="114"/>
      <c r="N154" s="107"/>
      <c r="O154" s="107">
        <v>90.0</v>
      </c>
      <c r="P154" s="114"/>
      <c r="Q154" s="114"/>
      <c r="R154" s="125"/>
      <c r="S154" s="125">
        <v>90.0</v>
      </c>
      <c r="T154" s="125"/>
      <c r="U154" s="112"/>
      <c r="V154" s="125">
        <v>90.0</v>
      </c>
      <c r="W154" s="125"/>
      <c r="X154" s="125"/>
      <c r="Y154" s="125">
        <v>90.0</v>
      </c>
      <c r="Z154" s="125"/>
      <c r="AA154" s="112"/>
      <c r="AB154" s="125"/>
      <c r="AC154" s="125">
        <v>90.0</v>
      </c>
      <c r="AD154" s="125"/>
      <c r="AE154" s="112"/>
      <c r="AF154" s="125"/>
      <c r="AG154" s="125">
        <v>90.0</v>
      </c>
      <c r="AH154" s="125"/>
      <c r="AI154" s="125">
        <v>90.0</v>
      </c>
      <c r="AJ154" s="112"/>
      <c r="AK154" s="125"/>
      <c r="AL154" s="112"/>
      <c r="AM154" s="32"/>
      <c r="AP154" s="53"/>
    </row>
    <row r="155">
      <c r="A155" s="33"/>
      <c r="B155" s="33"/>
      <c r="C155" s="33"/>
      <c r="D155" s="33"/>
      <c r="E155" s="106"/>
      <c r="F155" s="106"/>
      <c r="G155" s="107"/>
      <c r="H155" s="107"/>
      <c r="I155" s="114"/>
      <c r="J155" s="117"/>
      <c r="K155" s="117"/>
      <c r="L155" s="117"/>
      <c r="M155" s="117"/>
      <c r="N155" s="117"/>
      <c r="O155" s="118"/>
      <c r="P155" s="114"/>
      <c r="Q155" s="117"/>
      <c r="R155" s="119"/>
      <c r="S155" s="120"/>
      <c r="T155" s="119"/>
      <c r="U155" s="119"/>
      <c r="V155" s="120"/>
      <c r="W155" s="112"/>
      <c r="X155" s="119"/>
      <c r="Y155" s="120"/>
      <c r="Z155" s="119"/>
      <c r="AA155" s="119"/>
      <c r="AB155" s="119"/>
      <c r="AC155" s="120"/>
      <c r="AD155" s="112"/>
      <c r="AE155" s="120"/>
      <c r="AF155" s="119"/>
      <c r="AG155" s="120"/>
      <c r="AH155" s="119"/>
      <c r="AI155" s="120"/>
      <c r="AJ155" s="119"/>
      <c r="AK155" s="112"/>
      <c r="AL155" s="112"/>
      <c r="AM155" s="122"/>
      <c r="AN155" s="53"/>
      <c r="AO155" s="53"/>
      <c r="AP155" s="53"/>
    </row>
    <row r="156">
      <c r="A156" s="24" t="s">
        <v>77</v>
      </c>
      <c r="B156" s="17"/>
      <c r="C156" s="17"/>
      <c r="D156" s="18"/>
      <c r="E156" s="106">
        <v>8.0</v>
      </c>
      <c r="F156" s="106" t="s">
        <v>21</v>
      </c>
      <c r="G156" s="107">
        <v>7602.0</v>
      </c>
      <c r="H156" s="107" t="s">
        <v>22</v>
      </c>
      <c r="I156" s="114"/>
      <c r="J156" s="114"/>
      <c r="K156" s="114"/>
      <c r="L156" s="114"/>
      <c r="M156" s="114"/>
      <c r="N156" s="114"/>
      <c r="O156" s="114"/>
      <c r="P156" s="114"/>
      <c r="Q156" s="114"/>
      <c r="R156" s="125"/>
      <c r="S156" s="112"/>
      <c r="T156" s="112"/>
      <c r="U156" s="112"/>
      <c r="V156" s="112"/>
      <c r="W156" s="112"/>
      <c r="X156" s="125">
        <v>4000.0</v>
      </c>
      <c r="Y156" s="112"/>
      <c r="Z156" s="112"/>
      <c r="AA156" s="112"/>
      <c r="AB156" s="112"/>
      <c r="AC156" s="112"/>
      <c r="AD156" s="112"/>
      <c r="AE156" s="112"/>
      <c r="AF156" s="112"/>
      <c r="AG156" s="112"/>
      <c r="AH156" s="112"/>
      <c r="AI156" s="112"/>
      <c r="AJ156" s="112"/>
      <c r="AK156" s="112"/>
      <c r="AL156" s="112"/>
      <c r="AM156" s="113">
        <f>G156+SUM(I156:AL156)-SUM(I157:AL157)</f>
        <v>6218</v>
      </c>
      <c r="AN156" s="53">
        <f>ROUNDDOWN((AM156/E156)/$H$4,1)</f>
        <v>25.9</v>
      </c>
      <c r="AO156" s="53">
        <f>$M$4+AN156</f>
        <v>943.9</v>
      </c>
      <c r="AP156" s="53"/>
    </row>
    <row r="157">
      <c r="A157" s="31"/>
      <c r="B157" s="17"/>
      <c r="C157" s="17"/>
      <c r="D157" s="17"/>
      <c r="E157" s="17"/>
      <c r="F157" s="18"/>
      <c r="G157" s="114"/>
      <c r="H157" s="107" t="s">
        <v>23</v>
      </c>
      <c r="I157" s="107"/>
      <c r="J157" s="107"/>
      <c r="K157" s="107"/>
      <c r="L157" s="107">
        <v>480.0</v>
      </c>
      <c r="M157" s="107"/>
      <c r="N157" s="107"/>
      <c r="O157" s="107">
        <v>480.0</v>
      </c>
      <c r="P157" s="107"/>
      <c r="Q157" s="114"/>
      <c r="R157" s="125">
        <v>480.0</v>
      </c>
      <c r="S157" s="112"/>
      <c r="T157" s="125">
        <f>480+24</f>
        <v>504</v>
      </c>
      <c r="U157" s="125"/>
      <c r="V157" s="125">
        <v>480.0</v>
      </c>
      <c r="W157" s="112"/>
      <c r="X157" s="125"/>
      <c r="Y157" s="125">
        <v>480.0</v>
      </c>
      <c r="Z157" s="125">
        <v>80.0</v>
      </c>
      <c r="AA157" s="125">
        <v>480.0</v>
      </c>
      <c r="AB157" s="125"/>
      <c r="AC157" s="125"/>
      <c r="AD157" s="125"/>
      <c r="AE157" s="125">
        <v>480.0</v>
      </c>
      <c r="AF157" s="125"/>
      <c r="AG157" s="125">
        <v>480.0</v>
      </c>
      <c r="AH157" s="125"/>
      <c r="AI157" s="125">
        <v>480.0</v>
      </c>
      <c r="AJ157" s="125">
        <v>480.0</v>
      </c>
      <c r="AK157" s="125"/>
      <c r="AL157" s="125"/>
      <c r="AM157" s="32"/>
      <c r="AP157" s="53"/>
    </row>
    <row r="158">
      <c r="A158" s="33"/>
      <c r="B158" s="33"/>
      <c r="C158" s="33"/>
      <c r="D158" s="33"/>
      <c r="E158" s="106"/>
      <c r="F158" s="106"/>
      <c r="G158" s="107"/>
      <c r="H158" s="107"/>
      <c r="I158" s="114"/>
      <c r="J158" s="117"/>
      <c r="K158" s="117"/>
      <c r="L158" s="118"/>
      <c r="M158" s="117"/>
      <c r="N158" s="117"/>
      <c r="O158" s="118"/>
      <c r="P158" s="114"/>
      <c r="Q158" s="117"/>
      <c r="R158" s="120"/>
      <c r="S158" s="119"/>
      <c r="T158" s="120"/>
      <c r="U158" s="119"/>
      <c r="V158" s="120"/>
      <c r="W158" s="112"/>
      <c r="X158" s="119"/>
      <c r="Y158" s="120"/>
      <c r="Z158" s="120"/>
      <c r="AA158" s="120"/>
      <c r="AB158" s="119"/>
      <c r="AC158" s="119"/>
      <c r="AD158" s="112"/>
      <c r="AE158" s="120"/>
      <c r="AF158" s="119"/>
      <c r="AG158" s="120"/>
      <c r="AH158" s="119"/>
      <c r="AI158" s="120"/>
      <c r="AJ158" s="120"/>
      <c r="AK158" s="112"/>
      <c r="AL158" s="112"/>
      <c r="AM158" s="122"/>
      <c r="AN158" s="53"/>
      <c r="AO158" s="53"/>
      <c r="AP158" s="53"/>
    </row>
    <row r="159">
      <c r="A159" s="24" t="s">
        <v>78</v>
      </c>
      <c r="B159" s="17"/>
      <c r="C159" s="17"/>
      <c r="D159" s="18"/>
      <c r="E159" s="106">
        <v>6.0</v>
      </c>
      <c r="F159" s="106" t="s">
        <v>21</v>
      </c>
      <c r="G159" s="107">
        <v>9080.0</v>
      </c>
      <c r="H159" s="107" t="s">
        <v>22</v>
      </c>
      <c r="I159" s="114"/>
      <c r="J159" s="114"/>
      <c r="K159" s="114"/>
      <c r="L159" s="114"/>
      <c r="M159" s="114"/>
      <c r="N159" s="114"/>
      <c r="O159" s="114"/>
      <c r="P159" s="114"/>
      <c r="Q159" s="114"/>
      <c r="R159" s="125"/>
      <c r="S159" s="112"/>
      <c r="T159" s="112"/>
      <c r="U159" s="112"/>
      <c r="V159" s="112"/>
      <c r="W159" s="112"/>
      <c r="X159" s="125">
        <v>3000.0</v>
      </c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2"/>
      <c r="AK159" s="112"/>
      <c r="AL159" s="112"/>
      <c r="AM159" s="113">
        <f>G159+SUM(I159:AL159)-SUM(I160:AL160)</f>
        <v>8450</v>
      </c>
      <c r="AN159" s="53">
        <f>ROUNDDOWN((AM159/E159)/$H$4,1)</f>
        <v>46.9</v>
      </c>
      <c r="AO159" s="53">
        <f>$M$3+AN159</f>
        <v>962.9</v>
      </c>
      <c r="AP159" s="53"/>
    </row>
    <row r="160">
      <c r="A160" s="31"/>
      <c r="B160" s="17"/>
      <c r="C160" s="17"/>
      <c r="D160" s="17"/>
      <c r="E160" s="17"/>
      <c r="F160" s="18"/>
      <c r="G160" s="114"/>
      <c r="H160" s="107" t="s">
        <v>23</v>
      </c>
      <c r="I160" s="107"/>
      <c r="J160" s="107"/>
      <c r="K160" s="107"/>
      <c r="L160" s="107">
        <v>180.0</v>
      </c>
      <c r="M160" s="107">
        <v>90.0</v>
      </c>
      <c r="N160" s="107">
        <f>90</f>
        <v>90</v>
      </c>
      <c r="O160" s="107">
        <f>180+90</f>
        <v>270</v>
      </c>
      <c r="P160" s="107"/>
      <c r="Q160" s="107">
        <v>180.0</v>
      </c>
      <c r="R160" s="125">
        <v>180.0</v>
      </c>
      <c r="S160" s="125">
        <v>180.0</v>
      </c>
      <c r="T160" s="125"/>
      <c r="U160" s="125">
        <v>180.0</v>
      </c>
      <c r="V160" s="125">
        <v>180.0</v>
      </c>
      <c r="W160" s="125"/>
      <c r="X160" s="125">
        <v>180.0</v>
      </c>
      <c r="Y160" s="125">
        <v>180.0</v>
      </c>
      <c r="Z160" s="125"/>
      <c r="AA160" s="125">
        <v>180.0</v>
      </c>
      <c r="AB160" s="125">
        <v>180.0</v>
      </c>
      <c r="AC160" s="125">
        <v>90.0</v>
      </c>
      <c r="AD160" s="125"/>
      <c r="AE160" s="125">
        <v>180.0</v>
      </c>
      <c r="AF160" s="125">
        <v>180.0</v>
      </c>
      <c r="AG160" s="125">
        <v>210.0</v>
      </c>
      <c r="AH160" s="125">
        <v>180.0</v>
      </c>
      <c r="AI160" s="125">
        <v>180.0</v>
      </c>
      <c r="AJ160" s="125">
        <v>180.0</v>
      </c>
      <c r="AK160" s="125"/>
      <c r="AL160" s="125">
        <v>180.0</v>
      </c>
      <c r="AM160" s="32"/>
      <c r="AP160" s="53"/>
    </row>
    <row r="161">
      <c r="A161" s="33"/>
      <c r="B161" s="33"/>
      <c r="C161" s="33"/>
      <c r="D161" s="33"/>
      <c r="E161" s="106"/>
      <c r="F161" s="106"/>
      <c r="G161" s="107"/>
      <c r="H161" s="107"/>
      <c r="I161" s="114"/>
      <c r="J161" s="117"/>
      <c r="K161" s="117"/>
      <c r="L161" s="118"/>
      <c r="M161" s="118"/>
      <c r="N161" s="118"/>
      <c r="O161" s="118"/>
      <c r="P161" s="114"/>
      <c r="Q161" s="118"/>
      <c r="R161" s="120"/>
      <c r="S161" s="120"/>
      <c r="T161" s="119"/>
      <c r="U161" s="120"/>
      <c r="V161" s="120"/>
      <c r="W161" s="112"/>
      <c r="X161" s="120"/>
      <c r="Y161" s="120"/>
      <c r="Z161" s="119"/>
      <c r="AA161" s="120"/>
      <c r="AB161" s="120"/>
      <c r="AC161" s="120"/>
      <c r="AD161" s="112"/>
      <c r="AE161" s="120"/>
      <c r="AF161" s="120"/>
      <c r="AG161" s="120"/>
      <c r="AH161" s="120"/>
      <c r="AI161" s="127"/>
      <c r="AJ161" s="120"/>
      <c r="AK161" s="112"/>
      <c r="AL161" s="112"/>
      <c r="AM161" s="122"/>
      <c r="AN161" s="53"/>
      <c r="AO161" s="53"/>
      <c r="AP161" s="53"/>
    </row>
    <row r="162">
      <c r="A162" s="24" t="s">
        <v>79</v>
      </c>
      <c r="B162" s="17"/>
      <c r="C162" s="17"/>
      <c r="D162" s="18"/>
      <c r="E162" s="106">
        <v>12.0</v>
      </c>
      <c r="F162" s="106" t="s">
        <v>21</v>
      </c>
      <c r="G162" s="107">
        <v>9993.0</v>
      </c>
      <c r="H162" s="107" t="s">
        <v>22</v>
      </c>
      <c r="I162" s="114"/>
      <c r="J162" s="114"/>
      <c r="K162" s="114"/>
      <c r="L162" s="114"/>
      <c r="M162" s="114"/>
      <c r="N162" s="114"/>
      <c r="O162" s="114"/>
      <c r="P162" s="114"/>
      <c r="Q162" s="114"/>
      <c r="R162" s="112"/>
      <c r="S162" s="112"/>
      <c r="T162" s="112"/>
      <c r="U162" s="112"/>
      <c r="V162" s="112"/>
      <c r="W162" s="112"/>
      <c r="X162" s="112"/>
      <c r="Y162" s="112"/>
      <c r="Z162" s="112"/>
      <c r="AA162" s="112"/>
      <c r="AB162" s="112"/>
      <c r="AC162" s="112"/>
      <c r="AD162" s="112"/>
      <c r="AE162" s="112"/>
      <c r="AF162" s="112"/>
      <c r="AG162" s="112"/>
      <c r="AH162" s="112"/>
      <c r="AI162" s="125">
        <v>6120.0</v>
      </c>
      <c r="AJ162" s="125"/>
      <c r="AK162" s="125"/>
      <c r="AL162" s="112"/>
      <c r="AM162" s="113">
        <f>G162+SUM(I162:AL162)-SUM(I163:AL163)</f>
        <v>8017</v>
      </c>
      <c r="AN162" s="53">
        <f>ROUNDDOWN((AM162/E162)/$H$4,1)</f>
        <v>22.2</v>
      </c>
      <c r="AO162" s="53">
        <f>M5+AN162</f>
        <v>937.2</v>
      </c>
      <c r="AP162" s="53"/>
    </row>
    <row r="163">
      <c r="A163" s="31"/>
      <c r="B163" s="17"/>
      <c r="C163" s="17"/>
      <c r="D163" s="17"/>
      <c r="E163" s="17"/>
      <c r="F163" s="18"/>
      <c r="G163" s="114"/>
      <c r="H163" s="107" t="s">
        <v>23</v>
      </c>
      <c r="I163" s="107"/>
      <c r="J163" s="107"/>
      <c r="K163" s="107">
        <v>360.0</v>
      </c>
      <c r="L163" s="107">
        <v>180.0</v>
      </c>
      <c r="M163" s="107">
        <v>360.0</v>
      </c>
      <c r="N163" s="107">
        <v>180.0</v>
      </c>
      <c r="O163" s="107">
        <v>180.0</v>
      </c>
      <c r="P163" s="107"/>
      <c r="Q163" s="107">
        <v>360.0</v>
      </c>
      <c r="R163" s="125">
        <v>360.0</v>
      </c>
      <c r="S163" s="125">
        <v>360.0</v>
      </c>
      <c r="T163" s="125">
        <v>360.0</v>
      </c>
      <c r="U163" s="125">
        <v>360.0</v>
      </c>
      <c r="V163" s="125">
        <v>360.0</v>
      </c>
      <c r="W163" s="125"/>
      <c r="X163" s="125">
        <f>180+180</f>
        <v>360</v>
      </c>
      <c r="Y163" s="125">
        <f>80+360</f>
        <v>440</v>
      </c>
      <c r="Z163" s="125">
        <v>360.0</v>
      </c>
      <c r="AA163" s="125">
        <v>360.0</v>
      </c>
      <c r="AB163" s="125">
        <v>360.0</v>
      </c>
      <c r="AC163" s="125">
        <v>180.0</v>
      </c>
      <c r="AD163" s="125"/>
      <c r="AE163" s="125">
        <f>120+96</f>
        <v>216</v>
      </c>
      <c r="AF163" s="125">
        <f>180+108</f>
        <v>288</v>
      </c>
      <c r="AG163" s="125">
        <f>180+240</f>
        <v>420</v>
      </c>
      <c r="AH163" s="125">
        <f>324+180</f>
        <v>504</v>
      </c>
      <c r="AI163" s="125">
        <v>408.0</v>
      </c>
      <c r="AJ163" s="125">
        <v>312.0</v>
      </c>
      <c r="AK163" s="125"/>
      <c r="AL163" s="125">
        <f>300+168</f>
        <v>468</v>
      </c>
      <c r="AM163" s="32"/>
      <c r="AP163" s="53"/>
    </row>
    <row r="164">
      <c r="A164" s="33"/>
      <c r="B164" s="33"/>
      <c r="C164" s="33"/>
      <c r="D164" s="33"/>
      <c r="E164" s="106"/>
      <c r="F164" s="106"/>
      <c r="G164" s="107"/>
      <c r="H164" s="107"/>
      <c r="I164" s="114"/>
      <c r="J164" s="117"/>
      <c r="K164" s="118"/>
      <c r="L164" s="118"/>
      <c r="M164" s="118"/>
      <c r="N164" s="118"/>
      <c r="O164" s="118"/>
      <c r="P164" s="114"/>
      <c r="Q164" s="118"/>
      <c r="R164" s="120"/>
      <c r="S164" s="120"/>
      <c r="T164" s="120"/>
      <c r="U164" s="120"/>
      <c r="V164" s="127"/>
      <c r="W164" s="112"/>
      <c r="X164" s="120"/>
      <c r="Y164" s="120"/>
      <c r="Z164" s="120"/>
      <c r="AA164" s="120"/>
      <c r="AB164" s="120"/>
      <c r="AC164" s="120"/>
      <c r="AD164" s="112"/>
      <c r="AE164" s="120"/>
      <c r="AF164" s="120"/>
      <c r="AG164" s="120"/>
      <c r="AH164" s="120"/>
      <c r="AI164" s="127"/>
      <c r="AJ164" s="120"/>
      <c r="AK164" s="112"/>
      <c r="AL164" s="112"/>
      <c r="AM164" s="122"/>
      <c r="AN164" s="53"/>
      <c r="AO164" s="53"/>
      <c r="AP164" s="53"/>
    </row>
    <row r="165">
      <c r="A165" s="24" t="s">
        <v>80</v>
      </c>
      <c r="B165" s="17"/>
      <c r="C165" s="17"/>
      <c r="D165" s="18"/>
      <c r="E165" s="106">
        <v>6.0</v>
      </c>
      <c r="F165" s="106" t="s">
        <v>21</v>
      </c>
      <c r="G165" s="107">
        <v>4320.0</v>
      </c>
      <c r="H165" s="107" t="s">
        <v>22</v>
      </c>
      <c r="I165" s="114"/>
      <c r="J165" s="114"/>
      <c r="K165" s="107"/>
      <c r="L165" s="114"/>
      <c r="M165" s="114"/>
      <c r="N165" s="114"/>
      <c r="O165" s="114"/>
      <c r="P165" s="114"/>
      <c r="Q165" s="114"/>
      <c r="R165" s="112"/>
      <c r="S165" s="112"/>
      <c r="T165" s="112"/>
      <c r="U165" s="112"/>
      <c r="V165" s="112"/>
      <c r="W165" s="112"/>
      <c r="X165" s="112"/>
      <c r="Y165" s="112"/>
      <c r="Z165" s="112"/>
      <c r="AA165" s="112"/>
      <c r="AB165" s="112"/>
      <c r="AC165" s="112"/>
      <c r="AD165" s="112"/>
      <c r="AE165" s="112"/>
      <c r="AF165" s="112"/>
      <c r="AG165" s="112"/>
      <c r="AH165" s="112"/>
      <c r="AI165" s="125">
        <v>3060.0</v>
      </c>
      <c r="AJ165" s="125"/>
      <c r="AK165" s="125"/>
      <c r="AL165" s="112"/>
      <c r="AM165" s="113">
        <f>G165+SUM(I165:AL165)-SUM(I166:AL166)</f>
        <v>3186</v>
      </c>
      <c r="AN165" s="53">
        <f>ROUNDDOWN((AM165/E165)/$H$4,1)</f>
        <v>17.7</v>
      </c>
      <c r="AO165" s="53">
        <f>$M$3+AN165</f>
        <v>933.7</v>
      </c>
      <c r="AP165" s="53"/>
    </row>
    <row r="166">
      <c r="A166" s="31"/>
      <c r="B166" s="17"/>
      <c r="C166" s="17"/>
      <c r="D166" s="17"/>
      <c r="E166" s="17"/>
      <c r="F166" s="18"/>
      <c r="G166" s="114"/>
      <c r="H166" s="107" t="s">
        <v>23</v>
      </c>
      <c r="I166" s="107"/>
      <c r="J166" s="107"/>
      <c r="K166" s="107">
        <v>90.0</v>
      </c>
      <c r="L166" s="107">
        <v>90.0</v>
      </c>
      <c r="M166" s="107">
        <v>90.0</v>
      </c>
      <c r="N166" s="107">
        <f>90+90</f>
        <v>180</v>
      </c>
      <c r="O166" s="107">
        <f>180+180</f>
        <v>360</v>
      </c>
      <c r="P166" s="114"/>
      <c r="Q166" s="114"/>
      <c r="R166" s="112">
        <f t="shared" ref="R166:V166" si="37">90+90</f>
        <v>180</v>
      </c>
      <c r="S166" s="112">
        <f t="shared" si="37"/>
        <v>180</v>
      </c>
      <c r="T166" s="125">
        <f t="shared" si="37"/>
        <v>180</v>
      </c>
      <c r="U166" s="125">
        <f t="shared" si="37"/>
        <v>180</v>
      </c>
      <c r="V166" s="125">
        <f t="shared" si="37"/>
        <v>180</v>
      </c>
      <c r="W166" s="125"/>
      <c r="X166" s="125">
        <f>90+90</f>
        <v>180</v>
      </c>
      <c r="Y166" s="125">
        <f>90+108</f>
        <v>198</v>
      </c>
      <c r="Z166" s="125">
        <f>108+90</f>
        <v>198</v>
      </c>
      <c r="AA166" s="125">
        <f>90+96</f>
        <v>186</v>
      </c>
      <c r="AB166" s="125">
        <f>90+30</f>
        <v>120</v>
      </c>
      <c r="AC166" s="125">
        <v>138.0</v>
      </c>
      <c r="AD166" s="112"/>
      <c r="AE166" s="125">
        <v>90.0</v>
      </c>
      <c r="AF166" s="125">
        <f>90+90+90</f>
        <v>270</v>
      </c>
      <c r="AG166" s="112">
        <f>90+90</f>
        <v>180</v>
      </c>
      <c r="AH166" s="125">
        <f>96+60+24</f>
        <v>180</v>
      </c>
      <c r="AI166" s="125">
        <f>102+108+24</f>
        <v>234</v>
      </c>
      <c r="AJ166" s="112">
        <f>120+90</f>
        <v>210</v>
      </c>
      <c r="AK166" s="125">
        <v>90.0</v>
      </c>
      <c r="AL166" s="125">
        <v>210.0</v>
      </c>
      <c r="AM166" s="32"/>
      <c r="AP166" s="53"/>
    </row>
    <row r="167">
      <c r="A167" s="33"/>
      <c r="B167" s="33"/>
      <c r="C167" s="33"/>
      <c r="D167" s="33"/>
      <c r="E167" s="106"/>
      <c r="F167" s="106"/>
      <c r="G167" s="107"/>
      <c r="H167" s="107"/>
      <c r="I167" s="114"/>
      <c r="J167" s="117"/>
      <c r="K167" s="118"/>
      <c r="L167" s="118"/>
      <c r="M167" s="118"/>
      <c r="N167" s="118"/>
      <c r="O167" s="118"/>
      <c r="P167" s="114"/>
      <c r="Q167" s="117"/>
      <c r="R167" s="120"/>
      <c r="S167" s="120"/>
      <c r="T167" s="120"/>
      <c r="U167" s="120"/>
      <c r="V167" s="120"/>
      <c r="W167" s="112"/>
      <c r="X167" s="120"/>
      <c r="Y167" s="120"/>
      <c r="Z167" s="120"/>
      <c r="AA167" s="120"/>
      <c r="AB167" s="120"/>
      <c r="AC167" s="120"/>
      <c r="AD167" s="112"/>
      <c r="AE167" s="120"/>
      <c r="AF167" s="120"/>
      <c r="AG167" s="120"/>
      <c r="AH167" s="120"/>
      <c r="AI167" s="127"/>
      <c r="AJ167" s="120"/>
      <c r="AK167" s="112"/>
      <c r="AL167" s="112"/>
      <c r="AM167" s="122"/>
      <c r="AN167" s="53"/>
      <c r="AO167" s="53"/>
      <c r="AP167" s="53"/>
    </row>
    <row r="168">
      <c r="A168" s="24" t="s">
        <v>81</v>
      </c>
      <c r="B168" s="17"/>
      <c r="C168" s="17"/>
      <c r="D168" s="18"/>
      <c r="E168" s="106">
        <v>6.0</v>
      </c>
      <c r="F168" s="106" t="s">
        <v>21</v>
      </c>
      <c r="G168" s="107">
        <v>5770.0</v>
      </c>
      <c r="H168" s="107" t="s">
        <v>22</v>
      </c>
      <c r="I168" s="114"/>
      <c r="J168" s="114"/>
      <c r="K168" s="114"/>
      <c r="L168" s="114"/>
      <c r="M168" s="114"/>
      <c r="N168" s="114"/>
      <c r="O168" s="114"/>
      <c r="P168" s="114"/>
      <c r="Q168" s="114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25">
        <v>3060.0</v>
      </c>
      <c r="AJ168" s="112"/>
      <c r="AK168" s="125"/>
      <c r="AL168" s="112"/>
      <c r="AM168" s="113">
        <f>G168+SUM(I168:AL168)-SUM(I169:AL169)</f>
        <v>4822</v>
      </c>
      <c r="AN168" s="53">
        <f>ROUNDDOWN((AM168/E168)/$H$4,1)</f>
        <v>26.7</v>
      </c>
      <c r="AO168" s="53">
        <f>$M$5+AN168</f>
        <v>941.7</v>
      </c>
      <c r="AP168" s="53"/>
    </row>
    <row r="169">
      <c r="A169" s="31"/>
      <c r="B169" s="17"/>
      <c r="C169" s="17"/>
      <c r="D169" s="17"/>
      <c r="E169" s="17"/>
      <c r="F169" s="18"/>
      <c r="G169" s="114"/>
      <c r="H169" s="107" t="s">
        <v>23</v>
      </c>
      <c r="I169" s="107"/>
      <c r="J169" s="107"/>
      <c r="K169" s="107">
        <v>180.0</v>
      </c>
      <c r="L169" s="107">
        <v>90.0</v>
      </c>
      <c r="M169" s="107">
        <v>180.0</v>
      </c>
      <c r="N169" s="107">
        <v>90.0</v>
      </c>
      <c r="O169" s="107">
        <v>90.0</v>
      </c>
      <c r="P169" s="107"/>
      <c r="Q169" s="107">
        <v>180.0</v>
      </c>
      <c r="R169" s="125">
        <v>180.0</v>
      </c>
      <c r="S169" s="125">
        <v>180.0</v>
      </c>
      <c r="T169" s="125">
        <v>180.0</v>
      </c>
      <c r="U169" s="125">
        <v>180.0</v>
      </c>
      <c r="V169" s="125">
        <v>180.0</v>
      </c>
      <c r="W169" s="125"/>
      <c r="X169" s="125">
        <f>90+90</f>
        <v>180</v>
      </c>
      <c r="Y169" s="125">
        <v>180.0</v>
      </c>
      <c r="Z169" s="125">
        <v>180.0</v>
      </c>
      <c r="AA169" s="125">
        <v>180.0</v>
      </c>
      <c r="AB169" s="125">
        <v>180.0</v>
      </c>
      <c r="AC169" s="125">
        <v>90.0</v>
      </c>
      <c r="AD169" s="125"/>
      <c r="AE169" s="125">
        <f>60+48</f>
        <v>108</v>
      </c>
      <c r="AF169" s="125">
        <f>90+54</f>
        <v>144</v>
      </c>
      <c r="AG169" s="125">
        <f>90+120</f>
        <v>210</v>
      </c>
      <c r="AH169" s="125">
        <f>162+90</f>
        <v>252</v>
      </c>
      <c r="AI169" s="125">
        <v>204.0</v>
      </c>
      <c r="AJ169" s="125">
        <v>156.0</v>
      </c>
      <c r="AK169" s="125"/>
      <c r="AL169" s="125">
        <f>150+84</f>
        <v>234</v>
      </c>
      <c r="AM169" s="32"/>
      <c r="AP169" s="53"/>
    </row>
    <row r="170">
      <c r="A170" s="33"/>
      <c r="B170" s="33"/>
      <c r="C170" s="33"/>
      <c r="D170" s="33"/>
      <c r="E170" s="106"/>
      <c r="F170" s="106"/>
      <c r="G170" s="107"/>
      <c r="H170" s="107"/>
      <c r="I170" s="114"/>
      <c r="J170" s="117"/>
      <c r="K170" s="118"/>
      <c r="L170" s="118"/>
      <c r="M170" s="118"/>
      <c r="N170" s="118"/>
      <c r="O170" s="118"/>
      <c r="P170" s="114"/>
      <c r="Q170" s="118"/>
      <c r="R170" s="120"/>
      <c r="S170" s="120"/>
      <c r="T170" s="120"/>
      <c r="U170" s="120"/>
      <c r="V170" s="120"/>
      <c r="W170" s="112"/>
      <c r="X170" s="120"/>
      <c r="Y170" s="120"/>
      <c r="Z170" s="120"/>
      <c r="AA170" s="120"/>
      <c r="AB170" s="120"/>
      <c r="AC170" s="120"/>
      <c r="AD170" s="112"/>
      <c r="AE170" s="120"/>
      <c r="AF170" s="120"/>
      <c r="AG170" s="120"/>
      <c r="AH170" s="120"/>
      <c r="AI170" s="127"/>
      <c r="AJ170" s="120"/>
      <c r="AK170" s="112"/>
      <c r="AL170" s="112"/>
      <c r="AM170" s="122"/>
      <c r="AN170" s="53"/>
      <c r="AO170" s="53"/>
      <c r="AP170" s="53"/>
    </row>
    <row r="171">
      <c r="A171" s="24" t="s">
        <v>82</v>
      </c>
      <c r="B171" s="17"/>
      <c r="C171" s="17"/>
      <c r="D171" s="18"/>
      <c r="E171" s="106">
        <v>2.0</v>
      </c>
      <c r="F171" s="106" t="s">
        <v>21</v>
      </c>
      <c r="G171" s="107">
        <v>2600.0</v>
      </c>
      <c r="H171" s="107" t="s">
        <v>22</v>
      </c>
      <c r="I171" s="114"/>
      <c r="J171" s="114"/>
      <c r="K171" s="114"/>
      <c r="L171" s="114"/>
      <c r="M171" s="114"/>
      <c r="N171" s="114"/>
      <c r="O171" s="107"/>
      <c r="P171" s="114"/>
      <c r="Q171" s="114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25">
        <v>480.0</v>
      </c>
      <c r="AJ171" s="112"/>
      <c r="AK171" s="112"/>
      <c r="AL171" s="112"/>
      <c r="AM171" s="113">
        <f>G171+SUM(I171:AL171)-SUM(I172:AL172)</f>
        <v>1642</v>
      </c>
      <c r="AN171" s="53">
        <f>ROUNDDOWN((AM171/E171)/$H$4,1)</f>
        <v>27.3</v>
      </c>
      <c r="AO171" s="53">
        <f>$M$3+AN171</f>
        <v>943.3</v>
      </c>
      <c r="AP171" s="53"/>
    </row>
    <row r="172">
      <c r="A172" s="31"/>
      <c r="B172" s="17"/>
      <c r="C172" s="17"/>
      <c r="D172" s="17"/>
      <c r="E172" s="17"/>
      <c r="F172" s="18"/>
      <c r="G172" s="114"/>
      <c r="H172" s="107" t="s">
        <v>23</v>
      </c>
      <c r="I172" s="107"/>
      <c r="J172" s="107"/>
      <c r="K172" s="107">
        <f>30+4</f>
        <v>34</v>
      </c>
      <c r="L172" s="107">
        <f>30+14</f>
        <v>44</v>
      </c>
      <c r="M172" s="107">
        <v>30.0</v>
      </c>
      <c r="N172" s="107">
        <f>30+12</f>
        <v>42</v>
      </c>
      <c r="O172" s="107">
        <f>60+30+30</f>
        <v>120</v>
      </c>
      <c r="P172" s="107"/>
      <c r="Q172" s="107">
        <v>24.0</v>
      </c>
      <c r="R172" s="125">
        <v>60.0</v>
      </c>
      <c r="S172" s="125">
        <f>30+24</f>
        <v>54</v>
      </c>
      <c r="T172" s="125">
        <f>30+36</f>
        <v>66</v>
      </c>
      <c r="U172" s="112">
        <f t="shared" ref="U172:V172" si="38">30+30</f>
        <v>60</v>
      </c>
      <c r="V172" s="112">
        <f t="shared" si="38"/>
        <v>60</v>
      </c>
      <c r="W172" s="125"/>
      <c r="X172" s="125">
        <f>30+30+6</f>
        <v>66</v>
      </c>
      <c r="Y172" s="125">
        <f>30+36</f>
        <v>66</v>
      </c>
      <c r="Z172" s="125">
        <f>30+38</f>
        <v>68</v>
      </c>
      <c r="AA172" s="112">
        <f>28+32</f>
        <v>60</v>
      </c>
      <c r="AB172" s="125">
        <f>34+6</f>
        <v>40</v>
      </c>
      <c r="AC172" s="125">
        <f>26+20</f>
        <v>46</v>
      </c>
      <c r="AD172" s="112"/>
      <c r="AE172" s="125">
        <f>20+20</f>
        <v>40</v>
      </c>
      <c r="AF172" s="125">
        <f>30+20+30+10</f>
        <v>90</v>
      </c>
      <c r="AG172" s="125">
        <f>30+32+8</f>
        <v>70</v>
      </c>
      <c r="AH172" s="125">
        <f>32+20</f>
        <v>52</v>
      </c>
      <c r="AI172" s="112">
        <f>40+30+8</f>
        <v>78</v>
      </c>
      <c r="AJ172" s="125">
        <f>60+10</f>
        <v>70</v>
      </c>
      <c r="AK172" s="125">
        <v>30.0</v>
      </c>
      <c r="AL172" s="125">
        <f>30+30+8</f>
        <v>68</v>
      </c>
      <c r="AM172" s="32"/>
      <c r="AP172" s="53"/>
    </row>
    <row r="173">
      <c r="A173" s="33"/>
      <c r="B173" s="33"/>
      <c r="C173" s="33"/>
      <c r="D173" s="33"/>
      <c r="E173" s="106"/>
      <c r="F173" s="106"/>
      <c r="G173" s="126"/>
      <c r="H173" s="107"/>
      <c r="I173" s="114"/>
      <c r="J173" s="117"/>
      <c r="K173" s="118"/>
      <c r="L173" s="118"/>
      <c r="M173" s="118"/>
      <c r="N173" s="118"/>
      <c r="O173" s="118"/>
      <c r="P173" s="114"/>
      <c r="Q173" s="118"/>
      <c r="R173" s="120"/>
      <c r="S173" s="120"/>
      <c r="T173" s="120"/>
      <c r="U173" s="120"/>
      <c r="V173" s="120"/>
      <c r="W173" s="112"/>
      <c r="X173" s="120"/>
      <c r="Y173" s="120"/>
      <c r="Z173" s="120"/>
      <c r="AA173" s="120"/>
      <c r="AB173" s="120"/>
      <c r="AC173" s="120"/>
      <c r="AD173" s="112"/>
      <c r="AE173" s="120"/>
      <c r="AF173" s="120"/>
      <c r="AG173" s="120"/>
      <c r="AH173" s="120"/>
      <c r="AI173" s="120"/>
      <c r="AJ173" s="120"/>
      <c r="AK173" s="112"/>
      <c r="AL173" s="112"/>
      <c r="AM173" s="122"/>
      <c r="AN173" s="53"/>
      <c r="AO173" s="53"/>
      <c r="AP173" s="53"/>
    </row>
    <row r="174">
      <c r="A174" s="24" t="s">
        <v>83</v>
      </c>
      <c r="B174" s="17"/>
      <c r="C174" s="17"/>
      <c r="D174" s="18"/>
      <c r="E174" s="106">
        <v>12.0</v>
      </c>
      <c r="F174" s="106" t="s">
        <v>21</v>
      </c>
      <c r="G174" s="126">
        <v>9701.0</v>
      </c>
      <c r="H174" s="107" t="s">
        <v>22</v>
      </c>
      <c r="I174" s="114"/>
      <c r="J174" s="114"/>
      <c r="K174" s="107">
        <v>1440.0</v>
      </c>
      <c r="L174" s="114"/>
      <c r="M174" s="107"/>
      <c r="N174" s="114"/>
      <c r="O174" s="114"/>
      <c r="P174" s="114"/>
      <c r="Q174" s="114"/>
      <c r="R174" s="125"/>
      <c r="S174" s="112"/>
      <c r="T174" s="125"/>
      <c r="U174" s="125">
        <v>2160.0</v>
      </c>
      <c r="V174" s="112"/>
      <c r="W174" s="125"/>
      <c r="X174" s="112"/>
      <c r="Y174" s="125">
        <v>2160.0</v>
      </c>
      <c r="Z174" s="112"/>
      <c r="AA174" s="125"/>
      <c r="AB174" s="112"/>
      <c r="AC174" s="125"/>
      <c r="AD174" s="125"/>
      <c r="AE174" s="112"/>
      <c r="AF174" s="112"/>
      <c r="AG174" s="125"/>
      <c r="AH174" s="112"/>
      <c r="AI174" s="125"/>
      <c r="AJ174" s="112"/>
      <c r="AK174" s="125"/>
      <c r="AL174" s="125"/>
      <c r="AM174" s="113">
        <f>G174+SUM(I174:AL174)-SUM(I175:AL175)</f>
        <v>7805</v>
      </c>
      <c r="AN174" s="53">
        <f>ROUNDDOWN((AM174/E174)/$H$4,1)</f>
        <v>21.6</v>
      </c>
      <c r="AO174" s="53">
        <f>$M$5+AN174</f>
        <v>936.6</v>
      </c>
      <c r="AP174" s="53"/>
    </row>
    <row r="175">
      <c r="A175" s="31"/>
      <c r="B175" s="17"/>
      <c r="C175" s="17"/>
      <c r="D175" s="17"/>
      <c r="E175" s="17"/>
      <c r="F175" s="18"/>
      <c r="G175" s="114"/>
      <c r="H175" s="107" t="s">
        <v>23</v>
      </c>
      <c r="I175" s="107"/>
      <c r="J175" s="107"/>
      <c r="K175" s="107">
        <v>360.0</v>
      </c>
      <c r="L175" s="107">
        <v>180.0</v>
      </c>
      <c r="M175" s="107">
        <v>360.0</v>
      </c>
      <c r="N175" s="107">
        <v>180.0</v>
      </c>
      <c r="O175" s="107">
        <v>180.0</v>
      </c>
      <c r="P175" s="107"/>
      <c r="Q175" s="107">
        <v>360.0</v>
      </c>
      <c r="R175" s="125">
        <v>360.0</v>
      </c>
      <c r="S175" s="125">
        <v>360.0</v>
      </c>
      <c r="T175" s="125">
        <v>360.0</v>
      </c>
      <c r="U175" s="125">
        <v>360.0</v>
      </c>
      <c r="V175" s="125">
        <v>360.0</v>
      </c>
      <c r="W175" s="125"/>
      <c r="X175" s="125">
        <f>180+180</f>
        <v>360</v>
      </c>
      <c r="Y175" s="125">
        <v>360.0</v>
      </c>
      <c r="Z175" s="125">
        <v>360.0</v>
      </c>
      <c r="AA175" s="125">
        <v>360.0</v>
      </c>
      <c r="AB175" s="125"/>
      <c r="AC175" s="125">
        <v>180.0</v>
      </c>
      <c r="AD175" s="125"/>
      <c r="AE175" s="125">
        <f>120+96</f>
        <v>216</v>
      </c>
      <c r="AF175" s="125">
        <f>180+108</f>
        <v>288</v>
      </c>
      <c r="AG175" s="125">
        <f>180+240</f>
        <v>420</v>
      </c>
      <c r="AH175" s="125">
        <f>324+180</f>
        <v>504</v>
      </c>
      <c r="AI175" s="125">
        <v>408.0</v>
      </c>
      <c r="AJ175" s="125">
        <v>312.0</v>
      </c>
      <c r="AK175" s="125"/>
      <c r="AL175" s="125">
        <f>300+168</f>
        <v>468</v>
      </c>
      <c r="AM175" s="32"/>
      <c r="AP175" s="53"/>
    </row>
    <row r="176">
      <c r="A176" s="33"/>
      <c r="B176" s="33"/>
      <c r="C176" s="33"/>
      <c r="D176" s="33"/>
      <c r="E176" s="106"/>
      <c r="F176" s="106"/>
      <c r="G176" s="107"/>
      <c r="H176" s="107"/>
      <c r="I176" s="114"/>
      <c r="J176" s="117"/>
      <c r="K176" s="118"/>
      <c r="L176" s="118"/>
      <c r="M176" s="118"/>
      <c r="N176" s="118"/>
      <c r="O176" s="118"/>
      <c r="P176" s="114"/>
      <c r="Q176" s="118"/>
      <c r="R176" s="120"/>
      <c r="S176" s="120"/>
      <c r="T176" s="120"/>
      <c r="U176" s="120"/>
      <c r="V176" s="120"/>
      <c r="W176" s="112"/>
      <c r="X176" s="120"/>
      <c r="Y176" s="120"/>
      <c r="Z176" s="120"/>
      <c r="AA176" s="120"/>
      <c r="AB176" s="119"/>
      <c r="AC176" s="120"/>
      <c r="AD176" s="112"/>
      <c r="AE176" s="120"/>
      <c r="AF176" s="120"/>
      <c r="AG176" s="120"/>
      <c r="AH176" s="120"/>
      <c r="AI176" s="127"/>
      <c r="AJ176" s="120"/>
      <c r="AK176" s="112"/>
      <c r="AL176" s="112"/>
      <c r="AM176" s="122"/>
      <c r="AN176" s="53"/>
      <c r="AO176" s="53"/>
      <c r="AP176" s="53"/>
    </row>
    <row r="177">
      <c r="A177" s="24" t="s">
        <v>84</v>
      </c>
      <c r="B177" s="17"/>
      <c r="C177" s="17"/>
      <c r="D177" s="18"/>
      <c r="E177" s="106">
        <v>2.0</v>
      </c>
      <c r="F177" s="106" t="s">
        <v>21</v>
      </c>
      <c r="G177" s="107">
        <v>1606.0</v>
      </c>
      <c r="H177" s="107" t="s">
        <v>22</v>
      </c>
      <c r="I177" s="114"/>
      <c r="J177" s="114"/>
      <c r="K177" s="114"/>
      <c r="L177" s="114"/>
      <c r="M177" s="114"/>
      <c r="N177" s="114"/>
      <c r="O177" s="114"/>
      <c r="P177" s="114"/>
      <c r="Q177" s="114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25">
        <v>1020.0</v>
      </c>
      <c r="AJ177" s="112"/>
      <c r="AK177" s="125"/>
      <c r="AL177" s="112"/>
      <c r="AM177" s="113">
        <f>G177+SUM(I177:AL177)-SUM(I178:AL178)</f>
        <v>1290</v>
      </c>
      <c r="AN177" s="53">
        <f>ROUNDDOWN((AM177/E177)/$H$4,1)</f>
        <v>21.5</v>
      </c>
      <c r="AO177" s="53">
        <f>$M$3+AN177</f>
        <v>937.5</v>
      </c>
      <c r="AP177" s="53"/>
    </row>
    <row r="178">
      <c r="A178" s="31"/>
      <c r="B178" s="17"/>
      <c r="C178" s="17"/>
      <c r="D178" s="17"/>
      <c r="E178" s="17"/>
      <c r="F178" s="18"/>
      <c r="G178" s="114"/>
      <c r="H178" s="107" t="s">
        <v>23</v>
      </c>
      <c r="I178" s="107"/>
      <c r="J178" s="107"/>
      <c r="K178" s="107">
        <v>60.0</v>
      </c>
      <c r="L178" s="107">
        <v>30.0</v>
      </c>
      <c r="M178" s="107">
        <v>60.0</v>
      </c>
      <c r="N178" s="107">
        <v>30.0</v>
      </c>
      <c r="O178" s="107">
        <v>30.0</v>
      </c>
      <c r="P178" s="107"/>
      <c r="Q178" s="107">
        <v>60.0</v>
      </c>
      <c r="R178" s="125">
        <v>60.0</v>
      </c>
      <c r="S178" s="125">
        <v>60.0</v>
      </c>
      <c r="T178" s="125">
        <v>60.0</v>
      </c>
      <c r="U178" s="125">
        <v>60.0</v>
      </c>
      <c r="V178" s="125">
        <v>60.0</v>
      </c>
      <c r="W178" s="125"/>
      <c r="X178" s="125">
        <f>30+30</f>
        <v>60</v>
      </c>
      <c r="Y178" s="125">
        <v>60.0</v>
      </c>
      <c r="Z178" s="125">
        <v>60.0</v>
      </c>
      <c r="AA178" s="125">
        <v>60.0</v>
      </c>
      <c r="AB178" s="125">
        <v>60.0</v>
      </c>
      <c r="AC178" s="125">
        <v>30.0</v>
      </c>
      <c r="AD178" s="125"/>
      <c r="AE178" s="125">
        <f>20+16</f>
        <v>36</v>
      </c>
      <c r="AF178" s="125">
        <f>30+18</f>
        <v>48</v>
      </c>
      <c r="AG178" s="125">
        <f>30+40</f>
        <v>70</v>
      </c>
      <c r="AH178" s="125">
        <f>54+30</f>
        <v>84</v>
      </c>
      <c r="AI178" s="125">
        <v>68.0</v>
      </c>
      <c r="AJ178" s="125">
        <v>52.0</v>
      </c>
      <c r="AK178" s="125"/>
      <c r="AL178" s="125">
        <f>50+28</f>
        <v>78</v>
      </c>
      <c r="AM178" s="32"/>
      <c r="AP178" s="53"/>
    </row>
    <row r="179">
      <c r="A179" s="33"/>
      <c r="B179" s="33"/>
      <c r="C179" s="33"/>
      <c r="D179" s="33"/>
      <c r="E179" s="106"/>
      <c r="F179" s="106"/>
      <c r="G179" s="107"/>
      <c r="H179" s="107"/>
      <c r="I179" s="114"/>
      <c r="J179" s="117"/>
      <c r="K179" s="118"/>
      <c r="L179" s="118"/>
      <c r="M179" s="118"/>
      <c r="N179" s="118"/>
      <c r="O179" s="118"/>
      <c r="P179" s="114"/>
      <c r="Q179" s="118"/>
      <c r="R179" s="120"/>
      <c r="S179" s="120"/>
      <c r="T179" s="120"/>
      <c r="U179" s="120"/>
      <c r="V179" s="120"/>
      <c r="W179" s="112"/>
      <c r="X179" s="120"/>
      <c r="Y179" s="120"/>
      <c r="Z179" s="120"/>
      <c r="AA179" s="120"/>
      <c r="AB179" s="120"/>
      <c r="AC179" s="120"/>
      <c r="AD179" s="112"/>
      <c r="AE179" s="120"/>
      <c r="AF179" s="120"/>
      <c r="AG179" s="120"/>
      <c r="AH179" s="120"/>
      <c r="AI179" s="127"/>
      <c r="AJ179" s="120"/>
      <c r="AK179" s="112"/>
      <c r="AL179" s="112"/>
      <c r="AM179" s="122"/>
      <c r="AN179" s="53"/>
      <c r="AO179" s="53"/>
      <c r="AP179" s="53"/>
    </row>
    <row r="180">
      <c r="A180" s="24" t="s">
        <v>85</v>
      </c>
      <c r="B180" s="17"/>
      <c r="C180" s="17"/>
      <c r="D180" s="18"/>
      <c r="E180" s="106">
        <v>6.0</v>
      </c>
      <c r="F180" s="106" t="s">
        <v>21</v>
      </c>
      <c r="G180" s="107">
        <v>4982.0</v>
      </c>
      <c r="H180" s="107" t="s">
        <v>22</v>
      </c>
      <c r="I180" s="107"/>
      <c r="J180" s="114"/>
      <c r="K180" s="114"/>
      <c r="L180" s="114"/>
      <c r="M180" s="114"/>
      <c r="N180" s="114"/>
      <c r="O180" s="114"/>
      <c r="P180" s="114"/>
      <c r="Q180" s="114"/>
      <c r="R180" s="112"/>
      <c r="S180" s="112"/>
      <c r="T180" s="112"/>
      <c r="U180" s="112"/>
      <c r="V180" s="112"/>
      <c r="W180" s="112"/>
      <c r="X180" s="112"/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25">
        <v>3060.0</v>
      </c>
      <c r="AJ180" s="112"/>
      <c r="AK180" s="125"/>
      <c r="AL180" s="112"/>
      <c r="AM180" s="113">
        <f>G180+SUM(I180:AL180)-SUM(I181:AL181)</f>
        <v>3872</v>
      </c>
      <c r="AN180" s="53">
        <f>ROUNDDOWN((AM180/E180)/$H$4,1)</f>
        <v>21.5</v>
      </c>
      <c r="AO180" s="53">
        <f>$M$3+AN180</f>
        <v>937.5</v>
      </c>
      <c r="AP180" s="53"/>
    </row>
    <row r="181">
      <c r="A181" s="31"/>
      <c r="B181" s="17"/>
      <c r="C181" s="17"/>
      <c r="D181" s="17"/>
      <c r="E181" s="17"/>
      <c r="F181" s="18"/>
      <c r="G181" s="114"/>
      <c r="H181" s="107" t="s">
        <v>23</v>
      </c>
      <c r="I181" s="107"/>
      <c r="J181" s="107"/>
      <c r="K181" s="107">
        <v>90.0</v>
      </c>
      <c r="L181" s="107">
        <v>90.0</v>
      </c>
      <c r="M181" s="107">
        <v>90.0</v>
      </c>
      <c r="N181" s="114">
        <f>90+90</f>
        <v>180</v>
      </c>
      <c r="O181" s="107">
        <f>180+180</f>
        <v>360</v>
      </c>
      <c r="P181" s="114"/>
      <c r="Q181" s="114"/>
      <c r="R181" s="125">
        <f t="shared" ref="R181:V181" si="39">90+90</f>
        <v>180</v>
      </c>
      <c r="S181" s="112">
        <f t="shared" si="39"/>
        <v>180</v>
      </c>
      <c r="T181" s="125">
        <f t="shared" si="39"/>
        <v>180</v>
      </c>
      <c r="U181" s="125">
        <f t="shared" si="39"/>
        <v>180</v>
      </c>
      <c r="V181" s="125">
        <f t="shared" si="39"/>
        <v>180</v>
      </c>
      <c r="W181" s="125"/>
      <c r="X181" s="125">
        <f>90+90</f>
        <v>180</v>
      </c>
      <c r="Y181" s="125">
        <f>90+108</f>
        <v>198</v>
      </c>
      <c r="Z181" s="125">
        <f>108+90</f>
        <v>198</v>
      </c>
      <c r="AA181" s="125">
        <f>90+96</f>
        <v>186</v>
      </c>
      <c r="AB181" s="125">
        <f>90+30</f>
        <v>120</v>
      </c>
      <c r="AC181" s="125">
        <v>138.0</v>
      </c>
      <c r="AD181" s="112"/>
      <c r="AE181" s="125">
        <v>90.0</v>
      </c>
      <c r="AF181" s="125">
        <f>90+90+90</f>
        <v>270</v>
      </c>
      <c r="AG181" s="112">
        <f>90+90</f>
        <v>180</v>
      </c>
      <c r="AH181" s="125">
        <f>96+60</f>
        <v>156</v>
      </c>
      <c r="AI181" s="125">
        <f>102+108+24</f>
        <v>234</v>
      </c>
      <c r="AJ181" s="112">
        <f>120+90</f>
        <v>210</v>
      </c>
      <c r="AK181" s="125">
        <v>90.0</v>
      </c>
      <c r="AL181" s="125">
        <v>210.0</v>
      </c>
      <c r="AM181" s="32"/>
      <c r="AP181" s="53"/>
    </row>
    <row r="182">
      <c r="A182" s="33"/>
      <c r="B182" s="33"/>
      <c r="C182" s="33"/>
      <c r="D182" s="33"/>
      <c r="E182" s="106"/>
      <c r="F182" s="106"/>
      <c r="G182" s="107"/>
      <c r="H182" s="107"/>
      <c r="I182" s="114"/>
      <c r="J182" s="118"/>
      <c r="K182" s="117"/>
      <c r="L182" s="118"/>
      <c r="M182" s="118"/>
      <c r="N182" s="118"/>
      <c r="O182" s="118"/>
      <c r="P182" s="114"/>
      <c r="Q182" s="117"/>
      <c r="R182" s="120"/>
      <c r="S182" s="120"/>
      <c r="T182" s="120"/>
      <c r="U182" s="120"/>
      <c r="V182" s="120"/>
      <c r="W182" s="112"/>
      <c r="X182" s="120"/>
      <c r="Y182" s="120"/>
      <c r="Z182" s="120"/>
      <c r="AA182" s="120"/>
      <c r="AB182" s="120"/>
      <c r="AC182" s="120"/>
      <c r="AD182" s="112"/>
      <c r="AE182" s="120"/>
      <c r="AF182" s="120"/>
      <c r="AG182" s="120"/>
      <c r="AH182" s="120"/>
      <c r="AI182" s="127"/>
      <c r="AJ182" s="120"/>
      <c r="AK182" s="112"/>
      <c r="AL182" s="112"/>
      <c r="AM182" s="122"/>
      <c r="AN182" s="53"/>
      <c r="AO182" s="53"/>
      <c r="AP182" s="53"/>
    </row>
    <row r="183">
      <c r="A183" s="24" t="s">
        <v>86</v>
      </c>
      <c r="B183" s="17"/>
      <c r="C183" s="17"/>
      <c r="D183" s="18"/>
      <c r="E183" s="106">
        <v>4.0</v>
      </c>
      <c r="F183" s="106" t="s">
        <v>21</v>
      </c>
      <c r="G183" s="107">
        <v>3193.0</v>
      </c>
      <c r="H183" s="107" t="s">
        <v>22</v>
      </c>
      <c r="I183" s="114"/>
      <c r="J183" s="114"/>
      <c r="K183" s="114"/>
      <c r="L183" s="114"/>
      <c r="M183" s="114"/>
      <c r="N183" s="114"/>
      <c r="O183" s="114"/>
      <c r="P183" s="114"/>
      <c r="Q183" s="114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25">
        <v>2040.0</v>
      </c>
      <c r="AJ183" s="112"/>
      <c r="AK183" s="125"/>
      <c r="AL183" s="112"/>
      <c r="AM183" s="113">
        <f>G183+SUM(I183:AL183)-SUM(I184:AL184)</f>
        <v>2453</v>
      </c>
      <c r="AN183" s="53">
        <f>ROUNDDOWN((AM183/E183)/$H$4,1)</f>
        <v>20.4</v>
      </c>
      <c r="AO183" s="53">
        <f>$M$3+AN183</f>
        <v>936.4</v>
      </c>
      <c r="AP183" s="53"/>
    </row>
    <row r="184">
      <c r="A184" s="31"/>
      <c r="B184" s="215"/>
      <c r="C184" s="215"/>
      <c r="D184" s="215"/>
      <c r="E184" s="215"/>
      <c r="F184" s="114"/>
      <c r="G184" s="114"/>
      <c r="H184" s="107" t="s">
        <v>23</v>
      </c>
      <c r="I184" s="107"/>
      <c r="J184" s="107"/>
      <c r="K184" s="107">
        <v>60.0</v>
      </c>
      <c r="L184" s="107">
        <v>60.0</v>
      </c>
      <c r="M184" s="107">
        <v>60.0</v>
      </c>
      <c r="N184" s="114">
        <f>60+60</f>
        <v>120</v>
      </c>
      <c r="O184" s="107">
        <f>120+120</f>
        <v>240</v>
      </c>
      <c r="P184" s="114"/>
      <c r="Q184" s="114"/>
      <c r="R184" s="125">
        <f t="shared" ref="R184:V184" si="40">60+60</f>
        <v>120</v>
      </c>
      <c r="S184" s="112">
        <f t="shared" si="40"/>
        <v>120</v>
      </c>
      <c r="T184" s="125">
        <f t="shared" si="40"/>
        <v>120</v>
      </c>
      <c r="U184" s="125">
        <f t="shared" si="40"/>
        <v>120</v>
      </c>
      <c r="V184" s="125">
        <f t="shared" si="40"/>
        <v>120</v>
      </c>
      <c r="W184" s="125"/>
      <c r="X184" s="125">
        <f>60+60</f>
        <v>120</v>
      </c>
      <c r="Y184" s="125">
        <f>60+72</f>
        <v>132</v>
      </c>
      <c r="Z184" s="125">
        <f>72+60</f>
        <v>132</v>
      </c>
      <c r="AA184" s="125">
        <f>60+64</f>
        <v>124</v>
      </c>
      <c r="AB184" s="125">
        <f>60+20</f>
        <v>80</v>
      </c>
      <c r="AC184" s="125">
        <v>92.0</v>
      </c>
      <c r="AD184" s="112"/>
      <c r="AE184" s="125">
        <v>60.0</v>
      </c>
      <c r="AF184" s="125">
        <f>60+60+60</f>
        <v>180</v>
      </c>
      <c r="AG184" s="112">
        <f>60+60</f>
        <v>120</v>
      </c>
      <c r="AH184" s="125">
        <f>64+40</f>
        <v>104</v>
      </c>
      <c r="AI184" s="125">
        <f>68+72+16</f>
        <v>156</v>
      </c>
      <c r="AJ184" s="112">
        <f>80+60</f>
        <v>140</v>
      </c>
      <c r="AK184" s="125">
        <v>60.0</v>
      </c>
      <c r="AL184" s="125">
        <v>140.0</v>
      </c>
      <c r="AM184" s="32"/>
      <c r="AP184" s="53"/>
    </row>
    <row r="185">
      <c r="A185" s="157"/>
      <c r="B185" s="157"/>
      <c r="C185" s="157"/>
      <c r="D185" s="157"/>
      <c r="E185" s="157"/>
      <c r="F185" s="157"/>
      <c r="G185" s="114"/>
      <c r="H185" s="108"/>
      <c r="I185" s="114"/>
      <c r="J185" s="117"/>
      <c r="K185" s="118"/>
      <c r="L185" s="118"/>
      <c r="M185" s="118"/>
      <c r="N185" s="118"/>
      <c r="O185" s="118"/>
      <c r="P185" s="114"/>
      <c r="Q185" s="117"/>
      <c r="R185" s="120"/>
      <c r="S185" s="120"/>
      <c r="T185" s="120"/>
      <c r="U185" s="120"/>
      <c r="V185" s="120"/>
      <c r="W185" s="112"/>
      <c r="X185" s="120"/>
      <c r="Y185" s="120"/>
      <c r="Z185" s="120"/>
      <c r="AA185" s="120"/>
      <c r="AB185" s="120"/>
      <c r="AC185" s="120"/>
      <c r="AD185" s="112"/>
      <c r="AE185" s="120"/>
      <c r="AF185" s="120"/>
      <c r="AG185" s="120"/>
      <c r="AH185" s="120"/>
      <c r="AI185" s="120"/>
      <c r="AJ185" s="120"/>
      <c r="AK185" s="112"/>
      <c r="AL185" s="112"/>
      <c r="AM185" s="110"/>
      <c r="AN185" s="49"/>
      <c r="AO185" s="49"/>
      <c r="AP185" s="49"/>
    </row>
    <row r="186">
      <c r="A186" s="76" t="s">
        <v>87</v>
      </c>
      <c r="B186" s="17"/>
      <c r="C186" s="17"/>
      <c r="D186" s="17"/>
      <c r="E186" s="17"/>
      <c r="F186" s="17"/>
      <c r="G186" s="159"/>
      <c r="H186" s="153"/>
      <c r="I186" s="154"/>
      <c r="J186" s="154"/>
      <c r="K186" s="154"/>
      <c r="L186" s="154"/>
      <c r="M186" s="154"/>
      <c r="N186" s="154"/>
      <c r="O186" s="154"/>
      <c r="P186" s="154"/>
      <c r="Q186" s="154"/>
      <c r="R186" s="134"/>
      <c r="S186" s="134"/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5"/>
      <c r="AM186" s="135"/>
      <c r="AN186" s="52"/>
      <c r="AO186" s="52"/>
      <c r="AP186" s="52"/>
    </row>
    <row r="187">
      <c r="A187" s="24" t="s">
        <v>88</v>
      </c>
      <c r="B187" s="17"/>
      <c r="C187" s="17"/>
      <c r="D187" s="18"/>
      <c r="E187" s="106">
        <v>1.39</v>
      </c>
      <c r="F187" s="106" t="s">
        <v>89</v>
      </c>
      <c r="G187" s="160">
        <v>1637.0</v>
      </c>
      <c r="H187" s="107" t="s">
        <v>22</v>
      </c>
      <c r="I187" s="114"/>
      <c r="J187" s="107"/>
      <c r="K187" s="114"/>
      <c r="L187" s="114"/>
      <c r="M187" s="114"/>
      <c r="N187" s="114"/>
      <c r="O187" s="107"/>
      <c r="P187" s="114"/>
      <c r="Q187" s="114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25"/>
      <c r="AH187" s="125"/>
      <c r="AI187" s="125"/>
      <c r="AJ187" s="112"/>
      <c r="AK187" s="112"/>
      <c r="AL187" s="112"/>
      <c r="AM187" s="113">
        <f>G187+SUM(I187:AL187)-SUM(I188:AL188)</f>
        <v>1054</v>
      </c>
      <c r="AN187" s="53">
        <f>ROUNDDOWN((AM187/E187)/$H$4,1)</f>
        <v>25.2</v>
      </c>
      <c r="AO187" s="53">
        <f>$M$3+AN187</f>
        <v>941.2</v>
      </c>
      <c r="AP187" s="53"/>
    </row>
    <row r="188">
      <c r="A188" s="31"/>
      <c r="B188" s="17"/>
      <c r="C188" s="17"/>
      <c r="D188" s="17"/>
      <c r="E188" s="17"/>
      <c r="F188" s="18"/>
      <c r="G188" s="112"/>
      <c r="H188" s="107" t="s">
        <v>23</v>
      </c>
      <c r="I188" s="107"/>
      <c r="J188" s="107"/>
      <c r="K188" s="107">
        <f>4+1</f>
        <v>5</v>
      </c>
      <c r="L188" s="107">
        <v>4.0</v>
      </c>
      <c r="M188" s="107">
        <f>4+2+2</f>
        <v>8</v>
      </c>
      <c r="N188" s="107">
        <f>4+4+1</f>
        <v>9</v>
      </c>
      <c r="O188" s="107">
        <f>9+9+1</f>
        <v>19</v>
      </c>
      <c r="P188" s="107"/>
      <c r="Q188" s="107">
        <f>1+38</f>
        <v>39</v>
      </c>
      <c r="R188" s="125">
        <f>4+5+1</f>
        <v>10</v>
      </c>
      <c r="S188" s="125">
        <f>4+4+38+1</f>
        <v>47</v>
      </c>
      <c r="T188" s="125">
        <f>4+4+2</f>
        <v>10</v>
      </c>
      <c r="U188" s="125">
        <f>5+4+38+1</f>
        <v>48</v>
      </c>
      <c r="V188" s="125">
        <f>5+4+1</f>
        <v>10</v>
      </c>
      <c r="W188" s="125"/>
      <c r="X188" s="125">
        <f>4+4+1+38+1</f>
        <v>48</v>
      </c>
      <c r="Y188" s="125">
        <f>4+4+1</f>
        <v>9</v>
      </c>
      <c r="Z188" s="125">
        <f>4+4+2+38</f>
        <v>48</v>
      </c>
      <c r="AA188" s="125">
        <f>4+4+2</f>
        <v>10</v>
      </c>
      <c r="AB188" s="125">
        <f>4+1+2+38</f>
        <v>45</v>
      </c>
      <c r="AC188" s="125">
        <f>4+1</f>
        <v>5</v>
      </c>
      <c r="AD188" s="125"/>
      <c r="AE188" s="125">
        <f>4+1+38</f>
        <v>43</v>
      </c>
      <c r="AF188" s="125">
        <f>4+4+38</f>
        <v>46</v>
      </c>
      <c r="AG188" s="125">
        <f>4+4</f>
        <v>8</v>
      </c>
      <c r="AH188" s="125">
        <f>4+4+38</f>
        <v>46</v>
      </c>
      <c r="AI188" s="125">
        <f>4+4+5</f>
        <v>13</v>
      </c>
      <c r="AJ188" s="112">
        <f>4+4</f>
        <v>8</v>
      </c>
      <c r="AK188" s="125">
        <v>4.0</v>
      </c>
      <c r="AL188" s="125">
        <f>1+2+38</f>
        <v>41</v>
      </c>
      <c r="AM188" s="32"/>
      <c r="AP188" s="53"/>
    </row>
    <row r="189">
      <c r="A189" s="33"/>
      <c r="B189" s="33"/>
      <c r="C189" s="33"/>
      <c r="D189" s="33"/>
      <c r="E189" s="106"/>
      <c r="F189" s="106"/>
      <c r="G189" s="160"/>
      <c r="H189" s="107"/>
      <c r="I189" s="107"/>
      <c r="J189" s="117"/>
      <c r="K189" s="118"/>
      <c r="L189" s="124"/>
      <c r="M189" s="118"/>
      <c r="N189" s="118"/>
      <c r="O189" s="118"/>
      <c r="P189" s="114"/>
      <c r="Q189" s="118"/>
      <c r="R189" s="120"/>
      <c r="S189" s="120"/>
      <c r="T189" s="120"/>
      <c r="U189" s="120"/>
      <c r="V189" s="120"/>
      <c r="W189" s="112"/>
      <c r="X189" s="120"/>
      <c r="Y189" s="120"/>
      <c r="Z189" s="120"/>
      <c r="AA189" s="120"/>
      <c r="AB189" s="120"/>
      <c r="AC189" s="120"/>
      <c r="AD189" s="112"/>
      <c r="AE189" s="120"/>
      <c r="AF189" s="120"/>
      <c r="AG189" s="120"/>
      <c r="AH189" s="120"/>
      <c r="AI189" s="120"/>
      <c r="AJ189" s="120"/>
      <c r="AK189" s="112"/>
      <c r="AL189" s="112"/>
      <c r="AM189" s="122"/>
      <c r="AN189" s="53"/>
      <c r="AO189" s="53"/>
      <c r="AP189" s="53"/>
    </row>
    <row r="190">
      <c r="A190" s="24" t="s">
        <v>90</v>
      </c>
      <c r="B190" s="17"/>
      <c r="C190" s="17"/>
      <c r="D190" s="18"/>
      <c r="E190" s="106">
        <v>0.4</v>
      </c>
      <c r="F190" s="106" t="s">
        <v>21</v>
      </c>
      <c r="G190" s="160">
        <v>241.0</v>
      </c>
      <c r="H190" s="107" t="s">
        <v>22</v>
      </c>
      <c r="I190" s="114"/>
      <c r="J190" s="114"/>
      <c r="K190" s="114"/>
      <c r="L190" s="107"/>
      <c r="M190" s="114"/>
      <c r="N190" s="114"/>
      <c r="O190" s="114"/>
      <c r="P190" s="114"/>
      <c r="Q190" s="114"/>
      <c r="R190" s="112"/>
      <c r="S190" s="112"/>
      <c r="T190" s="112"/>
      <c r="U190" s="112"/>
      <c r="V190" s="112"/>
      <c r="W190" s="112"/>
      <c r="X190" s="112"/>
      <c r="Y190" s="112"/>
      <c r="Z190" s="112"/>
      <c r="AA190" s="112"/>
      <c r="AB190" s="112"/>
      <c r="AC190" s="125"/>
      <c r="AD190" s="112"/>
      <c r="AE190" s="112"/>
      <c r="AF190" s="112"/>
      <c r="AG190" s="112"/>
      <c r="AH190" s="112"/>
      <c r="AI190" s="112"/>
      <c r="AJ190" s="112"/>
      <c r="AK190" s="112"/>
      <c r="AL190" s="112"/>
      <c r="AM190" s="113">
        <f>G190+SUM(I190:AL190)-SUM(I191:AL191)</f>
        <v>49</v>
      </c>
      <c r="AN190" s="53">
        <f>ROUNDDOWN((AM190/E190)/$H$4,1)</f>
        <v>4</v>
      </c>
      <c r="AO190" s="53">
        <f>M5+AN190</f>
        <v>919</v>
      </c>
      <c r="AP190" s="53"/>
    </row>
    <row r="191">
      <c r="A191" s="31"/>
      <c r="B191" s="17"/>
      <c r="C191" s="17"/>
      <c r="D191" s="17"/>
      <c r="E191" s="17"/>
      <c r="F191" s="18"/>
      <c r="G191" s="112"/>
      <c r="H191" s="107" t="s">
        <v>23</v>
      </c>
      <c r="I191" s="107"/>
      <c r="J191" s="107"/>
      <c r="K191" s="107">
        <v>9.0</v>
      </c>
      <c r="L191" s="107">
        <v>5.0</v>
      </c>
      <c r="M191" s="107">
        <v>9.0</v>
      </c>
      <c r="N191" s="107">
        <v>5.0</v>
      </c>
      <c r="O191" s="107">
        <v>5.0</v>
      </c>
      <c r="P191" s="107"/>
      <c r="Q191" s="107">
        <v>9.0</v>
      </c>
      <c r="R191" s="125">
        <v>8.0</v>
      </c>
      <c r="S191" s="125">
        <v>10.0</v>
      </c>
      <c r="T191" s="125">
        <v>10.0</v>
      </c>
      <c r="U191" s="125">
        <v>9.0</v>
      </c>
      <c r="V191" s="125">
        <v>9.0</v>
      </c>
      <c r="W191" s="125"/>
      <c r="X191" s="125">
        <f>4+5</f>
        <v>9</v>
      </c>
      <c r="Y191" s="125">
        <v>9.0</v>
      </c>
      <c r="Z191" s="125">
        <v>9.0</v>
      </c>
      <c r="AA191" s="125">
        <v>10.0</v>
      </c>
      <c r="AB191" s="125">
        <v>9.0</v>
      </c>
      <c r="AC191" s="125">
        <v>4.0</v>
      </c>
      <c r="AD191" s="125"/>
      <c r="AE191" s="125">
        <f>4+1</f>
        <v>5</v>
      </c>
      <c r="AF191" s="125">
        <f>4+4</f>
        <v>8</v>
      </c>
      <c r="AG191" s="125">
        <f>4+6</f>
        <v>10</v>
      </c>
      <c r="AH191" s="125">
        <f>4+4</f>
        <v>8</v>
      </c>
      <c r="AI191" s="125">
        <v>10.0</v>
      </c>
      <c r="AJ191" s="125">
        <v>4.0</v>
      </c>
      <c r="AK191" s="125"/>
      <c r="AL191" s="125">
        <f>7+2</f>
        <v>9</v>
      </c>
      <c r="AM191" s="32"/>
      <c r="AP191" s="53"/>
    </row>
    <row r="192">
      <c r="A192" s="33"/>
      <c r="B192" s="33"/>
      <c r="C192" s="33"/>
      <c r="D192" s="33"/>
      <c r="E192" s="106"/>
      <c r="F192" s="106"/>
      <c r="G192" s="160"/>
      <c r="H192" s="107"/>
      <c r="I192" s="114"/>
      <c r="J192" s="117"/>
      <c r="K192" s="118"/>
      <c r="L192" s="118"/>
      <c r="M192" s="118"/>
      <c r="N192" s="118"/>
      <c r="O192" s="124"/>
      <c r="P192" s="114"/>
      <c r="Q192" s="118"/>
      <c r="R192" s="120"/>
      <c r="S192" s="120"/>
      <c r="T192" s="120"/>
      <c r="U192" s="120"/>
      <c r="V192" s="120"/>
      <c r="W192" s="112"/>
      <c r="X192" s="120"/>
      <c r="Y192" s="127"/>
      <c r="Z192" s="120"/>
      <c r="AA192" s="120"/>
      <c r="AB192" s="120"/>
      <c r="AC192" s="120"/>
      <c r="AD192" s="112"/>
      <c r="AE192" s="120"/>
      <c r="AF192" s="120"/>
      <c r="AG192" s="120"/>
      <c r="AH192" s="120"/>
      <c r="AI192" s="120"/>
      <c r="AJ192" s="120"/>
      <c r="AK192" s="112"/>
      <c r="AL192" s="112"/>
      <c r="AM192" s="122"/>
      <c r="AN192" s="53"/>
      <c r="AO192" s="53"/>
      <c r="AP192" s="53"/>
    </row>
    <row r="193">
      <c r="A193" s="24" t="s">
        <v>91</v>
      </c>
      <c r="B193" s="17"/>
      <c r="C193" s="17"/>
      <c r="D193" s="18"/>
      <c r="E193" s="106">
        <v>0.24</v>
      </c>
      <c r="F193" s="106" t="s">
        <v>92</v>
      </c>
      <c r="G193" s="160">
        <v>67.0</v>
      </c>
      <c r="H193" s="107" t="s">
        <v>22</v>
      </c>
      <c r="I193" s="114"/>
      <c r="J193" s="114"/>
      <c r="K193" s="114"/>
      <c r="L193" s="114"/>
      <c r="M193" s="114"/>
      <c r="N193" s="114"/>
      <c r="O193" s="107"/>
      <c r="P193" s="114"/>
      <c r="Q193" s="114"/>
      <c r="R193" s="112"/>
      <c r="S193" s="112"/>
      <c r="T193" s="112"/>
      <c r="U193" s="112"/>
      <c r="V193" s="112"/>
      <c r="W193" s="125"/>
      <c r="X193" s="112"/>
      <c r="Y193" s="125"/>
      <c r="Z193" s="112"/>
      <c r="AA193" s="125">
        <v>95.0</v>
      </c>
      <c r="AB193" s="112"/>
      <c r="AC193" s="125"/>
      <c r="AD193" s="125"/>
      <c r="AE193" s="112"/>
      <c r="AF193" s="112"/>
      <c r="AG193" s="112"/>
      <c r="AH193" s="112"/>
      <c r="AI193" s="112"/>
      <c r="AJ193" s="112"/>
      <c r="AK193" s="112"/>
      <c r="AL193" s="112"/>
      <c r="AM193" s="113">
        <f>G193+SUM(I193:AL193)-SUM(I194:AL194)</f>
        <v>42</v>
      </c>
      <c r="AN193" s="53">
        <f>ROUNDDOWN((AM193/E193)/$H$4,1)</f>
        <v>5.8</v>
      </c>
      <c r="AO193" s="53">
        <f>M3+AN193</f>
        <v>921.8</v>
      </c>
      <c r="AP193" s="53"/>
    </row>
    <row r="194">
      <c r="A194" s="31"/>
      <c r="B194" s="17"/>
      <c r="C194" s="17"/>
      <c r="D194" s="17"/>
      <c r="E194" s="17"/>
      <c r="F194" s="18"/>
      <c r="G194" s="112"/>
      <c r="H194" s="107" t="s">
        <v>23</v>
      </c>
      <c r="I194" s="107"/>
      <c r="J194" s="107"/>
      <c r="K194" s="107">
        <v>3.0</v>
      </c>
      <c r="L194" s="107">
        <f>3+1</f>
        <v>4</v>
      </c>
      <c r="M194" s="107">
        <v>3.0</v>
      </c>
      <c r="N194" s="107">
        <f>3+1</f>
        <v>4</v>
      </c>
      <c r="O194" s="107">
        <f>5+2+3</f>
        <v>10</v>
      </c>
      <c r="P194" s="114"/>
      <c r="Q194" s="107">
        <v>2.0</v>
      </c>
      <c r="R194" s="125">
        <v>3.0</v>
      </c>
      <c r="S194" s="125">
        <f>3+2</f>
        <v>5</v>
      </c>
      <c r="T194" s="125">
        <f>5+5</f>
        <v>10</v>
      </c>
      <c r="U194" s="125">
        <f>3+2</f>
        <v>5</v>
      </c>
      <c r="V194" s="125">
        <f>3+1</f>
        <v>4</v>
      </c>
      <c r="W194" s="125"/>
      <c r="X194" s="125">
        <f t="shared" ref="X194:Y194" si="41">3+2</f>
        <v>5</v>
      </c>
      <c r="Y194" s="125">
        <f t="shared" si="41"/>
        <v>5</v>
      </c>
      <c r="Z194" s="125">
        <f>3+3</f>
        <v>6</v>
      </c>
      <c r="AA194" s="125">
        <f>2+2</f>
        <v>4</v>
      </c>
      <c r="AB194" s="125">
        <v>3.0</v>
      </c>
      <c r="AC194" s="112">
        <f>3+1</f>
        <v>4</v>
      </c>
      <c r="AD194" s="112"/>
      <c r="AE194" s="125">
        <v>3.0</v>
      </c>
      <c r="AF194" s="125">
        <f>4+3+1</f>
        <v>8</v>
      </c>
      <c r="AG194" s="125">
        <f>3+4</f>
        <v>7</v>
      </c>
      <c r="AH194" s="125">
        <f>2+2</f>
        <v>4</v>
      </c>
      <c r="AI194" s="125">
        <f>2+3</f>
        <v>5</v>
      </c>
      <c r="AJ194" s="125">
        <f>5+1</f>
        <v>6</v>
      </c>
      <c r="AK194" s="125">
        <v>3.0</v>
      </c>
      <c r="AL194" s="125">
        <f>2+2</f>
        <v>4</v>
      </c>
      <c r="AM194" s="32"/>
      <c r="AP194" s="53"/>
    </row>
    <row r="195">
      <c r="A195" s="33"/>
      <c r="B195" s="33"/>
      <c r="C195" s="33"/>
      <c r="D195" s="33"/>
      <c r="E195" s="161"/>
      <c r="F195" s="161"/>
      <c r="G195" s="160"/>
      <c r="H195" s="107"/>
      <c r="I195" s="114"/>
      <c r="J195" s="117"/>
      <c r="K195" s="118"/>
      <c r="L195" s="118"/>
      <c r="M195" s="118"/>
      <c r="N195" s="118"/>
      <c r="O195" s="118"/>
      <c r="P195" s="114"/>
      <c r="Q195" s="118"/>
      <c r="R195" s="120"/>
      <c r="S195" s="120"/>
      <c r="T195" s="120"/>
      <c r="U195" s="120"/>
      <c r="V195" s="120"/>
      <c r="W195" s="112"/>
      <c r="X195" s="120"/>
      <c r="Y195" s="120"/>
      <c r="Z195" s="120"/>
      <c r="AA195" s="127"/>
      <c r="AB195" s="127"/>
      <c r="AC195" s="120"/>
      <c r="AD195" s="112"/>
      <c r="AE195" s="120"/>
      <c r="AF195" s="120"/>
      <c r="AG195" s="120"/>
      <c r="AH195" s="120"/>
      <c r="AI195" s="120"/>
      <c r="AJ195" s="120"/>
      <c r="AK195" s="112"/>
      <c r="AL195" s="112"/>
      <c r="AM195" s="122"/>
      <c r="AN195" s="53"/>
      <c r="AO195" s="53"/>
      <c r="AP195" s="53"/>
    </row>
    <row r="196">
      <c r="A196" s="24" t="s">
        <v>93</v>
      </c>
      <c r="B196" s="17"/>
      <c r="C196" s="17"/>
      <c r="D196" s="18"/>
      <c r="E196" s="161"/>
      <c r="F196" s="161"/>
      <c r="G196" s="160">
        <v>500.0</v>
      </c>
      <c r="H196" s="107" t="s">
        <v>22</v>
      </c>
      <c r="I196" s="114"/>
      <c r="J196" s="114"/>
      <c r="K196" s="114"/>
      <c r="L196" s="114"/>
      <c r="M196" s="114"/>
      <c r="N196" s="114"/>
      <c r="O196" s="114"/>
      <c r="P196" s="114"/>
      <c r="Q196" s="114"/>
      <c r="R196" s="112"/>
      <c r="S196" s="112"/>
      <c r="T196" s="112"/>
      <c r="U196" s="125"/>
      <c r="V196" s="112"/>
      <c r="W196" s="112"/>
      <c r="X196" s="112"/>
      <c r="Y196" s="112"/>
      <c r="Z196" s="112"/>
      <c r="AA196" s="125"/>
      <c r="AB196" s="125"/>
      <c r="AC196" s="112"/>
      <c r="AD196" s="112"/>
      <c r="AE196" s="112"/>
      <c r="AF196" s="112"/>
      <c r="AG196" s="125"/>
      <c r="AH196" s="112"/>
      <c r="AI196" s="112"/>
      <c r="AJ196" s="112"/>
      <c r="AK196" s="112"/>
      <c r="AL196" s="112"/>
      <c r="AM196" s="113">
        <f>G196+SUM(I196:AL196)-SUM(I197:AL197)</f>
        <v>100</v>
      </c>
      <c r="AN196" s="53"/>
      <c r="AO196" s="53"/>
      <c r="AP196" s="53"/>
    </row>
    <row r="197">
      <c r="A197" s="31"/>
      <c r="B197" s="17"/>
      <c r="C197" s="17"/>
      <c r="D197" s="17"/>
      <c r="E197" s="17"/>
      <c r="F197" s="18"/>
      <c r="G197" s="112"/>
      <c r="H197" s="107" t="s">
        <v>23</v>
      </c>
      <c r="I197" s="107"/>
      <c r="J197" s="107"/>
      <c r="K197" s="107"/>
      <c r="L197" s="107">
        <v>25.0</v>
      </c>
      <c r="M197" s="107">
        <v>50.0</v>
      </c>
      <c r="N197" s="107">
        <v>50.0</v>
      </c>
      <c r="O197" s="114"/>
      <c r="P197" s="107"/>
      <c r="Q197" s="107">
        <v>25.0</v>
      </c>
      <c r="R197" s="125">
        <v>25.0</v>
      </c>
      <c r="S197" s="112"/>
      <c r="T197" s="125">
        <v>50.0</v>
      </c>
      <c r="U197" s="125"/>
      <c r="V197" s="125"/>
      <c r="W197" s="125"/>
      <c r="X197" s="125">
        <v>25.0</v>
      </c>
      <c r="Y197" s="125">
        <v>25.0</v>
      </c>
      <c r="Z197" s="125"/>
      <c r="AA197" s="125">
        <v>25.0</v>
      </c>
      <c r="AB197" s="125"/>
      <c r="AC197" s="125"/>
      <c r="AD197" s="125"/>
      <c r="AE197" s="125">
        <v>50.0</v>
      </c>
      <c r="AF197" s="125"/>
      <c r="AG197" s="125"/>
      <c r="AH197" s="125"/>
      <c r="AI197" s="125">
        <v>25.0</v>
      </c>
      <c r="AJ197" s="125"/>
      <c r="AK197" s="125"/>
      <c r="AL197" s="125">
        <v>25.0</v>
      </c>
      <c r="AM197" s="32"/>
      <c r="AP197" s="53"/>
    </row>
    <row r="198">
      <c r="A198" s="33"/>
      <c r="B198" s="33"/>
      <c r="C198" s="33"/>
      <c r="D198" s="33"/>
      <c r="E198" s="161"/>
      <c r="F198" s="161"/>
      <c r="G198" s="160"/>
      <c r="H198" s="107"/>
      <c r="I198" s="114"/>
      <c r="J198" s="117"/>
      <c r="K198" s="117"/>
      <c r="L198" s="118"/>
      <c r="M198" s="118"/>
      <c r="N198" s="118"/>
      <c r="O198" s="117"/>
      <c r="P198" s="114"/>
      <c r="Q198" s="118"/>
      <c r="R198" s="120"/>
      <c r="S198" s="119"/>
      <c r="T198" s="120"/>
      <c r="U198" s="119"/>
      <c r="V198" s="119"/>
      <c r="W198" s="112"/>
      <c r="X198" s="120"/>
      <c r="Y198" s="120"/>
      <c r="Z198" s="119"/>
      <c r="AA198" s="120"/>
      <c r="AB198" s="121"/>
      <c r="AC198" s="119"/>
      <c r="AD198" s="112"/>
      <c r="AE198" s="120"/>
      <c r="AF198" s="119"/>
      <c r="AG198" s="119"/>
      <c r="AH198" s="119"/>
      <c r="AI198" s="120"/>
      <c r="AJ198" s="119"/>
      <c r="AK198" s="112"/>
      <c r="AL198" s="112"/>
      <c r="AM198" s="122"/>
      <c r="AN198" s="53"/>
      <c r="AO198" s="53"/>
      <c r="AP198" s="53"/>
    </row>
    <row r="199">
      <c r="A199" s="24" t="s">
        <v>94</v>
      </c>
      <c r="B199" s="17"/>
      <c r="C199" s="17"/>
      <c r="D199" s="18"/>
      <c r="E199" s="161"/>
      <c r="F199" s="161"/>
      <c r="G199" s="160">
        <v>200.0</v>
      </c>
      <c r="H199" s="107" t="s">
        <v>22</v>
      </c>
      <c r="I199" s="114"/>
      <c r="J199" s="114"/>
      <c r="K199" s="114"/>
      <c r="L199" s="114"/>
      <c r="M199" s="114"/>
      <c r="N199" s="114"/>
      <c r="O199" s="114"/>
      <c r="P199" s="114"/>
      <c r="Q199" s="114"/>
      <c r="R199" s="112"/>
      <c r="S199" s="112"/>
      <c r="T199" s="112"/>
      <c r="U199" s="125"/>
      <c r="V199" s="112"/>
      <c r="W199" s="112"/>
      <c r="X199" s="112"/>
      <c r="Y199" s="112"/>
      <c r="Z199" s="112"/>
      <c r="AA199" s="112"/>
      <c r="AB199" s="125"/>
      <c r="AC199" s="112"/>
      <c r="AD199" s="112"/>
      <c r="AE199" s="112"/>
      <c r="AF199" s="112"/>
      <c r="AG199" s="112"/>
      <c r="AH199" s="112"/>
      <c r="AI199" s="112"/>
      <c r="AJ199" s="112"/>
      <c r="AK199" s="112"/>
      <c r="AL199" s="112"/>
      <c r="AM199" s="113">
        <f>G199+SUM(I199:AL199)-SUM(I200:AL200)</f>
        <v>100</v>
      </c>
      <c r="AN199" s="53"/>
      <c r="AO199" s="53"/>
      <c r="AP199" s="53"/>
    </row>
    <row r="200">
      <c r="A200" s="31"/>
      <c r="B200" s="17"/>
      <c r="C200" s="17"/>
      <c r="D200" s="17"/>
      <c r="E200" s="17"/>
      <c r="F200" s="18"/>
      <c r="G200" s="112"/>
      <c r="H200" s="107" t="s">
        <v>23</v>
      </c>
      <c r="I200" s="107"/>
      <c r="J200" s="107"/>
      <c r="K200" s="114"/>
      <c r="L200" s="114"/>
      <c r="M200" s="107"/>
      <c r="N200" s="107"/>
      <c r="O200" s="114"/>
      <c r="P200" s="107"/>
      <c r="Q200" s="107"/>
      <c r="R200" s="112"/>
      <c r="S200" s="125">
        <v>25.0</v>
      </c>
      <c r="T200" s="125"/>
      <c r="U200" s="112"/>
      <c r="V200" s="125"/>
      <c r="W200" s="125"/>
      <c r="X200" s="125"/>
      <c r="Y200" s="125">
        <v>25.0</v>
      </c>
      <c r="Z200" s="125"/>
      <c r="AA200" s="125">
        <v>25.0</v>
      </c>
      <c r="AB200" s="112"/>
      <c r="AC200" s="125"/>
      <c r="AD200" s="125"/>
      <c r="AE200" s="112"/>
      <c r="AF200" s="125"/>
      <c r="AG200" s="125"/>
      <c r="AH200" s="112"/>
      <c r="AI200" s="112"/>
      <c r="AJ200" s="125"/>
      <c r="AK200" s="112"/>
      <c r="AL200" s="125">
        <v>25.0</v>
      </c>
      <c r="AM200" s="32"/>
      <c r="AP200" s="53"/>
    </row>
    <row r="201">
      <c r="A201" s="33"/>
      <c r="B201" s="33"/>
      <c r="C201" s="33"/>
      <c r="D201" s="33"/>
      <c r="E201" s="161"/>
      <c r="F201" s="161"/>
      <c r="G201" s="160"/>
      <c r="H201" s="107"/>
      <c r="I201" s="114"/>
      <c r="J201" s="117"/>
      <c r="K201" s="117"/>
      <c r="L201" s="117"/>
      <c r="M201" s="117"/>
      <c r="N201" s="117"/>
      <c r="O201" s="117"/>
      <c r="P201" s="114"/>
      <c r="Q201" s="117"/>
      <c r="R201" s="119"/>
      <c r="S201" s="120"/>
      <c r="T201" s="119"/>
      <c r="U201" s="119"/>
      <c r="V201" s="119"/>
      <c r="W201" s="112"/>
      <c r="X201" s="119"/>
      <c r="Y201" s="120"/>
      <c r="Z201" s="119"/>
      <c r="AA201" s="120"/>
      <c r="AB201" s="121"/>
      <c r="AC201" s="119"/>
      <c r="AD201" s="112"/>
      <c r="AE201" s="119"/>
      <c r="AF201" s="119"/>
      <c r="AG201" s="119"/>
      <c r="AH201" s="119"/>
      <c r="AI201" s="119"/>
      <c r="AJ201" s="119"/>
      <c r="AK201" s="112"/>
      <c r="AL201" s="112"/>
      <c r="AM201" s="122"/>
      <c r="AN201" s="53"/>
      <c r="AO201" s="53"/>
      <c r="AP201" s="53"/>
    </row>
    <row r="202">
      <c r="A202" s="24" t="s">
        <v>95</v>
      </c>
      <c r="B202" s="17"/>
      <c r="C202" s="17"/>
      <c r="D202" s="18"/>
      <c r="E202" s="161"/>
      <c r="F202" s="161"/>
      <c r="G202" s="160">
        <v>240.0</v>
      </c>
      <c r="H202" s="107" t="s">
        <v>22</v>
      </c>
      <c r="I202" s="114"/>
      <c r="J202" s="114"/>
      <c r="K202" s="114"/>
      <c r="L202" s="114"/>
      <c r="M202" s="114"/>
      <c r="N202" s="114"/>
      <c r="O202" s="114"/>
      <c r="P202" s="114"/>
      <c r="Q202" s="114"/>
      <c r="R202" s="112"/>
      <c r="S202" s="112"/>
      <c r="T202" s="112"/>
      <c r="U202" s="125"/>
      <c r="V202" s="112"/>
      <c r="W202" s="112"/>
      <c r="X202" s="112"/>
      <c r="Y202" s="112"/>
      <c r="Z202" s="112"/>
      <c r="AA202" s="112"/>
      <c r="AB202" s="125"/>
      <c r="AC202" s="112"/>
      <c r="AD202" s="112"/>
      <c r="AE202" s="112"/>
      <c r="AF202" s="112"/>
      <c r="AG202" s="125"/>
      <c r="AH202" s="112"/>
      <c r="AI202" s="112"/>
      <c r="AJ202" s="112"/>
      <c r="AK202" s="112"/>
      <c r="AL202" s="112"/>
      <c r="AM202" s="113">
        <f>G202+SUM(I202:AL202)-SUM(I203:AL203)</f>
        <v>140</v>
      </c>
      <c r="AN202" s="53"/>
      <c r="AO202" s="53"/>
      <c r="AP202" s="53"/>
    </row>
    <row r="203">
      <c r="A203" s="31"/>
      <c r="B203" s="17"/>
      <c r="C203" s="17"/>
      <c r="D203" s="17"/>
      <c r="E203" s="17"/>
      <c r="F203" s="18"/>
      <c r="G203" s="112"/>
      <c r="H203" s="107" t="s">
        <v>23</v>
      </c>
      <c r="I203" s="114"/>
      <c r="J203" s="114"/>
      <c r="K203" s="114"/>
      <c r="L203" s="114"/>
      <c r="M203" s="107"/>
      <c r="N203" s="114"/>
      <c r="O203" s="114"/>
      <c r="P203" s="107"/>
      <c r="Q203" s="114"/>
      <c r="R203" s="112"/>
      <c r="S203" s="125">
        <v>40.0</v>
      </c>
      <c r="T203" s="125"/>
      <c r="U203" s="112"/>
      <c r="V203" s="125"/>
      <c r="W203" s="112"/>
      <c r="X203" s="112"/>
      <c r="Y203" s="125">
        <v>40.0</v>
      </c>
      <c r="Z203" s="125"/>
      <c r="AA203" s="112"/>
      <c r="AB203" s="112"/>
      <c r="AC203" s="125"/>
      <c r="AD203" s="125"/>
      <c r="AE203" s="112"/>
      <c r="AF203" s="112"/>
      <c r="AG203" s="125"/>
      <c r="AH203" s="125"/>
      <c r="AI203" s="112"/>
      <c r="AJ203" s="125"/>
      <c r="AK203" s="112"/>
      <c r="AL203" s="125">
        <v>20.0</v>
      </c>
      <c r="AM203" s="32"/>
      <c r="AP203" s="53"/>
    </row>
    <row r="204">
      <c r="A204" s="33"/>
      <c r="B204" s="33"/>
      <c r="C204" s="33"/>
      <c r="D204" s="33"/>
      <c r="E204" s="106"/>
      <c r="F204" s="106"/>
      <c r="G204" s="112"/>
      <c r="H204" s="107"/>
      <c r="I204" s="114"/>
      <c r="J204" s="117"/>
      <c r="K204" s="117"/>
      <c r="L204" s="117"/>
      <c r="M204" s="117"/>
      <c r="N204" s="117"/>
      <c r="O204" s="117"/>
      <c r="P204" s="114"/>
      <c r="Q204" s="117"/>
      <c r="R204" s="119"/>
      <c r="S204" s="120"/>
      <c r="T204" s="119"/>
      <c r="U204" s="119"/>
      <c r="V204" s="119"/>
      <c r="W204" s="112"/>
      <c r="X204" s="119"/>
      <c r="Y204" s="120"/>
      <c r="Z204" s="119"/>
      <c r="AA204" s="119"/>
      <c r="AB204" s="231"/>
      <c r="AC204" s="119"/>
      <c r="AD204" s="112"/>
      <c r="AE204" s="119"/>
      <c r="AF204" s="119"/>
      <c r="AG204" s="119"/>
      <c r="AH204" s="119"/>
      <c r="AI204" s="119"/>
      <c r="AJ204" s="119"/>
      <c r="AK204" s="112"/>
      <c r="AL204" s="112"/>
      <c r="AM204" s="122"/>
      <c r="AN204" s="53"/>
      <c r="AO204" s="53"/>
      <c r="AP204" s="53"/>
    </row>
    <row r="205">
      <c r="A205" s="24" t="s">
        <v>98</v>
      </c>
      <c r="B205" s="17"/>
      <c r="C205" s="17"/>
      <c r="D205" s="18"/>
      <c r="E205" s="106">
        <v>0.03</v>
      </c>
      <c r="F205" s="106" t="s">
        <v>92</v>
      </c>
      <c r="G205" s="160">
        <v>18.0</v>
      </c>
      <c r="H205" s="107" t="s">
        <v>22</v>
      </c>
      <c r="I205" s="114"/>
      <c r="J205" s="114"/>
      <c r="K205" s="114"/>
      <c r="L205" s="107"/>
      <c r="M205" s="114"/>
      <c r="N205" s="114"/>
      <c r="O205" s="114"/>
      <c r="P205" s="114"/>
      <c r="Q205" s="114"/>
      <c r="R205" s="112"/>
      <c r="S205" s="112"/>
      <c r="T205" s="112"/>
      <c r="U205" s="112"/>
      <c r="V205" s="112"/>
      <c r="W205" s="112"/>
      <c r="X205" s="112"/>
      <c r="Y205" s="112"/>
      <c r="Z205" s="112"/>
      <c r="AA205" s="112"/>
      <c r="AB205" s="112"/>
      <c r="AC205" s="125"/>
      <c r="AD205" s="112"/>
      <c r="AE205" s="112"/>
      <c r="AF205" s="112"/>
      <c r="AG205" s="112"/>
      <c r="AH205" s="112"/>
      <c r="AI205" s="112"/>
      <c r="AJ205" s="112"/>
      <c r="AK205" s="112"/>
      <c r="AL205" s="112"/>
      <c r="AM205" s="113">
        <f>G205+SUM(I205:AL205)-SUM(I206:AL206)</f>
        <v>0</v>
      </c>
      <c r="AN205" s="53">
        <f>ROUNDDOWN((AM205/E205)/$H$4,1)</f>
        <v>0</v>
      </c>
      <c r="AO205" s="53">
        <f>$M$4+AN205</f>
        <v>918</v>
      </c>
      <c r="AP205" s="53"/>
    </row>
    <row r="206">
      <c r="A206" s="31"/>
      <c r="B206" s="17"/>
      <c r="C206" s="17"/>
      <c r="D206" s="17"/>
      <c r="E206" s="17"/>
      <c r="F206" s="18"/>
      <c r="G206" s="112"/>
      <c r="H206" s="107" t="s">
        <v>23</v>
      </c>
      <c r="I206" s="107"/>
      <c r="J206" s="114"/>
      <c r="K206" s="107"/>
      <c r="L206" s="107">
        <v>6.0</v>
      </c>
      <c r="M206" s="114"/>
      <c r="N206" s="114"/>
      <c r="O206" s="114"/>
      <c r="P206" s="107"/>
      <c r="Q206" s="107">
        <v>6.0</v>
      </c>
      <c r="R206" s="112"/>
      <c r="S206" s="112"/>
      <c r="T206" s="112"/>
      <c r="U206" s="112"/>
      <c r="V206" s="112"/>
      <c r="W206" s="112"/>
      <c r="X206" s="112"/>
      <c r="Y206" s="112"/>
      <c r="Z206" s="125">
        <v>6.0</v>
      </c>
      <c r="AA206" s="125"/>
      <c r="AB206" s="125"/>
      <c r="AC206" s="112"/>
      <c r="AD206" s="125"/>
      <c r="AE206" s="112"/>
      <c r="AF206" s="112"/>
      <c r="AG206" s="112"/>
      <c r="AH206" s="112"/>
      <c r="AI206" s="112"/>
      <c r="AJ206" s="112"/>
      <c r="AK206" s="112"/>
      <c r="AL206" s="112"/>
      <c r="AM206" s="32"/>
      <c r="AP206" s="53"/>
    </row>
    <row r="207">
      <c r="A207" s="33"/>
      <c r="B207" s="33"/>
      <c r="C207" s="33"/>
      <c r="D207" s="33"/>
      <c r="E207" s="106"/>
      <c r="F207" s="106"/>
      <c r="G207" s="160"/>
      <c r="H207" s="107"/>
      <c r="I207" s="114"/>
      <c r="J207" s="117"/>
      <c r="K207" s="117"/>
      <c r="L207" s="118"/>
      <c r="M207" s="117"/>
      <c r="N207" s="117"/>
      <c r="O207" s="117"/>
      <c r="P207" s="114"/>
      <c r="Q207" s="118"/>
      <c r="R207" s="119"/>
      <c r="S207" s="119"/>
      <c r="T207" s="119"/>
      <c r="U207" s="119"/>
      <c r="V207" s="121"/>
      <c r="W207" s="112"/>
      <c r="X207" s="119"/>
      <c r="Y207" s="119"/>
      <c r="Z207" s="120"/>
      <c r="AA207" s="119"/>
      <c r="AB207" s="119"/>
      <c r="AC207" s="119"/>
      <c r="AD207" s="112"/>
      <c r="AE207" s="119"/>
      <c r="AF207" s="119"/>
      <c r="AG207" s="119"/>
      <c r="AH207" s="119"/>
      <c r="AI207" s="119"/>
      <c r="AJ207" s="119"/>
      <c r="AK207" s="112"/>
      <c r="AL207" s="112"/>
      <c r="AM207" s="122"/>
      <c r="AN207" s="53"/>
      <c r="AO207" s="53"/>
      <c r="AP207" s="53"/>
    </row>
    <row r="208">
      <c r="A208" s="24" t="s">
        <v>99</v>
      </c>
      <c r="B208" s="17"/>
      <c r="C208" s="17"/>
      <c r="D208" s="18"/>
      <c r="E208" s="106">
        <v>0.03</v>
      </c>
      <c r="F208" s="106" t="s">
        <v>92</v>
      </c>
      <c r="G208" s="160">
        <v>37.0</v>
      </c>
      <c r="H208" s="107" t="s">
        <v>22</v>
      </c>
      <c r="I208" s="114"/>
      <c r="J208" s="114"/>
      <c r="K208" s="114"/>
      <c r="L208" s="114"/>
      <c r="M208" s="114"/>
      <c r="N208" s="114"/>
      <c r="O208" s="114"/>
      <c r="P208" s="114"/>
      <c r="Q208" s="114"/>
      <c r="R208" s="112"/>
      <c r="S208" s="112"/>
      <c r="T208" s="112"/>
      <c r="U208" s="112"/>
      <c r="V208" s="125"/>
      <c r="W208" s="112"/>
      <c r="X208" s="112"/>
      <c r="Y208" s="112"/>
      <c r="Z208" s="112"/>
      <c r="AA208" s="112"/>
      <c r="AB208" s="112"/>
      <c r="AC208" s="125"/>
      <c r="AD208" s="112"/>
      <c r="AE208" s="112"/>
      <c r="AF208" s="112"/>
      <c r="AG208" s="112"/>
      <c r="AH208" s="112"/>
      <c r="AI208" s="112"/>
      <c r="AJ208" s="112"/>
      <c r="AK208" s="112"/>
      <c r="AL208" s="112"/>
      <c r="AM208" s="113">
        <f>G208+SUM(I208:AL208)-SUM(I209:AL209)</f>
        <v>37</v>
      </c>
      <c r="AN208" s="53">
        <f>ROUNDDOWN((AM208/E208)/$H$4,1)</f>
        <v>41.1</v>
      </c>
      <c r="AO208" s="53">
        <f>$M$4+AN208</f>
        <v>959.1</v>
      </c>
      <c r="AP208" s="53"/>
    </row>
    <row r="209">
      <c r="A209" s="31"/>
      <c r="B209" s="17"/>
      <c r="C209" s="17"/>
      <c r="D209" s="17"/>
      <c r="E209" s="17"/>
      <c r="F209" s="18"/>
      <c r="G209" s="112"/>
      <c r="H209" s="107" t="s">
        <v>23</v>
      </c>
      <c r="I209" s="114"/>
      <c r="J209" s="114"/>
      <c r="K209" s="107"/>
      <c r="L209" s="114"/>
      <c r="M209" s="107"/>
      <c r="N209" s="114"/>
      <c r="O209" s="114"/>
      <c r="P209" s="107"/>
      <c r="Q209" s="107"/>
      <c r="R209" s="112"/>
      <c r="S209" s="112"/>
      <c r="T209" s="112"/>
      <c r="U209" s="125"/>
      <c r="V209" s="112"/>
      <c r="W209" s="112"/>
      <c r="X209" s="112"/>
      <c r="Y209" s="112"/>
      <c r="Z209" s="125"/>
      <c r="AA209" s="112"/>
      <c r="AB209" s="112"/>
      <c r="AC209" s="125"/>
      <c r="AD209" s="112"/>
      <c r="AE209" s="112"/>
      <c r="AF209" s="112"/>
      <c r="AG209" s="112"/>
      <c r="AH209" s="125"/>
      <c r="AI209" s="112"/>
      <c r="AJ209" s="112"/>
      <c r="AK209" s="112"/>
      <c r="AL209" s="112"/>
      <c r="AM209" s="32"/>
      <c r="AP209" s="53"/>
    </row>
    <row r="210">
      <c r="A210" s="33"/>
      <c r="B210" s="33"/>
      <c r="C210" s="33"/>
      <c r="D210" s="33"/>
      <c r="E210" s="106"/>
      <c r="F210" s="106"/>
      <c r="G210" s="160"/>
      <c r="H210" s="107"/>
      <c r="I210" s="114"/>
      <c r="J210" s="117"/>
      <c r="K210" s="117"/>
      <c r="L210" s="117"/>
      <c r="M210" s="117"/>
      <c r="N210" s="117"/>
      <c r="O210" s="117"/>
      <c r="P210" s="114"/>
      <c r="Q210" s="117"/>
      <c r="R210" s="119"/>
      <c r="S210" s="119"/>
      <c r="T210" s="119"/>
      <c r="U210" s="119"/>
      <c r="V210" s="119"/>
      <c r="W210" s="112"/>
      <c r="X210" s="119"/>
      <c r="Y210" s="119"/>
      <c r="Z210" s="119"/>
      <c r="AA210" s="121"/>
      <c r="AB210" s="119"/>
      <c r="AC210" s="119"/>
      <c r="AD210" s="112"/>
      <c r="AE210" s="119"/>
      <c r="AF210" s="119"/>
      <c r="AG210" s="119"/>
      <c r="AH210" s="119"/>
      <c r="AI210" s="119"/>
      <c r="AJ210" s="119"/>
      <c r="AK210" s="112"/>
      <c r="AL210" s="112"/>
      <c r="AM210" s="122"/>
      <c r="AN210" s="53"/>
      <c r="AO210" s="53"/>
      <c r="AP210" s="53"/>
    </row>
    <row r="211">
      <c r="A211" s="24" t="s">
        <v>100</v>
      </c>
      <c r="B211" s="17"/>
      <c r="C211" s="17"/>
      <c r="D211" s="18"/>
      <c r="E211" s="106">
        <v>0.014</v>
      </c>
      <c r="F211" s="106" t="s">
        <v>101</v>
      </c>
      <c r="G211" s="160">
        <v>29.0</v>
      </c>
      <c r="H211" s="107" t="s">
        <v>22</v>
      </c>
      <c r="I211" s="114"/>
      <c r="J211" s="114"/>
      <c r="K211" s="114"/>
      <c r="L211" s="107">
        <v>10.0</v>
      </c>
      <c r="M211" s="114"/>
      <c r="N211" s="114"/>
      <c r="O211" s="114"/>
      <c r="P211" s="114"/>
      <c r="Q211" s="114"/>
      <c r="R211" s="112"/>
      <c r="S211" s="112"/>
      <c r="T211" s="112"/>
      <c r="U211" s="112"/>
      <c r="V211" s="112"/>
      <c r="W211" s="112"/>
      <c r="X211" s="112"/>
      <c r="Y211" s="112"/>
      <c r="Z211" s="112"/>
      <c r="AA211" s="125"/>
      <c r="AB211" s="112"/>
      <c r="AC211" s="112"/>
      <c r="AD211" s="112"/>
      <c r="AE211" s="112"/>
      <c r="AF211" s="112"/>
      <c r="AG211" s="112"/>
      <c r="AH211" s="112"/>
      <c r="AI211" s="112"/>
      <c r="AJ211" s="112"/>
      <c r="AK211" s="112"/>
      <c r="AL211" s="112"/>
      <c r="AM211" s="113">
        <f>G211+SUM(I211:AL211)-SUM(I212:AL212)</f>
        <v>26</v>
      </c>
      <c r="AN211" s="53">
        <f>ROUNDDOWN((AM211/E211)/$H$4,1)</f>
        <v>61.9</v>
      </c>
      <c r="AO211" s="53">
        <f>$M$4+AN211</f>
        <v>979.9</v>
      </c>
      <c r="AP211" s="53"/>
    </row>
    <row r="212">
      <c r="A212" s="31"/>
      <c r="B212" s="215"/>
      <c r="C212" s="215"/>
      <c r="D212" s="215"/>
      <c r="E212" s="215"/>
      <c r="F212" s="112"/>
      <c r="G212" s="112"/>
      <c r="H212" s="107" t="s">
        <v>23</v>
      </c>
      <c r="I212" s="107"/>
      <c r="J212" s="107"/>
      <c r="K212" s="107"/>
      <c r="L212" s="107"/>
      <c r="M212" s="107">
        <v>1.0</v>
      </c>
      <c r="N212" s="114"/>
      <c r="O212" s="107"/>
      <c r="P212" s="107"/>
      <c r="Q212" s="107">
        <v>1.0</v>
      </c>
      <c r="R212" s="112"/>
      <c r="S212" s="125">
        <v>1.0</v>
      </c>
      <c r="T212" s="112"/>
      <c r="U212" s="125">
        <v>1.0</v>
      </c>
      <c r="V212" s="125"/>
      <c r="W212" s="112"/>
      <c r="X212" s="125">
        <v>1.0</v>
      </c>
      <c r="Y212" s="112"/>
      <c r="Z212" s="125">
        <v>1.0</v>
      </c>
      <c r="AA212" s="125"/>
      <c r="AB212" s="125">
        <v>1.0</v>
      </c>
      <c r="AC212" s="125"/>
      <c r="AD212" s="112"/>
      <c r="AE212" s="125">
        <v>1.0</v>
      </c>
      <c r="AF212" s="125">
        <v>1.0</v>
      </c>
      <c r="AG212" s="125"/>
      <c r="AH212" s="125">
        <v>1.0</v>
      </c>
      <c r="AI212" s="125"/>
      <c r="AJ212" s="112">
        <f>1</f>
        <v>1</v>
      </c>
      <c r="AK212" s="125"/>
      <c r="AL212" s="125">
        <v>2.0</v>
      </c>
      <c r="AM212" s="32"/>
      <c r="AP212" s="53"/>
    </row>
    <row r="213">
      <c r="A213" s="162"/>
      <c r="B213" s="162"/>
      <c r="C213" s="162"/>
      <c r="D213" s="162"/>
      <c r="E213" s="162"/>
      <c r="F213" s="162"/>
      <c r="G213" s="163"/>
      <c r="H213" s="110"/>
      <c r="I213" s="112"/>
      <c r="J213" s="119"/>
      <c r="K213" s="119"/>
      <c r="L213" s="119"/>
      <c r="M213" s="120"/>
      <c r="N213" s="119"/>
      <c r="O213" s="119"/>
      <c r="P213" s="112"/>
      <c r="Q213" s="120"/>
      <c r="R213" s="119"/>
      <c r="S213" s="120"/>
      <c r="T213" s="119"/>
      <c r="U213" s="120"/>
      <c r="V213" s="119"/>
      <c r="W213" s="112"/>
      <c r="X213" s="120"/>
      <c r="Y213" s="119"/>
      <c r="Z213" s="120"/>
      <c r="AA213" s="119"/>
      <c r="AB213" s="120"/>
      <c r="AC213" s="119"/>
      <c r="AD213" s="112"/>
      <c r="AE213" s="120"/>
      <c r="AF213" s="120"/>
      <c r="AG213" s="112"/>
      <c r="AH213" s="120"/>
      <c r="AI213" s="119"/>
      <c r="AJ213" s="120"/>
      <c r="AK213" s="112"/>
      <c r="AL213" s="112"/>
      <c r="AM213" s="110"/>
      <c r="AN213" s="49"/>
      <c r="AO213" s="49"/>
      <c r="AP213" s="49"/>
    </row>
    <row r="214">
      <c r="A214" s="16" t="s">
        <v>102</v>
      </c>
      <c r="B214" s="17"/>
      <c r="C214" s="17"/>
      <c r="D214" s="17"/>
      <c r="E214" s="17"/>
      <c r="F214" s="17"/>
      <c r="G214" s="18"/>
      <c r="H214" s="135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4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5"/>
      <c r="AM214" s="135"/>
      <c r="AN214" s="52"/>
      <c r="AO214" s="52"/>
      <c r="AP214" s="52"/>
    </row>
    <row r="215">
      <c r="A215" s="24" t="s">
        <v>103</v>
      </c>
      <c r="B215" s="17"/>
      <c r="C215" s="17"/>
      <c r="D215" s="18"/>
      <c r="E215" s="106">
        <v>0.2</v>
      </c>
      <c r="F215" s="106" t="s">
        <v>104</v>
      </c>
      <c r="G215" s="160">
        <v>164.0</v>
      </c>
      <c r="H215" s="107" t="s">
        <v>22</v>
      </c>
      <c r="I215" s="114"/>
      <c r="J215" s="114"/>
      <c r="K215" s="114"/>
      <c r="L215" s="114"/>
      <c r="M215" s="107"/>
      <c r="N215" s="114"/>
      <c r="O215" s="114"/>
      <c r="P215" s="114"/>
      <c r="Q215" s="114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25"/>
      <c r="AD215" s="112"/>
      <c r="AE215" s="112"/>
      <c r="AF215" s="112"/>
      <c r="AG215" s="112"/>
      <c r="AH215" s="112"/>
      <c r="AI215" s="112"/>
      <c r="AJ215" s="112"/>
      <c r="AK215" s="112"/>
      <c r="AL215" s="112"/>
      <c r="AM215" s="113">
        <f>G215+SUM(I215:AL215)-SUM(I216:AL216)</f>
        <v>72</v>
      </c>
      <c r="AN215" s="53">
        <f>ROUNDDOWN((AM215/E215)/$H$4,1)</f>
        <v>12</v>
      </c>
      <c r="AO215" s="53">
        <f>$M$4+AN215</f>
        <v>930</v>
      </c>
      <c r="AP215" s="53"/>
    </row>
    <row r="216">
      <c r="A216" s="31"/>
      <c r="B216" s="17"/>
      <c r="C216" s="17"/>
      <c r="D216" s="17"/>
      <c r="E216" s="17"/>
      <c r="F216" s="18"/>
      <c r="G216" s="112"/>
      <c r="H216" s="107" t="s">
        <v>23</v>
      </c>
      <c r="I216" s="107"/>
      <c r="J216" s="107"/>
      <c r="K216" s="114"/>
      <c r="L216" s="107">
        <v>1.0</v>
      </c>
      <c r="M216" s="107">
        <f>2+3+1</f>
        <v>6</v>
      </c>
      <c r="N216" s="107">
        <f>2</f>
        <v>2</v>
      </c>
      <c r="O216" s="107">
        <f>5+2+1</f>
        <v>8</v>
      </c>
      <c r="P216" s="107"/>
      <c r="Q216" s="107">
        <f t="shared" ref="Q216:R216" si="42">1+1</f>
        <v>2</v>
      </c>
      <c r="R216" s="125">
        <f t="shared" si="42"/>
        <v>2</v>
      </c>
      <c r="S216" s="125">
        <f>1+3+1+2</f>
        <v>7</v>
      </c>
      <c r="T216" s="125"/>
      <c r="U216" s="125">
        <v>1.0</v>
      </c>
      <c r="V216" s="125">
        <f>1+2+3+3</f>
        <v>9</v>
      </c>
      <c r="W216" s="125"/>
      <c r="X216" s="125">
        <f>2+1</f>
        <v>3</v>
      </c>
      <c r="Y216" s="125">
        <f>2+1+2+2</f>
        <v>7</v>
      </c>
      <c r="Z216" s="125">
        <f>1+1</f>
        <v>2</v>
      </c>
      <c r="AA216" s="125">
        <v>5.0</v>
      </c>
      <c r="AB216" s="125">
        <f>2+3</f>
        <v>5</v>
      </c>
      <c r="AC216" s="125">
        <f>1+1+1+1</f>
        <v>4</v>
      </c>
      <c r="AD216" s="125"/>
      <c r="AE216" s="125">
        <f>2++2+2</f>
        <v>6</v>
      </c>
      <c r="AF216" s="125">
        <v>1.0</v>
      </c>
      <c r="AG216" s="125">
        <f>1+1+1+1</f>
        <v>4</v>
      </c>
      <c r="AH216" s="125">
        <f>1+1</f>
        <v>2</v>
      </c>
      <c r="AI216" s="125">
        <f>1+1+1+1</f>
        <v>4</v>
      </c>
      <c r="AJ216" s="125">
        <f>1+1+3</f>
        <v>5</v>
      </c>
      <c r="AK216" s="125"/>
      <c r="AL216" s="125">
        <f>2+1+1+2</f>
        <v>6</v>
      </c>
      <c r="AM216" s="32"/>
      <c r="AP216" s="53"/>
    </row>
    <row r="217">
      <c r="A217" s="33"/>
      <c r="B217" s="33"/>
      <c r="C217" s="33"/>
      <c r="D217" s="33"/>
      <c r="E217" s="106"/>
      <c r="F217" s="106"/>
      <c r="G217" s="112"/>
      <c r="H217" s="107"/>
      <c r="I217" s="114"/>
      <c r="J217" s="117"/>
      <c r="K217" s="117"/>
      <c r="L217" s="118"/>
      <c r="M217" s="118"/>
      <c r="N217" s="118"/>
      <c r="O217" s="124"/>
      <c r="P217" s="107"/>
      <c r="Q217" s="118"/>
      <c r="R217" s="127"/>
      <c r="S217" s="127"/>
      <c r="T217" s="119"/>
      <c r="U217" s="127"/>
      <c r="V217" s="120"/>
      <c r="W217" s="112"/>
      <c r="X217" s="120"/>
      <c r="Y217" s="120"/>
      <c r="Z217" s="120"/>
      <c r="AA217" s="120"/>
      <c r="AB217" s="127"/>
      <c r="AC217" s="120"/>
      <c r="AD217" s="112"/>
      <c r="AE217" s="120"/>
      <c r="AF217" s="120"/>
      <c r="AG217" s="127"/>
      <c r="AH217" s="120"/>
      <c r="AI217" s="120"/>
      <c r="AJ217" s="120"/>
      <c r="AK217" s="125"/>
      <c r="AL217" s="112"/>
      <c r="AM217" s="122"/>
      <c r="AN217" s="53"/>
      <c r="AO217" s="53"/>
      <c r="AP217" s="53"/>
    </row>
    <row r="218">
      <c r="A218" s="24" t="s">
        <v>105</v>
      </c>
      <c r="B218" s="17"/>
      <c r="C218" s="17"/>
      <c r="D218" s="18"/>
      <c r="E218" s="106">
        <v>1.1</v>
      </c>
      <c r="F218" s="106" t="s">
        <v>106</v>
      </c>
      <c r="G218" s="125">
        <v>10.0</v>
      </c>
      <c r="H218" s="107" t="s">
        <v>22</v>
      </c>
      <c r="I218" s="114"/>
      <c r="J218" s="107">
        <v>30.0</v>
      </c>
      <c r="K218" s="107"/>
      <c r="L218" s="114"/>
      <c r="M218" s="107"/>
      <c r="N218" s="107">
        <f>10+20</f>
        <v>30</v>
      </c>
      <c r="O218" s="107"/>
      <c r="P218" s="107"/>
      <c r="Q218" s="114"/>
      <c r="R218" s="125"/>
      <c r="S218" s="125"/>
      <c r="T218" s="125">
        <v>30.0</v>
      </c>
      <c r="U218" s="125"/>
      <c r="V218" s="112"/>
      <c r="W218" s="125"/>
      <c r="X218" s="125">
        <v>20.0</v>
      </c>
      <c r="Y218" s="112"/>
      <c r="Z218" s="112"/>
      <c r="AA218" s="125"/>
      <c r="AB218" s="125">
        <v>30.0</v>
      </c>
      <c r="AC218" s="112"/>
      <c r="AD218" s="125"/>
      <c r="AE218" s="125">
        <v>20.0</v>
      </c>
      <c r="AF218" s="112"/>
      <c r="AG218" s="125"/>
      <c r="AH218" s="125">
        <v>20.0</v>
      </c>
      <c r="AI218" s="125"/>
      <c r="AJ218" s="125">
        <v>20.0</v>
      </c>
      <c r="AK218" s="125"/>
      <c r="AL218" s="125"/>
      <c r="AM218" s="113">
        <f>G218+SUM(I218:AL218)-SUM(I219:AL219)</f>
        <v>117</v>
      </c>
      <c r="AN218" s="53">
        <f>ROUNDDOWN((AM218/E218)/$H$4,1)</f>
        <v>3.5</v>
      </c>
      <c r="AO218" s="53">
        <f>$M$4+AN218</f>
        <v>921.5</v>
      </c>
      <c r="AP218" s="53"/>
    </row>
    <row r="219">
      <c r="A219" s="31"/>
      <c r="B219" s="17"/>
      <c r="C219" s="17"/>
      <c r="D219" s="17"/>
      <c r="E219" s="17"/>
      <c r="F219" s="18"/>
      <c r="G219" s="112"/>
      <c r="H219" s="107" t="s">
        <v>23</v>
      </c>
      <c r="I219" s="107"/>
      <c r="J219" s="114">
        <f>1+1</f>
        <v>2</v>
      </c>
      <c r="K219" s="107">
        <v>1.0</v>
      </c>
      <c r="L219" s="107"/>
      <c r="M219" s="114">
        <f>1+1</f>
        <v>2</v>
      </c>
      <c r="N219" s="114">
        <f>1+1+1+1+1+1</f>
        <v>6</v>
      </c>
      <c r="O219" s="114">
        <f>1+1+1+1</f>
        <v>4</v>
      </c>
      <c r="P219" s="114"/>
      <c r="Q219" s="107">
        <f>1+1+1+1+1+1+1</f>
        <v>7</v>
      </c>
      <c r="R219" s="125">
        <f>1+1+1+1+1+1+1+1</f>
        <v>8</v>
      </c>
      <c r="S219" s="125">
        <f>1+1+1+1+1</f>
        <v>5</v>
      </c>
      <c r="T219" s="112">
        <f t="shared" ref="T219:U219" si="43">1+1+1+1</f>
        <v>4</v>
      </c>
      <c r="U219" s="112">
        <f t="shared" si="43"/>
        <v>4</v>
      </c>
      <c r="V219" s="112">
        <f>1+1+1+1+1+1</f>
        <v>6</v>
      </c>
      <c r="W219" s="125"/>
      <c r="X219" s="112">
        <f>1+1+1</f>
        <v>3</v>
      </c>
      <c r="Y219" s="125">
        <f>1+1+1+1+1+1+1</f>
        <v>7</v>
      </c>
      <c r="Z219" s="125">
        <f>1+1+1</f>
        <v>3</v>
      </c>
      <c r="AA219" s="125">
        <f>1+1+1+1+1+1</f>
        <v>6</v>
      </c>
      <c r="AB219" s="125">
        <f t="shared" ref="AB219:AC219" si="44">1+1+1+1</f>
        <v>4</v>
      </c>
      <c r="AC219" s="125">
        <f t="shared" si="44"/>
        <v>4</v>
      </c>
      <c r="AD219" s="112">
        <f>1+1</f>
        <v>2</v>
      </c>
      <c r="AE219" s="112">
        <f>1+1+1+1</f>
        <v>4</v>
      </c>
      <c r="AF219" s="125">
        <f>1+1</f>
        <v>2</v>
      </c>
      <c r="AG219" s="125">
        <v>1.0</v>
      </c>
      <c r="AH219" s="112"/>
      <c r="AI219" s="125">
        <f t="shared" ref="AI219:AJ219" si="45">1+1+1+1</f>
        <v>4</v>
      </c>
      <c r="AJ219" s="125">
        <f t="shared" si="45"/>
        <v>4</v>
      </c>
      <c r="AK219" s="112"/>
      <c r="AL219" s="112"/>
      <c r="AM219" s="32"/>
      <c r="AP219" s="53"/>
    </row>
    <row r="220">
      <c r="A220" s="58"/>
      <c r="B220" s="58"/>
      <c r="C220" s="58"/>
      <c r="D220" s="58"/>
      <c r="E220" s="58"/>
      <c r="F220" s="58"/>
      <c r="G220" s="163"/>
      <c r="H220" s="151"/>
      <c r="I220" s="166"/>
      <c r="J220" s="164"/>
      <c r="K220" s="164"/>
      <c r="L220" s="165"/>
      <c r="M220" s="164"/>
      <c r="N220" s="164"/>
      <c r="O220" s="164"/>
      <c r="P220" s="166"/>
      <c r="Q220" s="164"/>
      <c r="R220" s="120"/>
      <c r="S220" s="120"/>
      <c r="T220" s="120"/>
      <c r="U220" s="120"/>
      <c r="V220" s="120"/>
      <c r="W220" s="112"/>
      <c r="X220" s="120"/>
      <c r="Y220" s="120"/>
      <c r="Z220" s="120"/>
      <c r="AA220" s="120"/>
      <c r="AB220" s="120"/>
      <c r="AC220" s="120"/>
      <c r="AD220" s="120"/>
      <c r="AE220" s="120"/>
      <c r="AF220" s="99"/>
      <c r="AG220" s="6"/>
      <c r="AH220" s="119"/>
      <c r="AI220" s="120"/>
      <c r="AJ220" s="120"/>
      <c r="AK220" s="112"/>
      <c r="AL220" s="112"/>
      <c r="AM220" s="110"/>
      <c r="AN220" s="49"/>
      <c r="AO220" s="49"/>
      <c r="AP220" s="49"/>
    </row>
    <row r="221">
      <c r="A221" s="16" t="s">
        <v>109</v>
      </c>
      <c r="B221" s="17"/>
      <c r="C221" s="17"/>
      <c r="D221" s="17"/>
      <c r="E221" s="17"/>
      <c r="F221" s="17"/>
      <c r="G221" s="18"/>
      <c r="H221" s="152"/>
      <c r="I221" s="167"/>
      <c r="J221" s="167"/>
      <c r="K221" s="167"/>
      <c r="L221" s="167"/>
      <c r="M221" s="167"/>
      <c r="N221" s="167"/>
      <c r="O221" s="167"/>
      <c r="P221" s="167"/>
      <c r="Q221" s="167"/>
      <c r="R221" s="134"/>
      <c r="S221" s="134"/>
      <c r="T221" s="134"/>
      <c r="U221" s="134"/>
      <c r="V221" s="134"/>
      <c r="W221" s="134"/>
      <c r="X221" s="134"/>
      <c r="Y221" s="134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5"/>
      <c r="AM221" s="135"/>
      <c r="AN221" s="52"/>
      <c r="AO221" s="52"/>
      <c r="AP221" s="52"/>
    </row>
    <row r="222">
      <c r="A222" s="24" t="s">
        <v>110</v>
      </c>
      <c r="B222" s="17"/>
      <c r="C222" s="17"/>
      <c r="D222" s="18"/>
      <c r="E222" s="106">
        <v>0.3</v>
      </c>
      <c r="F222" s="106" t="s">
        <v>21</v>
      </c>
      <c r="G222" s="160">
        <v>259.0</v>
      </c>
      <c r="H222" s="107" t="s">
        <v>22</v>
      </c>
      <c r="I222" s="114"/>
      <c r="J222" s="114"/>
      <c r="K222" s="114"/>
      <c r="L222" s="114"/>
      <c r="M222" s="114"/>
      <c r="N222" s="114"/>
      <c r="O222" s="107"/>
      <c r="P222" s="114"/>
      <c r="Q222" s="114"/>
      <c r="R222" s="112"/>
      <c r="S222" s="112"/>
      <c r="T222" s="112"/>
      <c r="U222" s="112"/>
      <c r="V222" s="112"/>
      <c r="W222" s="112"/>
      <c r="X222" s="112"/>
      <c r="Y222" s="112"/>
      <c r="Z222" s="112"/>
      <c r="AA222" s="112"/>
      <c r="AB222" s="112"/>
      <c r="AC222" s="125"/>
      <c r="AD222" s="112"/>
      <c r="AE222" s="112"/>
      <c r="AF222" s="112"/>
      <c r="AG222" s="112"/>
      <c r="AH222" s="112"/>
      <c r="AI222" s="112"/>
      <c r="AJ222" s="112"/>
      <c r="AK222" s="112"/>
      <c r="AL222" s="112"/>
      <c r="AM222" s="113">
        <f>G222+SUM(I222:AL222)-SUM(I223:AL223)</f>
        <v>209</v>
      </c>
      <c r="AN222" s="53">
        <f>ROUNDDOWN((AM222/E222)/$H$4,1)</f>
        <v>23.2</v>
      </c>
      <c r="AO222" s="53">
        <f>$M$4+AN222</f>
        <v>941.2</v>
      </c>
      <c r="AP222" s="53"/>
    </row>
    <row r="223">
      <c r="A223" s="31"/>
      <c r="B223" s="17"/>
      <c r="C223" s="17"/>
      <c r="D223" s="17"/>
      <c r="E223" s="17"/>
      <c r="F223" s="18"/>
      <c r="G223" s="112"/>
      <c r="H223" s="107" t="s">
        <v>23</v>
      </c>
      <c r="I223" s="114"/>
      <c r="J223" s="114"/>
      <c r="K223" s="107"/>
      <c r="L223" s="114"/>
      <c r="M223" s="114"/>
      <c r="N223" s="114"/>
      <c r="O223" s="114"/>
      <c r="P223" s="114"/>
      <c r="Q223" s="107">
        <v>25.0</v>
      </c>
      <c r="R223" s="112"/>
      <c r="S223" s="112"/>
      <c r="T223" s="112"/>
      <c r="U223" s="112"/>
      <c r="V223" s="125"/>
      <c r="W223" s="112"/>
      <c r="X223" s="112"/>
      <c r="Y223" s="112"/>
      <c r="Z223" s="112"/>
      <c r="AA223" s="125">
        <v>25.0</v>
      </c>
      <c r="AB223" s="125"/>
      <c r="AC223" s="112"/>
      <c r="AD223" s="112"/>
      <c r="AE223" s="112"/>
      <c r="AF223" s="125"/>
      <c r="AG223" s="125"/>
      <c r="AH223" s="112"/>
      <c r="AI223" s="112"/>
      <c r="AJ223" s="112"/>
      <c r="AK223" s="112"/>
      <c r="AL223" s="112"/>
      <c r="AM223" s="32"/>
      <c r="AP223" s="53"/>
    </row>
    <row r="224">
      <c r="A224" s="33"/>
      <c r="B224" s="33"/>
      <c r="C224" s="33"/>
      <c r="D224" s="33"/>
      <c r="E224" s="106"/>
      <c r="F224" s="106"/>
      <c r="G224" s="160"/>
      <c r="H224" s="107"/>
      <c r="I224" s="114"/>
      <c r="J224" s="117"/>
      <c r="K224" s="117"/>
      <c r="L224" s="117"/>
      <c r="M224" s="117"/>
      <c r="N224" s="117"/>
      <c r="O224" s="117"/>
      <c r="P224" s="114"/>
      <c r="Q224" s="118"/>
      <c r="R224" s="119"/>
      <c r="S224" s="119"/>
      <c r="T224" s="119"/>
      <c r="U224" s="119"/>
      <c r="V224" s="119"/>
      <c r="W224" s="112"/>
      <c r="X224" s="119"/>
      <c r="Y224" s="119"/>
      <c r="Z224" s="119"/>
      <c r="AA224" s="120"/>
      <c r="AB224" s="119"/>
      <c r="AC224" s="119"/>
      <c r="AD224" s="112"/>
      <c r="AE224" s="119"/>
      <c r="AF224" s="119"/>
      <c r="AG224" s="119"/>
      <c r="AH224" s="119"/>
      <c r="AI224" s="119"/>
      <c r="AJ224" s="119"/>
      <c r="AK224" s="112"/>
      <c r="AL224" s="112"/>
      <c r="AM224" s="122"/>
      <c r="AN224" s="53"/>
      <c r="AO224" s="53"/>
      <c r="AP224" s="53"/>
    </row>
    <row r="225">
      <c r="A225" s="24" t="s">
        <v>111</v>
      </c>
      <c r="B225" s="17"/>
      <c r="C225" s="17"/>
      <c r="D225" s="18"/>
      <c r="E225" s="106">
        <v>3.0</v>
      </c>
      <c r="F225" s="106" t="s">
        <v>21</v>
      </c>
      <c r="G225" s="160">
        <v>2355.0</v>
      </c>
      <c r="H225" s="107" t="s">
        <v>22</v>
      </c>
      <c r="I225" s="114"/>
      <c r="J225" s="114"/>
      <c r="K225" s="114"/>
      <c r="L225" s="114"/>
      <c r="M225" s="114"/>
      <c r="N225" s="114"/>
      <c r="O225" s="107">
        <v>300.0</v>
      </c>
      <c r="P225" s="114"/>
      <c r="Q225" s="114"/>
      <c r="R225" s="112"/>
      <c r="S225" s="112"/>
      <c r="T225" s="112"/>
      <c r="U225" s="112"/>
      <c r="V225" s="112"/>
      <c r="W225" s="112"/>
      <c r="X225" s="112"/>
      <c r="Y225" s="112"/>
      <c r="Z225" s="112"/>
      <c r="AA225" s="112"/>
      <c r="AB225" s="112"/>
      <c r="AC225" s="112"/>
      <c r="AD225" s="112"/>
      <c r="AE225" s="112"/>
      <c r="AF225" s="112"/>
      <c r="AG225" s="112"/>
      <c r="AH225" s="112"/>
      <c r="AI225" s="112"/>
      <c r="AJ225" s="112"/>
      <c r="AK225" s="112"/>
      <c r="AL225" s="112"/>
      <c r="AM225" s="113">
        <f>G225+SUM(I225:AL225)-SUM(I226:AL226)</f>
        <v>570</v>
      </c>
      <c r="AN225" s="53">
        <f>ROUNDDOWN((AM225/E225)/$H$4,1)</f>
        <v>6.3</v>
      </c>
      <c r="AO225" s="53">
        <f>$M$4+AN225</f>
        <v>924.3</v>
      </c>
      <c r="AP225" s="53"/>
    </row>
    <row r="226">
      <c r="A226" s="31"/>
      <c r="B226" s="17"/>
      <c r="C226" s="17"/>
      <c r="D226" s="17"/>
      <c r="E226" s="17"/>
      <c r="F226" s="18"/>
      <c r="G226" s="112"/>
      <c r="H226" s="107" t="s">
        <v>23</v>
      </c>
      <c r="I226" s="107"/>
      <c r="J226" s="107"/>
      <c r="K226" s="107">
        <v>100.0</v>
      </c>
      <c r="L226" s="107">
        <v>75.0</v>
      </c>
      <c r="M226" s="107">
        <v>75.0</v>
      </c>
      <c r="N226" s="107">
        <v>75.0</v>
      </c>
      <c r="O226" s="107">
        <v>75.0</v>
      </c>
      <c r="P226" s="107"/>
      <c r="Q226" s="107">
        <v>75.0</v>
      </c>
      <c r="R226" s="125">
        <v>75.0</v>
      </c>
      <c r="S226" s="125">
        <v>75.0</v>
      </c>
      <c r="T226" s="125">
        <v>75.0</v>
      </c>
      <c r="U226" s="125">
        <v>75.0</v>
      </c>
      <c r="V226" s="125">
        <v>85.0</v>
      </c>
      <c r="W226" s="125">
        <v>40.0</v>
      </c>
      <c r="X226" s="125">
        <v>85.0</v>
      </c>
      <c r="Y226" s="125">
        <v>75.0</v>
      </c>
      <c r="Z226" s="125">
        <v>75.0</v>
      </c>
      <c r="AA226" s="125">
        <v>75.0</v>
      </c>
      <c r="AB226" s="125">
        <v>75.0</v>
      </c>
      <c r="AC226" s="125">
        <v>75.0</v>
      </c>
      <c r="AD226" s="125"/>
      <c r="AE226" s="125">
        <v>125.0</v>
      </c>
      <c r="AF226" s="125">
        <v>100.0</v>
      </c>
      <c r="AG226" s="125">
        <v>100.0</v>
      </c>
      <c r="AH226" s="125">
        <v>100.0</v>
      </c>
      <c r="AI226" s="125">
        <v>100.0</v>
      </c>
      <c r="AJ226" s="125">
        <v>100.0</v>
      </c>
      <c r="AK226" s="125"/>
      <c r="AL226" s="125">
        <v>100.0</v>
      </c>
      <c r="AM226" s="32"/>
      <c r="AP226" s="53"/>
    </row>
    <row r="227">
      <c r="A227" s="33"/>
      <c r="B227" s="33"/>
      <c r="C227" s="33"/>
      <c r="D227" s="33"/>
      <c r="E227" s="106"/>
      <c r="F227" s="106"/>
      <c r="G227" s="160"/>
      <c r="H227" s="107"/>
      <c r="I227" s="114"/>
      <c r="J227" s="117"/>
      <c r="K227" s="118"/>
      <c r="L227" s="118"/>
      <c r="M227" s="118"/>
      <c r="N227" s="118"/>
      <c r="O227" s="118"/>
      <c r="P227" s="114"/>
      <c r="Q227" s="118"/>
      <c r="R227" s="120"/>
      <c r="S227" s="120"/>
      <c r="T227" s="120"/>
      <c r="U227" s="120"/>
      <c r="V227" s="127"/>
      <c r="W227" s="120"/>
      <c r="X227" s="120"/>
      <c r="Y227" s="120"/>
      <c r="Z227" s="120"/>
      <c r="AA227" s="120"/>
      <c r="AB227" s="120"/>
      <c r="AC227" s="120"/>
      <c r="AD227" s="112"/>
      <c r="AE227" s="120"/>
      <c r="AF227" s="120"/>
      <c r="AG227" s="120"/>
      <c r="AH227" s="120"/>
      <c r="AI227" s="120"/>
      <c r="AJ227" s="120"/>
      <c r="AK227" s="112"/>
      <c r="AL227" s="112"/>
      <c r="AM227" s="122"/>
      <c r="AN227" s="53"/>
      <c r="AO227" s="53"/>
      <c r="AP227" s="53"/>
    </row>
    <row r="228">
      <c r="A228" s="24" t="s">
        <v>112</v>
      </c>
      <c r="B228" s="17"/>
      <c r="C228" s="17"/>
      <c r="D228" s="18"/>
      <c r="E228" s="106">
        <v>1.88</v>
      </c>
      <c r="F228" s="106" t="s">
        <v>21</v>
      </c>
      <c r="G228" s="160">
        <v>1062.0</v>
      </c>
      <c r="H228" s="107" t="s">
        <v>22</v>
      </c>
      <c r="I228" s="114"/>
      <c r="J228" s="114"/>
      <c r="K228" s="114"/>
      <c r="L228" s="114"/>
      <c r="M228" s="114"/>
      <c r="N228" s="114"/>
      <c r="O228" s="114"/>
      <c r="P228" s="114"/>
      <c r="Q228" s="114"/>
      <c r="R228" s="112"/>
      <c r="S228" s="112"/>
      <c r="T228" s="112"/>
      <c r="U228" s="112"/>
      <c r="V228" s="125"/>
      <c r="W228" s="112"/>
      <c r="X228" s="112"/>
      <c r="Y228" s="125"/>
      <c r="Z228" s="112"/>
      <c r="AA228" s="112"/>
      <c r="AB228" s="112"/>
      <c r="AC228" s="125"/>
      <c r="AD228" s="125"/>
      <c r="AE228" s="112"/>
      <c r="AF228" s="112"/>
      <c r="AG228" s="112"/>
      <c r="AH228" s="112"/>
      <c r="AI228" s="112"/>
      <c r="AJ228" s="112"/>
      <c r="AK228" s="112"/>
      <c r="AL228" s="112"/>
      <c r="AM228" s="113">
        <f>G228+SUM(I228:AL228)-SUM(I229:AL229)</f>
        <v>104</v>
      </c>
      <c r="AN228" s="53">
        <f>ROUNDDOWN((AM228/E228)/$H$4,1)</f>
        <v>1.8</v>
      </c>
      <c r="AO228" s="53">
        <f>$M$4+AN228</f>
        <v>919.8</v>
      </c>
      <c r="AP228" s="53"/>
    </row>
    <row r="229">
      <c r="A229" s="136"/>
      <c r="B229" s="137"/>
      <c r="C229" s="137"/>
      <c r="D229" s="137"/>
      <c r="E229" s="138"/>
      <c r="F229" s="138"/>
      <c r="G229" s="160"/>
      <c r="H229" s="107" t="s">
        <v>23</v>
      </c>
      <c r="I229" s="107"/>
      <c r="J229" s="107"/>
      <c r="K229" s="107"/>
      <c r="L229" s="107">
        <v>38.0</v>
      </c>
      <c r="M229" s="107">
        <v>38.0</v>
      </c>
      <c r="N229" s="107">
        <v>38.0</v>
      </c>
      <c r="O229" s="107">
        <v>38.0</v>
      </c>
      <c r="P229" s="107"/>
      <c r="Q229" s="107">
        <v>38.0</v>
      </c>
      <c r="R229" s="125">
        <v>38.0</v>
      </c>
      <c r="S229" s="125">
        <v>38.0</v>
      </c>
      <c r="T229" s="125">
        <v>38.0</v>
      </c>
      <c r="U229" s="125">
        <v>38.0</v>
      </c>
      <c r="V229" s="125">
        <v>38.0</v>
      </c>
      <c r="W229" s="125"/>
      <c r="X229" s="125">
        <v>38.0</v>
      </c>
      <c r="Y229" s="125">
        <v>38.0</v>
      </c>
      <c r="Z229" s="125">
        <v>38.0</v>
      </c>
      <c r="AA229" s="125">
        <v>38.0</v>
      </c>
      <c r="AB229" s="125">
        <v>38.0</v>
      </c>
      <c r="AC229" s="125">
        <v>38.0</v>
      </c>
      <c r="AD229" s="125"/>
      <c r="AE229" s="125">
        <v>50.0</v>
      </c>
      <c r="AF229" s="125">
        <v>50.0</v>
      </c>
      <c r="AG229" s="125">
        <v>50.0</v>
      </c>
      <c r="AH229" s="125">
        <v>50.0</v>
      </c>
      <c r="AI229" s="125">
        <v>50.0</v>
      </c>
      <c r="AJ229" s="125">
        <v>50.0</v>
      </c>
      <c r="AK229" s="125"/>
      <c r="AL229" s="125">
        <v>50.0</v>
      </c>
      <c r="AM229" s="32"/>
      <c r="AP229" s="53"/>
    </row>
    <row r="230">
      <c r="A230" s="168"/>
      <c r="B230" s="169"/>
      <c r="C230" s="169"/>
      <c r="D230" s="169"/>
      <c r="E230" s="169"/>
      <c r="F230" s="169"/>
      <c r="G230" s="160"/>
      <c r="H230" s="108"/>
      <c r="I230" s="114"/>
      <c r="J230" s="117"/>
      <c r="K230" s="117"/>
      <c r="L230" s="118"/>
      <c r="M230" s="118"/>
      <c r="N230" s="118"/>
      <c r="O230" s="118"/>
      <c r="P230" s="114"/>
      <c r="Q230" s="118"/>
      <c r="R230" s="120"/>
      <c r="S230" s="120"/>
      <c r="T230" s="120"/>
      <c r="U230" s="120"/>
      <c r="V230" s="120"/>
      <c r="W230" s="112"/>
      <c r="X230" s="120"/>
      <c r="Y230" s="120"/>
      <c r="Z230" s="120"/>
      <c r="AA230" s="120"/>
      <c r="AB230" s="120"/>
      <c r="AC230" s="120"/>
      <c r="AD230" s="112"/>
      <c r="AE230" s="120"/>
      <c r="AF230" s="120"/>
      <c r="AG230" s="120"/>
      <c r="AH230" s="120"/>
      <c r="AI230" s="120"/>
      <c r="AJ230" s="120"/>
      <c r="AK230" s="112"/>
      <c r="AL230" s="112"/>
      <c r="AM230" s="110"/>
      <c r="AN230" s="49"/>
      <c r="AO230" s="49"/>
      <c r="AP230" s="49"/>
    </row>
    <row r="231">
      <c r="A231" s="73" t="s">
        <v>113</v>
      </c>
      <c r="B231" s="17"/>
      <c r="C231" s="17"/>
      <c r="D231" s="17"/>
      <c r="E231" s="17"/>
      <c r="F231" s="17"/>
      <c r="G231" s="18"/>
      <c r="H231" s="153"/>
      <c r="I231" s="154"/>
      <c r="J231" s="154"/>
      <c r="K231" s="154"/>
      <c r="L231" s="154"/>
      <c r="M231" s="154"/>
      <c r="N231" s="154"/>
      <c r="O231" s="154"/>
      <c r="P231" s="154"/>
      <c r="Q231" s="154"/>
      <c r="R231" s="134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5"/>
      <c r="AM231" s="135"/>
      <c r="AN231" s="52"/>
      <c r="AO231" s="52"/>
      <c r="AP231" s="52"/>
    </row>
    <row r="232">
      <c r="A232" s="24" t="s">
        <v>114</v>
      </c>
      <c r="B232" s="17"/>
      <c r="C232" s="17"/>
      <c r="D232" s="18"/>
      <c r="E232" s="106">
        <v>0.03</v>
      </c>
      <c r="F232" s="106" t="s">
        <v>21</v>
      </c>
      <c r="G232" s="160">
        <v>24.0</v>
      </c>
      <c r="H232" s="107" t="s">
        <v>22</v>
      </c>
      <c r="I232" s="114"/>
      <c r="J232" s="114"/>
      <c r="K232" s="114"/>
      <c r="L232" s="107"/>
      <c r="M232" s="114"/>
      <c r="N232" s="114"/>
      <c r="O232" s="114"/>
      <c r="P232" s="114"/>
      <c r="Q232" s="114"/>
      <c r="R232" s="112"/>
      <c r="S232" s="112"/>
      <c r="T232" s="112"/>
      <c r="U232" s="112"/>
      <c r="V232" s="112"/>
      <c r="W232" s="112"/>
      <c r="X232" s="112"/>
      <c r="Y232" s="112"/>
      <c r="Z232" s="112"/>
      <c r="AA232" s="112"/>
      <c r="AB232" s="112"/>
      <c r="AC232" s="125"/>
      <c r="AD232" s="112"/>
      <c r="AE232" s="112"/>
      <c r="AF232" s="112"/>
      <c r="AG232" s="112"/>
      <c r="AH232" s="112"/>
      <c r="AI232" s="112"/>
      <c r="AJ232" s="112"/>
      <c r="AK232" s="112"/>
      <c r="AL232" s="112"/>
      <c r="AM232" s="113">
        <f>G232+SUM(I232:AL232)-SUM(I233:AL233)</f>
        <v>14</v>
      </c>
      <c r="AN232" s="53">
        <f>ROUNDDOWN((AM232/E232)/$H$4,1)</f>
        <v>15.5</v>
      </c>
      <c r="AO232" s="53">
        <f>$M$4+AN232</f>
        <v>933.5</v>
      </c>
      <c r="AP232" s="53"/>
    </row>
    <row r="233">
      <c r="A233" s="31"/>
      <c r="B233" s="17"/>
      <c r="C233" s="17"/>
      <c r="D233" s="17"/>
      <c r="E233" s="17"/>
      <c r="F233" s="18"/>
      <c r="G233" s="112"/>
      <c r="H233" s="107" t="s">
        <v>23</v>
      </c>
      <c r="I233" s="114"/>
      <c r="J233" s="114"/>
      <c r="K233" s="114"/>
      <c r="L233" s="114"/>
      <c r="M233" s="114"/>
      <c r="N233" s="114"/>
      <c r="O233" s="114"/>
      <c r="P233" s="114"/>
      <c r="Q233" s="114"/>
      <c r="R233" s="112"/>
      <c r="S233" s="112"/>
      <c r="T233" s="112"/>
      <c r="U233" s="112"/>
      <c r="V233" s="112"/>
      <c r="W233" s="112"/>
      <c r="X233" s="112"/>
      <c r="Y233" s="112"/>
      <c r="Z233" s="112"/>
      <c r="AA233" s="112"/>
      <c r="AB233" s="112"/>
      <c r="AC233" s="125">
        <v>10.0</v>
      </c>
      <c r="AD233" s="112"/>
      <c r="AE233" s="112"/>
      <c r="AF233" s="112"/>
      <c r="AG233" s="112"/>
      <c r="AH233" s="112"/>
      <c r="AI233" s="112"/>
      <c r="AJ233" s="112"/>
      <c r="AK233" s="112"/>
      <c r="AL233" s="112"/>
      <c r="AM233" s="32"/>
      <c r="AP233" s="53"/>
    </row>
    <row r="234">
      <c r="A234" s="33"/>
      <c r="B234" s="33"/>
      <c r="C234" s="33"/>
      <c r="D234" s="33"/>
      <c r="E234" s="106"/>
      <c r="F234" s="106"/>
      <c r="G234" s="160"/>
      <c r="H234" s="107"/>
      <c r="I234" s="114"/>
      <c r="J234" s="117"/>
      <c r="K234" s="117"/>
      <c r="L234" s="116"/>
      <c r="M234" s="117"/>
      <c r="N234" s="117"/>
      <c r="O234" s="117"/>
      <c r="P234" s="114"/>
      <c r="Q234" s="117"/>
      <c r="R234" s="119"/>
      <c r="S234" s="119"/>
      <c r="T234" s="119"/>
      <c r="U234" s="119"/>
      <c r="V234" s="119"/>
      <c r="W234" s="112"/>
      <c r="X234" s="119"/>
      <c r="Y234" s="119"/>
      <c r="Z234" s="119"/>
      <c r="AA234" s="119"/>
      <c r="AB234" s="119"/>
      <c r="AC234" s="120"/>
      <c r="AD234" s="112"/>
      <c r="AE234" s="119"/>
      <c r="AF234" s="119"/>
      <c r="AG234" s="119"/>
      <c r="AH234" s="119"/>
      <c r="AI234" s="119"/>
      <c r="AJ234" s="119"/>
      <c r="AK234" s="112"/>
      <c r="AL234" s="112"/>
      <c r="AM234" s="122"/>
      <c r="AN234" s="53"/>
      <c r="AO234" s="53"/>
      <c r="AP234" s="53"/>
    </row>
    <row r="235">
      <c r="A235" s="24" t="s">
        <v>115</v>
      </c>
      <c r="B235" s="17"/>
      <c r="C235" s="17"/>
      <c r="D235" s="18"/>
      <c r="E235" s="106">
        <v>0.04</v>
      </c>
      <c r="F235" s="106" t="s">
        <v>21</v>
      </c>
      <c r="G235" s="160">
        <v>35.0</v>
      </c>
      <c r="H235" s="107" t="s">
        <v>22</v>
      </c>
      <c r="I235" s="114"/>
      <c r="J235" s="114"/>
      <c r="K235" s="114"/>
      <c r="L235" s="107"/>
      <c r="M235" s="114"/>
      <c r="N235" s="114"/>
      <c r="O235" s="114"/>
      <c r="P235" s="114"/>
      <c r="Q235" s="114"/>
      <c r="R235" s="112"/>
      <c r="S235" s="112"/>
      <c r="T235" s="112"/>
      <c r="U235" s="112"/>
      <c r="V235" s="112"/>
      <c r="W235" s="112"/>
      <c r="X235" s="112"/>
      <c r="Y235" s="112"/>
      <c r="Z235" s="112"/>
      <c r="AA235" s="112"/>
      <c r="AB235" s="112"/>
      <c r="AC235" s="125"/>
      <c r="AD235" s="112"/>
      <c r="AE235" s="112"/>
      <c r="AF235" s="112"/>
      <c r="AG235" s="112"/>
      <c r="AH235" s="112"/>
      <c r="AI235" s="112"/>
      <c r="AJ235" s="112"/>
      <c r="AK235" s="112"/>
      <c r="AL235" s="112"/>
      <c r="AM235" s="113">
        <f>G235+SUM(I235:AL235)-SUM(I236:AL236)</f>
        <v>14</v>
      </c>
      <c r="AN235" s="53">
        <f>ROUNDDOWN((AM235/E235)/$H$4,1)</f>
        <v>11.6</v>
      </c>
      <c r="AO235" s="53">
        <f>$M$4+AN235</f>
        <v>929.6</v>
      </c>
      <c r="AP235" s="53"/>
    </row>
    <row r="236">
      <c r="A236" s="31"/>
      <c r="B236" s="17"/>
      <c r="C236" s="17"/>
      <c r="D236" s="17"/>
      <c r="E236" s="17"/>
      <c r="F236" s="18"/>
      <c r="G236" s="112"/>
      <c r="H236" s="107" t="s">
        <v>23</v>
      </c>
      <c r="I236" s="114"/>
      <c r="J236" s="114"/>
      <c r="K236" s="114"/>
      <c r="L236" s="107">
        <v>10.0</v>
      </c>
      <c r="M236" s="114"/>
      <c r="N236" s="107"/>
      <c r="O236" s="114"/>
      <c r="P236" s="114"/>
      <c r="Q236" s="107"/>
      <c r="R236" s="112"/>
      <c r="S236" s="112"/>
      <c r="T236" s="112"/>
      <c r="U236" s="112"/>
      <c r="V236" s="112"/>
      <c r="W236" s="125"/>
      <c r="X236" s="112"/>
      <c r="Y236" s="112"/>
      <c r="Z236" s="125"/>
      <c r="AA236" s="125"/>
      <c r="AB236" s="112"/>
      <c r="AC236" s="125">
        <v>10.0</v>
      </c>
      <c r="AD236" s="112"/>
      <c r="AE236" s="125">
        <v>1.0</v>
      </c>
      <c r="AF236" s="112"/>
      <c r="AG236" s="112"/>
      <c r="AH236" s="125"/>
      <c r="AI236" s="112"/>
      <c r="AJ236" s="112"/>
      <c r="AK236" s="112"/>
      <c r="AL236" s="112"/>
      <c r="AM236" s="32"/>
      <c r="AP236" s="53"/>
    </row>
    <row r="237">
      <c r="A237" s="33"/>
      <c r="B237" s="33"/>
      <c r="C237" s="33"/>
      <c r="D237" s="33"/>
      <c r="E237" s="106"/>
      <c r="F237" s="106"/>
      <c r="G237" s="106"/>
      <c r="H237" s="107"/>
      <c r="I237" s="114"/>
      <c r="J237" s="117"/>
      <c r="K237" s="117"/>
      <c r="L237" s="118"/>
      <c r="M237" s="117"/>
      <c r="N237" s="117"/>
      <c r="O237" s="117"/>
      <c r="P237" s="114"/>
      <c r="Q237" s="117"/>
      <c r="R237" s="119"/>
      <c r="S237" s="119"/>
      <c r="T237" s="119"/>
      <c r="U237" s="119"/>
      <c r="V237" s="119"/>
      <c r="W237" s="112"/>
      <c r="X237" s="119"/>
      <c r="Y237" s="119"/>
      <c r="Z237" s="119"/>
      <c r="AA237" s="119"/>
      <c r="AB237" s="119"/>
      <c r="AC237" s="120"/>
      <c r="AD237" s="112"/>
      <c r="AE237" s="120"/>
      <c r="AF237" s="119"/>
      <c r="AG237" s="119"/>
      <c r="AH237" s="119"/>
      <c r="AI237" s="119"/>
      <c r="AJ237" s="119"/>
      <c r="AK237" s="112"/>
      <c r="AL237" s="112"/>
      <c r="AM237" s="122"/>
      <c r="AN237" s="53"/>
      <c r="AO237" s="81"/>
      <c r="AP237" s="81"/>
    </row>
    <row r="238">
      <c r="A238" s="24" t="s">
        <v>116</v>
      </c>
      <c r="B238" s="17"/>
      <c r="C238" s="17"/>
      <c r="D238" s="18"/>
      <c r="E238" s="106">
        <v>0.33</v>
      </c>
      <c r="F238" s="106" t="s">
        <v>21</v>
      </c>
      <c r="G238" s="160">
        <v>222.0</v>
      </c>
      <c r="H238" s="107" t="s">
        <v>22</v>
      </c>
      <c r="I238" s="114"/>
      <c r="J238" s="114"/>
      <c r="K238" s="114"/>
      <c r="L238" s="114"/>
      <c r="M238" s="114"/>
      <c r="N238" s="114"/>
      <c r="O238" s="114"/>
      <c r="P238" s="114"/>
      <c r="Q238" s="114"/>
      <c r="R238" s="112"/>
      <c r="S238" s="112"/>
      <c r="T238" s="112"/>
      <c r="U238" s="112"/>
      <c r="V238" s="112"/>
      <c r="W238" s="112"/>
      <c r="X238" s="112"/>
      <c r="Y238" s="112"/>
      <c r="Z238" s="112"/>
      <c r="AA238" s="112"/>
      <c r="AB238" s="112"/>
      <c r="AC238" s="125"/>
      <c r="AD238" s="112"/>
      <c r="AE238" s="112"/>
      <c r="AF238" s="112"/>
      <c r="AG238" s="112"/>
      <c r="AH238" s="112"/>
      <c r="AI238" s="112"/>
      <c r="AJ238" s="112"/>
      <c r="AK238" s="112"/>
      <c r="AL238" s="112"/>
      <c r="AM238" s="113">
        <f>G238+SUM(I238:AL238)-SUM(I239:AL239)</f>
        <v>84</v>
      </c>
      <c r="AN238" s="53">
        <f>ROUNDDOWN((AM238/E238)/$H$4,1)</f>
        <v>8.4</v>
      </c>
      <c r="AO238" s="81">
        <f>M3+AN238</f>
        <v>924.4</v>
      </c>
      <c r="AP238" s="81"/>
    </row>
    <row r="239">
      <c r="A239" s="31"/>
      <c r="B239" s="17"/>
      <c r="C239" s="17"/>
      <c r="D239" s="17"/>
      <c r="E239" s="17"/>
      <c r="F239" s="18"/>
      <c r="G239" s="112"/>
      <c r="H239" s="107" t="s">
        <v>23</v>
      </c>
      <c r="I239" s="200"/>
      <c r="J239" s="200"/>
      <c r="K239" s="200">
        <v>4.0</v>
      </c>
      <c r="L239" s="200">
        <f>1+2</f>
        <v>3</v>
      </c>
      <c r="M239" s="200">
        <f>5+4+2</f>
        <v>11</v>
      </c>
      <c r="N239" s="200"/>
      <c r="O239" s="200"/>
      <c r="P239" s="200"/>
      <c r="Q239" s="200">
        <f>5+4</f>
        <v>9</v>
      </c>
      <c r="R239" s="208">
        <f>1+4</f>
        <v>5</v>
      </c>
      <c r="S239" s="208">
        <f>5+4+2</f>
        <v>11</v>
      </c>
      <c r="T239" s="208">
        <f>4+2</f>
        <v>6</v>
      </c>
      <c r="U239" s="208">
        <f>5+4</f>
        <v>9</v>
      </c>
      <c r="V239" s="208">
        <f>4+3+4+3</f>
        <v>14</v>
      </c>
      <c r="W239" s="182"/>
      <c r="X239" s="208">
        <v>5.0</v>
      </c>
      <c r="Y239" s="208">
        <v>4.0</v>
      </c>
      <c r="Z239" s="208">
        <v>5.0</v>
      </c>
      <c r="AA239" s="208"/>
      <c r="AB239" s="208">
        <f>5+4+3</f>
        <v>12</v>
      </c>
      <c r="AC239" s="208"/>
      <c r="AD239" s="208"/>
      <c r="AE239" s="208">
        <f>5+4</f>
        <v>9</v>
      </c>
      <c r="AF239" s="208">
        <v>5.0</v>
      </c>
      <c r="AG239" s="208">
        <v>4.0</v>
      </c>
      <c r="AH239" s="208">
        <v>5.0</v>
      </c>
      <c r="AI239" s="125">
        <v>4.0</v>
      </c>
      <c r="AJ239" s="125">
        <f>4+2</f>
        <v>6</v>
      </c>
      <c r="AK239" s="125"/>
      <c r="AL239" s="125">
        <f>4+3</f>
        <v>7</v>
      </c>
      <c r="AM239" s="32"/>
      <c r="AP239" s="81"/>
    </row>
    <row r="240">
      <c r="A240" s="170"/>
      <c r="B240" s="170"/>
      <c r="C240" s="170"/>
      <c r="D240" s="170"/>
      <c r="E240" s="106"/>
      <c r="F240" s="106"/>
      <c r="G240" s="106"/>
      <c r="H240" s="107"/>
      <c r="I240" s="200"/>
      <c r="J240" s="221"/>
      <c r="K240" s="216"/>
      <c r="L240" s="217"/>
      <c r="M240" s="217"/>
      <c r="N240" s="220"/>
      <c r="O240" s="221"/>
      <c r="P240" s="185"/>
      <c r="Q240" s="217"/>
      <c r="R240" s="194"/>
      <c r="S240" s="219"/>
      <c r="T240" s="194"/>
      <c r="U240" s="194"/>
      <c r="V240" s="219"/>
      <c r="W240" s="182"/>
      <c r="X240" s="219"/>
      <c r="Y240" s="219"/>
      <c r="Z240" s="194"/>
      <c r="AA240" s="218"/>
      <c r="AB240" s="219"/>
      <c r="AC240" s="218"/>
      <c r="AD240" s="182"/>
      <c r="AE240" s="194"/>
      <c r="AF240" s="219"/>
      <c r="AG240" s="219"/>
      <c r="AH240" s="194"/>
      <c r="AI240" s="127"/>
      <c r="AJ240" s="127"/>
      <c r="AK240" s="112"/>
      <c r="AL240" s="112"/>
      <c r="AM240" s="122"/>
      <c r="AN240" s="53"/>
      <c r="AO240" s="81"/>
      <c r="AP240" s="81"/>
    </row>
    <row r="241">
      <c r="A241" s="178" t="s">
        <v>117</v>
      </c>
      <c r="B241" s="179"/>
      <c r="C241" s="179"/>
      <c r="D241" s="180"/>
      <c r="E241" s="171">
        <v>0.17</v>
      </c>
      <c r="F241" s="171" t="s">
        <v>167</v>
      </c>
      <c r="G241" s="172">
        <v>65.0</v>
      </c>
      <c r="H241" s="107" t="s">
        <v>22</v>
      </c>
      <c r="I241" s="200"/>
      <c r="J241" s="185"/>
      <c r="K241" s="200"/>
      <c r="L241" s="185"/>
      <c r="M241" s="185"/>
      <c r="N241" s="200"/>
      <c r="O241" s="185"/>
      <c r="P241" s="185"/>
      <c r="Q241" s="185"/>
      <c r="R241" s="208"/>
      <c r="S241" s="182"/>
      <c r="T241" s="208"/>
      <c r="U241" s="208"/>
      <c r="V241" s="182"/>
      <c r="W241" s="182"/>
      <c r="X241" s="182"/>
      <c r="Y241" s="182"/>
      <c r="Z241" s="208"/>
      <c r="AA241" s="182"/>
      <c r="AB241" s="182"/>
      <c r="AC241" s="208"/>
      <c r="AD241" s="182"/>
      <c r="AE241" s="208"/>
      <c r="AF241" s="182"/>
      <c r="AG241" s="182"/>
      <c r="AH241" s="208"/>
      <c r="AI241" s="125"/>
      <c r="AJ241" s="125"/>
      <c r="AK241" s="112"/>
      <c r="AL241" s="112"/>
      <c r="AM241" s="113">
        <f>G241+SUM(I241:AL241)-SUM(I242:AL242)</f>
        <v>35.7</v>
      </c>
      <c r="AN241" s="53">
        <f>ROUNDDOWN((AM241/E241)/$H$4,1)</f>
        <v>7</v>
      </c>
      <c r="AO241" s="81">
        <f>$M$4+AN241</f>
        <v>925</v>
      </c>
      <c r="AP241" s="81"/>
    </row>
    <row r="242">
      <c r="A242" s="31"/>
      <c r="B242" s="17"/>
      <c r="C242" s="17"/>
      <c r="D242" s="17"/>
      <c r="E242" s="17"/>
      <c r="F242" s="18"/>
      <c r="G242" s="182"/>
      <c r="H242" s="107" t="s">
        <v>23</v>
      </c>
      <c r="I242" s="200"/>
      <c r="J242" s="185"/>
      <c r="K242" s="200"/>
      <c r="L242" s="185"/>
      <c r="M242" s="185"/>
      <c r="N242" s="200">
        <v>2.0</v>
      </c>
      <c r="O242" s="200">
        <v>4.0</v>
      </c>
      <c r="P242" s="185"/>
      <c r="Q242" s="185"/>
      <c r="R242" s="208">
        <v>2.0</v>
      </c>
      <c r="S242" s="208">
        <v>1.0</v>
      </c>
      <c r="T242" s="208"/>
      <c r="U242" s="208"/>
      <c r="V242" s="208">
        <v>2.0</v>
      </c>
      <c r="W242" s="182"/>
      <c r="X242" s="182"/>
      <c r="Y242" s="182"/>
      <c r="Z242" s="208"/>
      <c r="AA242" s="208">
        <v>2.0</v>
      </c>
      <c r="AB242" s="208"/>
      <c r="AC242" s="208">
        <v>2.3</v>
      </c>
      <c r="AD242" s="208"/>
      <c r="AE242" s="208">
        <v>2.0</v>
      </c>
      <c r="AF242" s="208">
        <v>2.0</v>
      </c>
      <c r="AG242" s="208">
        <v>1.0</v>
      </c>
      <c r="AH242" s="208">
        <f>2+4</f>
        <v>6</v>
      </c>
      <c r="AI242" s="208">
        <v>3.0</v>
      </c>
      <c r="AJ242" s="182"/>
      <c r="AK242" s="208"/>
      <c r="AL242" s="125"/>
      <c r="AM242" s="32"/>
      <c r="AP242" s="81"/>
    </row>
    <row r="243">
      <c r="A243" s="170"/>
      <c r="B243" s="170"/>
      <c r="C243" s="170"/>
      <c r="D243" s="170"/>
      <c r="E243" s="106"/>
      <c r="F243" s="106"/>
      <c r="G243" s="106"/>
      <c r="H243" s="107"/>
      <c r="I243" s="200"/>
      <c r="J243" s="221"/>
      <c r="K243" s="220"/>
      <c r="L243" s="221"/>
      <c r="M243" s="221"/>
      <c r="N243" s="216"/>
      <c r="O243" s="217"/>
      <c r="P243" s="185"/>
      <c r="Q243" s="221"/>
      <c r="R243" s="194"/>
      <c r="S243" s="219"/>
      <c r="T243" s="193"/>
      <c r="U243" s="193"/>
      <c r="V243" s="219"/>
      <c r="W243" s="182"/>
      <c r="X243" s="218"/>
      <c r="Y243" s="218"/>
      <c r="Z243" s="193"/>
      <c r="AA243" s="219"/>
      <c r="AB243" s="218"/>
      <c r="AC243" s="219"/>
      <c r="AD243" s="182"/>
      <c r="AE243" s="194"/>
      <c r="AF243" s="219"/>
      <c r="AG243" s="219"/>
      <c r="AH243" s="194"/>
      <c r="AI243" s="194"/>
      <c r="AJ243" s="218"/>
      <c r="AK243" s="208"/>
      <c r="AL243" s="112"/>
      <c r="AM243" s="122"/>
      <c r="AN243" s="53"/>
      <c r="AO243" s="53"/>
      <c r="AP243" s="53"/>
    </row>
    <row r="244">
      <c r="A244" s="178" t="s">
        <v>118</v>
      </c>
      <c r="B244" s="179"/>
      <c r="C244" s="179"/>
      <c r="D244" s="180"/>
      <c r="E244" s="188"/>
      <c r="F244" s="171" t="s">
        <v>21</v>
      </c>
      <c r="G244" s="189"/>
      <c r="H244" s="107" t="s">
        <v>22</v>
      </c>
      <c r="I244" s="200"/>
      <c r="J244" s="185"/>
      <c r="K244" s="200">
        <v>1680.0</v>
      </c>
      <c r="L244" s="185"/>
      <c r="M244" s="185"/>
      <c r="N244" s="200"/>
      <c r="O244" s="185"/>
      <c r="P244" s="185"/>
      <c r="Q244" s="200"/>
      <c r="R244" s="208"/>
      <c r="S244" s="182"/>
      <c r="T244" s="208"/>
      <c r="U244" s="208">
        <v>720.0</v>
      </c>
      <c r="V244" s="182"/>
      <c r="W244" s="182"/>
      <c r="X244" s="182"/>
      <c r="Y244" s="182"/>
      <c r="Z244" s="208"/>
      <c r="AA244" s="182"/>
      <c r="AB244" s="182"/>
      <c r="AC244" s="208">
        <v>960.0</v>
      </c>
      <c r="AD244" s="182"/>
      <c r="AE244" s="208"/>
      <c r="AF244" s="182"/>
      <c r="AG244" s="208">
        <v>1440.0</v>
      </c>
      <c r="AH244" s="208"/>
      <c r="AI244" s="208"/>
      <c r="AJ244" s="182"/>
      <c r="AK244" s="208"/>
      <c r="AL244" s="112"/>
      <c r="AM244" s="113">
        <f>G244+SUM(I244:AL244)-SUM(I245:AL245)</f>
        <v>0</v>
      </c>
      <c r="AN244" s="53"/>
      <c r="AO244" s="53"/>
      <c r="AP244" s="53"/>
    </row>
    <row r="245">
      <c r="A245" s="31"/>
      <c r="B245" s="17"/>
      <c r="C245" s="17"/>
      <c r="D245" s="17"/>
      <c r="E245" s="17"/>
      <c r="F245" s="18"/>
      <c r="G245" s="182"/>
      <c r="H245" s="107" t="s">
        <v>23</v>
      </c>
      <c r="I245" s="200"/>
      <c r="J245" s="185"/>
      <c r="K245" s="200">
        <v>1680.0</v>
      </c>
      <c r="L245" s="185"/>
      <c r="M245" s="185"/>
      <c r="N245" s="200"/>
      <c r="O245" s="185"/>
      <c r="P245" s="185"/>
      <c r="Q245" s="200"/>
      <c r="R245" s="208"/>
      <c r="S245" s="182"/>
      <c r="T245" s="208"/>
      <c r="U245" s="208">
        <v>720.0</v>
      </c>
      <c r="V245" s="182"/>
      <c r="W245" s="182"/>
      <c r="X245" s="182"/>
      <c r="Y245" s="182"/>
      <c r="Z245" s="208"/>
      <c r="AA245" s="182"/>
      <c r="AB245" s="182"/>
      <c r="AC245" s="208">
        <v>960.0</v>
      </c>
      <c r="AD245" s="182"/>
      <c r="AE245" s="208"/>
      <c r="AF245" s="182"/>
      <c r="AG245" s="208">
        <v>1440.0</v>
      </c>
      <c r="AH245" s="208"/>
      <c r="AI245" s="208"/>
      <c r="AJ245" s="182"/>
      <c r="AK245" s="208"/>
      <c r="AL245" s="112"/>
      <c r="AM245" s="32"/>
      <c r="AP245" s="53"/>
    </row>
    <row r="246">
      <c r="A246" s="170"/>
      <c r="B246" s="170"/>
      <c r="C246" s="170"/>
      <c r="D246" s="170"/>
      <c r="E246" s="106"/>
      <c r="F246" s="106"/>
      <c r="G246" s="106"/>
      <c r="H246" s="107"/>
      <c r="I246" s="208"/>
      <c r="J246" s="193"/>
      <c r="K246" s="194"/>
      <c r="L246" s="193"/>
      <c r="M246" s="193"/>
      <c r="N246" s="193"/>
      <c r="O246" s="193"/>
      <c r="P246" s="208"/>
      <c r="Q246" s="193"/>
      <c r="R246" s="193"/>
      <c r="S246" s="193"/>
      <c r="T246" s="193"/>
      <c r="U246" s="194"/>
      <c r="V246" s="193"/>
      <c r="W246" s="208"/>
      <c r="X246" s="193"/>
      <c r="Y246" s="193"/>
      <c r="Z246" s="193"/>
      <c r="AA246" s="193"/>
      <c r="AB246" s="193"/>
      <c r="AC246" s="194"/>
      <c r="AD246" s="208"/>
      <c r="AE246" s="193"/>
      <c r="AF246" s="193"/>
      <c r="AG246" s="194"/>
      <c r="AH246" s="193"/>
      <c r="AI246" s="194"/>
      <c r="AJ246" s="219"/>
      <c r="AK246" s="208"/>
      <c r="AL246" s="112"/>
      <c r="AM246" s="122"/>
      <c r="AN246" s="53"/>
      <c r="AO246" s="53"/>
      <c r="AP246" s="53"/>
    </row>
    <row r="247">
      <c r="A247" s="178" t="s">
        <v>119</v>
      </c>
      <c r="B247" s="179"/>
      <c r="C247" s="179"/>
      <c r="D247" s="180"/>
      <c r="E247" s="188"/>
      <c r="F247" s="171" t="s">
        <v>21</v>
      </c>
      <c r="G247" s="189"/>
      <c r="H247" s="107" t="s">
        <v>22</v>
      </c>
      <c r="I247" s="208"/>
      <c r="J247" s="208">
        <v>15.0</v>
      </c>
      <c r="K247" s="208"/>
      <c r="L247" s="208"/>
      <c r="M247" s="208">
        <v>15.0</v>
      </c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>
        <v>15.0</v>
      </c>
      <c r="Y247" s="208">
        <v>15.0</v>
      </c>
      <c r="Z247" s="208"/>
      <c r="AA247" s="208"/>
      <c r="AB247" s="208"/>
      <c r="AC247" s="208">
        <v>15.0</v>
      </c>
      <c r="AD247" s="208"/>
      <c r="AE247" s="208"/>
      <c r="AF247" s="208">
        <v>15.0</v>
      </c>
      <c r="AG247" s="208"/>
      <c r="AH247" s="208"/>
      <c r="AI247" s="208"/>
      <c r="AJ247" s="182"/>
      <c r="AK247" s="208"/>
      <c r="AL247" s="125">
        <v>15.0</v>
      </c>
      <c r="AM247" s="113">
        <f>G247+SUM(I247:AL247)-SUM(I248:AL248)</f>
        <v>0</v>
      </c>
      <c r="AN247" s="53"/>
      <c r="AO247" s="53"/>
      <c r="AP247" s="53"/>
    </row>
    <row r="248">
      <c r="A248" s="31"/>
      <c r="B248" s="17"/>
      <c r="C248" s="17"/>
      <c r="D248" s="17"/>
      <c r="E248" s="17"/>
      <c r="F248" s="18"/>
      <c r="G248" s="182"/>
      <c r="H248" s="107" t="s">
        <v>23</v>
      </c>
      <c r="I248" s="208"/>
      <c r="J248" s="208">
        <v>15.0</v>
      </c>
      <c r="K248" s="208"/>
      <c r="L248" s="208"/>
      <c r="M248" s="208">
        <v>15.0</v>
      </c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>
        <v>15.0</v>
      </c>
      <c r="Y248" s="208">
        <v>15.0</v>
      </c>
      <c r="Z248" s="208"/>
      <c r="AA248" s="208"/>
      <c r="AB248" s="208"/>
      <c r="AC248" s="208">
        <v>15.0</v>
      </c>
      <c r="AD248" s="208"/>
      <c r="AE248" s="208"/>
      <c r="AF248" s="208">
        <v>15.0</v>
      </c>
      <c r="AG248" s="208"/>
      <c r="AH248" s="208"/>
      <c r="AI248" s="208"/>
      <c r="AJ248" s="182"/>
      <c r="AK248" s="208"/>
      <c r="AL248" s="125">
        <v>15.0</v>
      </c>
      <c r="AM248" s="32"/>
      <c r="AP248" s="53"/>
    </row>
    <row r="249">
      <c r="A249" s="170"/>
      <c r="B249" s="170"/>
      <c r="C249" s="170"/>
      <c r="D249" s="170"/>
      <c r="E249" s="106"/>
      <c r="F249" s="106"/>
      <c r="G249" s="106"/>
      <c r="H249" s="107"/>
      <c r="I249" s="208"/>
      <c r="J249" s="194"/>
      <c r="K249" s="193"/>
      <c r="L249" s="193"/>
      <c r="M249" s="194"/>
      <c r="N249" s="193"/>
      <c r="O249" s="193"/>
      <c r="P249" s="208"/>
      <c r="Q249" s="193"/>
      <c r="R249" s="193"/>
      <c r="S249" s="193"/>
      <c r="T249" s="193"/>
      <c r="U249" s="193"/>
      <c r="V249" s="193"/>
      <c r="W249" s="208"/>
      <c r="X249" s="232"/>
      <c r="Y249" s="194"/>
      <c r="Z249" s="193"/>
      <c r="AA249" s="193"/>
      <c r="AB249" s="193"/>
      <c r="AC249" s="194"/>
      <c r="AD249" s="208"/>
      <c r="AE249" s="193"/>
      <c r="AF249" s="194"/>
      <c r="AG249" s="193"/>
      <c r="AH249" s="193"/>
      <c r="AI249" s="193"/>
      <c r="AJ249" s="218"/>
      <c r="AK249" s="208"/>
      <c r="AL249" s="112"/>
      <c r="AM249" s="122"/>
      <c r="AN249" s="53"/>
      <c r="AO249" s="53"/>
      <c r="AP249" s="53"/>
    </row>
    <row r="250">
      <c r="A250" s="178" t="s">
        <v>120</v>
      </c>
      <c r="B250" s="179"/>
      <c r="C250" s="179"/>
      <c r="D250" s="180"/>
      <c r="E250" s="188"/>
      <c r="F250" s="171" t="s">
        <v>21</v>
      </c>
      <c r="G250" s="189"/>
      <c r="H250" s="107" t="s">
        <v>22</v>
      </c>
      <c r="I250" s="208"/>
      <c r="J250" s="208">
        <v>30.0</v>
      </c>
      <c r="K250" s="208"/>
      <c r="L250" s="208">
        <v>30.0</v>
      </c>
      <c r="M250" s="208">
        <v>30.0</v>
      </c>
      <c r="N250" s="208">
        <v>30.0</v>
      </c>
      <c r="O250" s="208">
        <v>30.0</v>
      </c>
      <c r="P250" s="208"/>
      <c r="Q250" s="208">
        <v>30.0</v>
      </c>
      <c r="R250" s="208">
        <v>30.0</v>
      </c>
      <c r="S250" s="208">
        <v>30.0</v>
      </c>
      <c r="T250" s="208">
        <v>30.0</v>
      </c>
      <c r="U250" s="208">
        <v>30.0</v>
      </c>
      <c r="V250" s="208">
        <v>30.0</v>
      </c>
      <c r="W250" s="208"/>
      <c r="X250" s="208">
        <v>30.0</v>
      </c>
      <c r="Y250" s="208"/>
      <c r="Z250" s="208">
        <v>30.0</v>
      </c>
      <c r="AA250" s="208">
        <v>30.0</v>
      </c>
      <c r="AB250" s="208">
        <v>30.0</v>
      </c>
      <c r="AC250" s="208">
        <v>30.0</v>
      </c>
      <c r="AD250" s="208"/>
      <c r="AE250" s="208">
        <v>30.0</v>
      </c>
      <c r="AF250" s="208">
        <v>30.0</v>
      </c>
      <c r="AG250" s="208">
        <v>30.0</v>
      </c>
      <c r="AH250" s="208">
        <v>30.0</v>
      </c>
      <c r="AI250" s="208">
        <v>30.0</v>
      </c>
      <c r="AJ250" s="208"/>
      <c r="AK250" s="208"/>
      <c r="AL250" s="125">
        <v>30.0</v>
      </c>
      <c r="AM250" s="29">
        <f>G250+SUM(I250:AL250)-SUM(I251:AL251)</f>
        <v>0</v>
      </c>
      <c r="AN250" s="53"/>
      <c r="AO250" s="53"/>
      <c r="AP250" s="53"/>
    </row>
    <row r="251">
      <c r="A251" s="31"/>
      <c r="B251" s="17"/>
      <c r="C251" s="17"/>
      <c r="D251" s="17"/>
      <c r="E251" s="17"/>
      <c r="F251" s="18"/>
      <c r="G251" s="182"/>
      <c r="H251" s="107" t="s">
        <v>23</v>
      </c>
      <c r="I251" s="208"/>
      <c r="J251" s="208">
        <v>30.0</v>
      </c>
      <c r="K251" s="208"/>
      <c r="L251" s="208">
        <v>30.0</v>
      </c>
      <c r="M251" s="208">
        <v>30.0</v>
      </c>
      <c r="N251" s="208">
        <v>30.0</v>
      </c>
      <c r="O251" s="208">
        <v>30.0</v>
      </c>
      <c r="P251" s="208"/>
      <c r="Q251" s="208">
        <v>30.0</v>
      </c>
      <c r="R251" s="208">
        <v>30.0</v>
      </c>
      <c r="S251" s="208">
        <v>30.0</v>
      </c>
      <c r="T251" s="208">
        <v>30.0</v>
      </c>
      <c r="U251" s="208">
        <v>30.0</v>
      </c>
      <c r="V251" s="208">
        <v>30.0</v>
      </c>
      <c r="W251" s="208"/>
      <c r="X251" s="208">
        <v>30.0</v>
      </c>
      <c r="Y251" s="208"/>
      <c r="Z251" s="208">
        <v>30.0</v>
      </c>
      <c r="AA251" s="208">
        <v>30.0</v>
      </c>
      <c r="AB251" s="208">
        <v>30.0</v>
      </c>
      <c r="AC251" s="208">
        <v>30.0</v>
      </c>
      <c r="AD251" s="208"/>
      <c r="AE251" s="208">
        <v>30.0</v>
      </c>
      <c r="AF251" s="208">
        <v>30.0</v>
      </c>
      <c r="AG251" s="208">
        <v>30.0</v>
      </c>
      <c r="AH251" s="208">
        <v>30.0</v>
      </c>
      <c r="AI251" s="208">
        <v>30.0</v>
      </c>
      <c r="AJ251" s="208"/>
      <c r="AK251" s="208"/>
      <c r="AL251" s="125">
        <v>30.0</v>
      </c>
      <c r="AM251" s="32"/>
      <c r="AP251" s="53"/>
    </row>
    <row r="252">
      <c r="A252" s="33"/>
      <c r="B252" s="33"/>
      <c r="C252" s="170"/>
      <c r="D252" s="170"/>
      <c r="E252" s="106"/>
      <c r="F252" s="106"/>
      <c r="G252" s="106"/>
      <c r="H252" s="107"/>
      <c r="I252" s="200"/>
      <c r="J252" s="216"/>
      <c r="K252" s="220"/>
      <c r="L252" s="216"/>
      <c r="M252" s="216"/>
      <c r="N252" s="216"/>
      <c r="O252" s="216"/>
      <c r="P252" s="200"/>
      <c r="Q252" s="216"/>
      <c r="R252" s="216"/>
      <c r="S252" s="216"/>
      <c r="T252" s="216"/>
      <c r="U252" s="216"/>
      <c r="V252" s="216"/>
      <c r="W252" s="200"/>
      <c r="X252" s="216"/>
      <c r="Y252" s="220"/>
      <c r="Z252" s="216"/>
      <c r="AA252" s="216"/>
      <c r="AB252" s="216"/>
      <c r="AC252" s="216"/>
      <c r="AD252" s="200"/>
      <c r="AE252" s="220"/>
      <c r="AF252" s="216"/>
      <c r="AG252" s="216"/>
      <c r="AH252" s="194"/>
      <c r="AI252" s="194"/>
      <c r="AJ252" s="218"/>
      <c r="AK252" s="208"/>
      <c r="AL252" s="112"/>
      <c r="AM252" s="39"/>
      <c r="AN252" s="53"/>
      <c r="AO252" s="53"/>
      <c r="AP252" s="53"/>
    </row>
    <row r="253">
      <c r="A253" s="82" t="s">
        <v>168</v>
      </c>
      <c r="B253" s="83"/>
      <c r="C253" s="83"/>
      <c r="D253" s="84"/>
      <c r="E253" s="85"/>
      <c r="F253" s="86" t="s">
        <v>21</v>
      </c>
      <c r="G253" s="87"/>
      <c r="H253" s="88" t="s">
        <v>22</v>
      </c>
      <c r="I253" s="85"/>
      <c r="J253" s="85"/>
      <c r="K253" s="88"/>
      <c r="L253" s="85"/>
      <c r="M253" s="85"/>
      <c r="N253" s="88"/>
      <c r="O253" s="88"/>
      <c r="P253" s="88"/>
      <c r="Q253" s="85"/>
      <c r="R253" s="89"/>
      <c r="S253" s="89"/>
      <c r="T253" s="85"/>
      <c r="U253" s="89"/>
      <c r="V253" s="89"/>
      <c r="W253" s="89"/>
      <c r="X253" s="85"/>
      <c r="Y253" s="85"/>
      <c r="Z253" s="89"/>
      <c r="AA253" s="85"/>
      <c r="AB253" s="85"/>
      <c r="AC253" s="87"/>
      <c r="AD253" s="89"/>
      <c r="AE253" s="85"/>
      <c r="AF253" s="90"/>
      <c r="AG253" s="90"/>
      <c r="AH253" s="90"/>
      <c r="AI253" s="90"/>
      <c r="AJ253" s="90"/>
      <c r="AK253" s="89"/>
      <c r="AL253" s="85"/>
      <c r="AM253" s="91">
        <f>G253+SUM(I253:AL253)-SUM(I254:AL254)</f>
        <v>0</v>
      </c>
      <c r="AN253" s="233"/>
      <c r="AO253" s="53"/>
      <c r="AP253" s="53"/>
    </row>
    <row r="254">
      <c r="A254" s="92"/>
      <c r="B254" s="17"/>
      <c r="C254" s="17"/>
      <c r="D254" s="17"/>
      <c r="E254" s="17"/>
      <c r="F254" s="18"/>
      <c r="G254" s="87"/>
      <c r="H254" s="88" t="s">
        <v>23</v>
      </c>
      <c r="I254" s="85"/>
      <c r="J254" s="85"/>
      <c r="K254" s="88"/>
      <c r="L254" s="85"/>
      <c r="M254" s="85"/>
      <c r="N254" s="88"/>
      <c r="O254" s="88"/>
      <c r="P254" s="88"/>
      <c r="Q254" s="85"/>
      <c r="R254" s="89"/>
      <c r="S254" s="89"/>
      <c r="T254" s="85"/>
      <c r="U254" s="89"/>
      <c r="V254" s="89"/>
      <c r="W254" s="89"/>
      <c r="X254" s="85"/>
      <c r="Y254" s="85"/>
      <c r="Z254" s="89"/>
      <c r="AA254" s="85"/>
      <c r="AB254" s="85"/>
      <c r="AC254" s="87"/>
      <c r="AD254" s="89"/>
      <c r="AE254" s="85"/>
      <c r="AF254" s="90"/>
      <c r="AG254" s="90"/>
      <c r="AH254" s="90"/>
      <c r="AI254" s="90"/>
      <c r="AJ254" s="90"/>
      <c r="AK254" s="89"/>
      <c r="AL254" s="85"/>
      <c r="AM254" s="32"/>
      <c r="AO254" s="53"/>
      <c r="AP254" s="53"/>
    </row>
    <row r="255">
      <c r="A255" s="87"/>
      <c r="B255" s="87"/>
      <c r="C255" s="87"/>
      <c r="D255" s="87"/>
      <c r="E255" s="85"/>
      <c r="F255" s="87"/>
      <c r="G255" s="87"/>
      <c r="H255" s="87"/>
      <c r="I255" s="85"/>
      <c r="J255" s="85"/>
      <c r="K255" s="87"/>
      <c r="L255" s="85"/>
      <c r="M255" s="85"/>
      <c r="N255" s="87"/>
      <c r="O255" s="87"/>
      <c r="P255" s="87"/>
      <c r="Q255" s="85"/>
      <c r="R255" s="87"/>
      <c r="S255" s="87"/>
      <c r="T255" s="85"/>
      <c r="U255" s="87"/>
      <c r="V255" s="87"/>
      <c r="W255" s="87"/>
      <c r="X255" s="85"/>
      <c r="Y255" s="85"/>
      <c r="Z255" s="87"/>
      <c r="AA255" s="85"/>
      <c r="AB255" s="85"/>
      <c r="AC255" s="87"/>
      <c r="AD255" s="87"/>
      <c r="AE255" s="85"/>
      <c r="AF255" s="85"/>
      <c r="AG255" s="85"/>
      <c r="AH255" s="85"/>
      <c r="AI255" s="85"/>
      <c r="AJ255" s="85"/>
      <c r="AK255" s="87"/>
      <c r="AL255" s="85"/>
      <c r="AM255" s="85"/>
      <c r="AN255" s="234"/>
      <c r="AO255" s="53"/>
      <c r="AP255" s="53"/>
    </row>
    <row r="256">
      <c r="A256" s="82" t="s">
        <v>122</v>
      </c>
      <c r="B256" s="83"/>
      <c r="C256" s="83"/>
      <c r="D256" s="84"/>
      <c r="E256" s="85"/>
      <c r="F256" s="86" t="s">
        <v>21</v>
      </c>
      <c r="G256" s="87"/>
      <c r="H256" s="88" t="s">
        <v>22</v>
      </c>
      <c r="I256" s="85"/>
      <c r="J256" s="85"/>
      <c r="K256" s="88"/>
      <c r="L256" s="85"/>
      <c r="M256" s="85"/>
      <c r="N256" s="88"/>
      <c r="O256" s="88"/>
      <c r="P256" s="88"/>
      <c r="Q256" s="85"/>
      <c r="R256" s="89"/>
      <c r="S256" s="89"/>
      <c r="T256" s="85"/>
      <c r="U256" s="89"/>
      <c r="V256" s="89"/>
      <c r="W256" s="89"/>
      <c r="X256" s="85"/>
      <c r="Y256" s="85"/>
      <c r="Z256" s="89"/>
      <c r="AA256" s="85"/>
      <c r="AB256" s="85"/>
      <c r="AC256" s="87"/>
      <c r="AD256" s="89"/>
      <c r="AE256" s="85"/>
      <c r="AF256" s="90"/>
      <c r="AG256" s="90"/>
      <c r="AH256" s="90"/>
      <c r="AI256" s="90"/>
      <c r="AJ256" s="90"/>
      <c r="AK256" s="89"/>
      <c r="AL256" s="85"/>
      <c r="AM256" s="91">
        <f>G256+SUM(I256:AL256)-SUM(I257:AL257)</f>
        <v>0</v>
      </c>
      <c r="AN256" s="233"/>
      <c r="AO256" s="53"/>
      <c r="AP256" s="53"/>
    </row>
    <row r="257">
      <c r="A257" s="92"/>
      <c r="B257" s="17"/>
      <c r="C257" s="17"/>
      <c r="D257" s="17"/>
      <c r="E257" s="17"/>
      <c r="F257" s="18"/>
      <c r="G257" s="87"/>
      <c r="H257" s="88" t="s">
        <v>23</v>
      </c>
      <c r="I257" s="85"/>
      <c r="J257" s="85"/>
      <c r="K257" s="88"/>
      <c r="L257" s="85"/>
      <c r="M257" s="85"/>
      <c r="N257" s="88"/>
      <c r="O257" s="88"/>
      <c r="P257" s="88"/>
      <c r="Q257" s="85"/>
      <c r="R257" s="89"/>
      <c r="S257" s="89"/>
      <c r="T257" s="85"/>
      <c r="U257" s="89"/>
      <c r="V257" s="89"/>
      <c r="W257" s="89"/>
      <c r="X257" s="85"/>
      <c r="Y257" s="85"/>
      <c r="Z257" s="89"/>
      <c r="AA257" s="85"/>
      <c r="AB257" s="85"/>
      <c r="AC257" s="87"/>
      <c r="AD257" s="89"/>
      <c r="AE257" s="85"/>
      <c r="AF257" s="90"/>
      <c r="AG257" s="90"/>
      <c r="AH257" s="90"/>
      <c r="AI257" s="90"/>
      <c r="AJ257" s="90"/>
      <c r="AK257" s="89"/>
      <c r="AL257" s="85"/>
      <c r="AM257" s="32"/>
      <c r="AO257" s="53"/>
      <c r="AP257" s="53"/>
    </row>
    <row r="258">
      <c r="A258" s="87"/>
      <c r="B258" s="87"/>
      <c r="C258" s="87"/>
      <c r="D258" s="87"/>
      <c r="E258" s="85"/>
      <c r="F258" s="87"/>
      <c r="G258" s="87"/>
      <c r="H258" s="87"/>
      <c r="I258" s="85"/>
      <c r="J258" s="85"/>
      <c r="K258" s="87"/>
      <c r="L258" s="85"/>
      <c r="M258" s="85"/>
      <c r="N258" s="87"/>
      <c r="O258" s="87"/>
      <c r="P258" s="87"/>
      <c r="Q258" s="85"/>
      <c r="R258" s="87"/>
      <c r="S258" s="87"/>
      <c r="T258" s="85"/>
      <c r="U258" s="87"/>
      <c r="V258" s="87"/>
      <c r="W258" s="87"/>
      <c r="X258" s="85"/>
      <c r="Y258" s="85"/>
      <c r="Z258" s="87"/>
      <c r="AA258" s="85"/>
      <c r="AB258" s="85"/>
      <c r="AC258" s="87"/>
      <c r="AD258" s="87"/>
      <c r="AE258" s="85"/>
      <c r="AF258" s="85"/>
      <c r="AG258" s="85"/>
      <c r="AH258" s="85"/>
      <c r="AI258" s="85"/>
      <c r="AJ258" s="85"/>
      <c r="AK258" s="87"/>
      <c r="AL258" s="85"/>
      <c r="AM258" s="85"/>
      <c r="AN258" s="234"/>
      <c r="AO258" s="53"/>
      <c r="AP258" s="53"/>
    </row>
    <row r="259">
      <c r="A259" s="93" t="s">
        <v>123</v>
      </c>
      <c r="B259" s="94"/>
      <c r="C259" s="94"/>
      <c r="D259" s="95"/>
      <c r="E259" s="85"/>
      <c r="F259" s="86" t="s">
        <v>21</v>
      </c>
      <c r="G259" s="87"/>
      <c r="H259" s="88" t="s">
        <v>22</v>
      </c>
      <c r="I259" s="85"/>
      <c r="J259" s="85"/>
      <c r="K259" s="87"/>
      <c r="L259" s="85"/>
      <c r="M259" s="85"/>
      <c r="N259" s="87"/>
      <c r="O259" s="87"/>
      <c r="P259" s="87"/>
      <c r="Q259" s="85"/>
      <c r="R259" s="87"/>
      <c r="S259" s="87"/>
      <c r="T259" s="85"/>
      <c r="U259" s="87"/>
      <c r="V259" s="87"/>
      <c r="W259" s="87"/>
      <c r="X259" s="85"/>
      <c r="Y259" s="85"/>
      <c r="Z259" s="87"/>
      <c r="AA259" s="85"/>
      <c r="AB259" s="85"/>
      <c r="AC259" s="87"/>
      <c r="AD259" s="87"/>
      <c r="AE259" s="85"/>
      <c r="AF259" s="85"/>
      <c r="AG259" s="85"/>
      <c r="AH259" s="85"/>
      <c r="AI259" s="85"/>
      <c r="AJ259" s="85"/>
      <c r="AK259" s="87"/>
      <c r="AL259" s="85"/>
      <c r="AM259" s="91">
        <f>G259+SUM(I259:AL259)-SUM(I260:AL260)</f>
        <v>0</v>
      </c>
      <c r="AN259" s="233"/>
      <c r="AO259" s="53"/>
      <c r="AP259" s="53"/>
    </row>
    <row r="260">
      <c r="A260" s="96"/>
      <c r="B260" s="17"/>
      <c r="C260" s="17"/>
      <c r="D260" s="17"/>
      <c r="E260" s="17"/>
      <c r="F260" s="18"/>
      <c r="G260" s="87"/>
      <c r="H260" s="88" t="s">
        <v>23</v>
      </c>
      <c r="I260" s="85"/>
      <c r="J260" s="85"/>
      <c r="K260" s="87"/>
      <c r="L260" s="85"/>
      <c r="M260" s="85"/>
      <c r="N260" s="87"/>
      <c r="O260" s="87"/>
      <c r="P260" s="87"/>
      <c r="Q260" s="85"/>
      <c r="R260" s="87"/>
      <c r="S260" s="87"/>
      <c r="T260" s="85"/>
      <c r="U260" s="87"/>
      <c r="V260" s="87"/>
      <c r="W260" s="87"/>
      <c r="X260" s="85"/>
      <c r="Y260" s="85"/>
      <c r="Z260" s="87"/>
      <c r="AA260" s="85"/>
      <c r="AB260" s="85"/>
      <c r="AC260" s="87"/>
      <c r="AD260" s="87"/>
      <c r="AE260" s="85"/>
      <c r="AF260" s="85"/>
      <c r="AG260" s="85"/>
      <c r="AH260" s="85"/>
      <c r="AI260" s="85"/>
      <c r="AJ260" s="85"/>
      <c r="AK260" s="87"/>
      <c r="AL260" s="85"/>
      <c r="AM260" s="32"/>
      <c r="AO260" s="53"/>
      <c r="AP260" s="53"/>
    </row>
    <row r="261">
      <c r="A261" s="87"/>
      <c r="B261" s="87"/>
      <c r="C261" s="87"/>
      <c r="D261" s="87"/>
      <c r="E261" s="85"/>
      <c r="F261" s="87"/>
      <c r="G261" s="87"/>
      <c r="H261" s="87"/>
      <c r="I261" s="85"/>
      <c r="J261" s="85"/>
      <c r="K261" s="87"/>
      <c r="L261" s="85"/>
      <c r="M261" s="85"/>
      <c r="N261" s="87"/>
      <c r="O261" s="87"/>
      <c r="P261" s="87"/>
      <c r="Q261" s="85"/>
      <c r="R261" s="87"/>
      <c r="S261" s="87"/>
      <c r="T261" s="85"/>
      <c r="U261" s="87"/>
      <c r="V261" s="87"/>
      <c r="W261" s="87"/>
      <c r="X261" s="85"/>
      <c r="Y261" s="85"/>
      <c r="Z261" s="87"/>
      <c r="AA261" s="85"/>
      <c r="AB261" s="85"/>
      <c r="AC261" s="87"/>
      <c r="AD261" s="87"/>
      <c r="AE261" s="85"/>
      <c r="AF261" s="85"/>
      <c r="AG261" s="85"/>
      <c r="AH261" s="85"/>
      <c r="AI261" s="85"/>
      <c r="AJ261" s="85"/>
      <c r="AK261" s="87"/>
      <c r="AL261" s="85"/>
      <c r="AM261" s="85"/>
      <c r="AN261" s="234"/>
      <c r="AO261" s="53"/>
      <c r="AP261" s="53"/>
    </row>
    <row r="262">
      <c r="A262" s="178" t="s">
        <v>124</v>
      </c>
      <c r="B262" s="179"/>
      <c r="C262" s="179"/>
      <c r="D262" s="180"/>
      <c r="E262" s="188"/>
      <c r="F262" s="171"/>
      <c r="G262" s="201">
        <v>5.0</v>
      </c>
      <c r="H262" s="107" t="s">
        <v>22</v>
      </c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>
        <v>8.0</v>
      </c>
      <c r="AA262" s="200"/>
      <c r="AB262" s="200"/>
      <c r="AC262" s="200"/>
      <c r="AD262" s="200"/>
      <c r="AE262" s="200"/>
      <c r="AF262" s="200"/>
      <c r="AG262" s="200"/>
      <c r="AH262" s="208"/>
      <c r="AI262" s="208"/>
      <c r="AJ262" s="182"/>
      <c r="AK262" s="208"/>
      <c r="AL262" s="112"/>
      <c r="AM262" s="29">
        <f>G262+SUM(I262:AL262)-SUM(I263:AL263)</f>
        <v>4</v>
      </c>
      <c r="AN262" s="53"/>
      <c r="AO262" s="53"/>
      <c r="AP262" s="53"/>
    </row>
    <row r="263">
      <c r="A263" s="31"/>
      <c r="B263" s="17"/>
      <c r="C263" s="17"/>
      <c r="D263" s="17"/>
      <c r="E263" s="17"/>
      <c r="F263" s="18"/>
      <c r="G263" s="182"/>
      <c r="H263" s="107" t="s">
        <v>23</v>
      </c>
      <c r="I263" s="200"/>
      <c r="J263" s="200"/>
      <c r="K263" s="200"/>
      <c r="L263" s="200"/>
      <c r="M263" s="200">
        <v>1.0</v>
      </c>
      <c r="N263" s="200">
        <v>1.0</v>
      </c>
      <c r="O263" s="200"/>
      <c r="P263" s="200"/>
      <c r="Q263" s="200">
        <f>1+1</f>
        <v>2</v>
      </c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>
        <v>1.0</v>
      </c>
      <c r="AC263" s="200"/>
      <c r="AD263" s="200"/>
      <c r="AE263" s="200"/>
      <c r="AF263" s="200"/>
      <c r="AG263" s="200">
        <v>1.0</v>
      </c>
      <c r="AH263" s="208">
        <v>1.0</v>
      </c>
      <c r="AI263" s="208"/>
      <c r="AJ263" s="182"/>
      <c r="AK263" s="208"/>
      <c r="AL263" s="125">
        <f>1+1</f>
        <v>2</v>
      </c>
      <c r="AM263" s="32"/>
      <c r="AP263" s="53"/>
    </row>
    <row r="264">
      <c r="A264" s="170"/>
      <c r="B264" s="170"/>
      <c r="C264" s="170"/>
      <c r="D264" s="170"/>
      <c r="E264" s="106"/>
      <c r="F264" s="106"/>
      <c r="G264" s="106"/>
      <c r="H264" s="106"/>
      <c r="I264" s="200"/>
      <c r="J264" s="220"/>
      <c r="K264" s="220"/>
      <c r="L264" s="220"/>
      <c r="M264" s="222"/>
      <c r="N264" s="222"/>
      <c r="O264" s="220"/>
      <c r="P264" s="200"/>
      <c r="Q264" s="222"/>
      <c r="R264" s="220"/>
      <c r="S264" s="220"/>
      <c r="T264" s="220"/>
      <c r="U264" s="220"/>
      <c r="V264" s="220"/>
      <c r="W264" s="200"/>
      <c r="X264" s="235"/>
      <c r="Y264" s="220"/>
      <c r="Z264" s="220"/>
      <c r="AA264" s="220"/>
      <c r="AB264" s="222"/>
      <c r="AC264" s="220"/>
      <c r="AD264" s="200"/>
      <c r="AE264" s="220"/>
      <c r="AF264" s="220"/>
      <c r="AG264" s="222"/>
      <c r="AH264" s="206"/>
      <c r="AI264" s="193"/>
      <c r="AJ264" s="218"/>
      <c r="AK264" s="208"/>
      <c r="AL264" s="112"/>
      <c r="AM264" s="39"/>
      <c r="AN264" s="53"/>
      <c r="AO264" s="53"/>
      <c r="AP264" s="53"/>
    </row>
    <row r="265">
      <c r="A265" s="178" t="s">
        <v>126</v>
      </c>
      <c r="B265" s="179"/>
      <c r="C265" s="179"/>
      <c r="D265" s="180"/>
      <c r="E265" s="188"/>
      <c r="F265" s="171"/>
      <c r="G265" s="201">
        <f>4</f>
        <v>4</v>
      </c>
      <c r="H265" s="107" t="s">
        <v>22</v>
      </c>
      <c r="I265" s="200"/>
      <c r="J265" s="200"/>
      <c r="K265" s="200"/>
      <c r="L265" s="200"/>
      <c r="M265" s="200"/>
      <c r="N265" s="200">
        <v>10.0</v>
      </c>
      <c r="O265" s="200"/>
      <c r="P265" s="200"/>
      <c r="Q265" s="200"/>
      <c r="R265" s="200"/>
      <c r="S265" s="200">
        <v>10.0</v>
      </c>
      <c r="T265" s="200"/>
      <c r="U265" s="200"/>
      <c r="V265" s="200"/>
      <c r="W265" s="200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  <c r="AH265" s="208"/>
      <c r="AI265" s="208"/>
      <c r="AJ265" s="182"/>
      <c r="AK265" s="208"/>
      <c r="AL265" s="112"/>
      <c r="AM265" s="113">
        <f>G265+SUM(I265:AL265)-SUM(I266:AL266)</f>
        <v>0</v>
      </c>
      <c r="AN265" s="53"/>
      <c r="AO265" s="53"/>
      <c r="AP265" s="53"/>
    </row>
    <row r="266">
      <c r="A266" s="178"/>
      <c r="B266" s="179"/>
      <c r="C266" s="179"/>
      <c r="D266" s="179"/>
      <c r="E266" s="179"/>
      <c r="F266" s="180"/>
      <c r="G266" s="182"/>
      <c r="H266" s="107" t="s">
        <v>23</v>
      </c>
      <c r="I266" s="200"/>
      <c r="J266" s="200"/>
      <c r="K266" s="200">
        <v>2.0</v>
      </c>
      <c r="L266" s="200">
        <v>2.0</v>
      </c>
      <c r="M266" s="200">
        <v>1.0</v>
      </c>
      <c r="N266" s="200">
        <v>2.0</v>
      </c>
      <c r="O266" s="200">
        <v>2.0</v>
      </c>
      <c r="P266" s="200"/>
      <c r="Q266" s="200">
        <v>1.0</v>
      </c>
      <c r="R266" s="208">
        <v>1.0</v>
      </c>
      <c r="S266" s="208">
        <v>1.0</v>
      </c>
      <c r="T266" s="208">
        <v>2.0</v>
      </c>
      <c r="U266" s="208"/>
      <c r="V266" s="208">
        <v>1.0</v>
      </c>
      <c r="W266" s="208"/>
      <c r="X266" s="208">
        <v>1.0</v>
      </c>
      <c r="Y266" s="208">
        <v>1.0</v>
      </c>
      <c r="Z266" s="208"/>
      <c r="AA266" s="208"/>
      <c r="AB266" s="208">
        <v>1.0</v>
      </c>
      <c r="AC266" s="208"/>
      <c r="AD266" s="208"/>
      <c r="AE266" s="208">
        <v>2.0</v>
      </c>
      <c r="AF266" s="208">
        <v>1.0</v>
      </c>
      <c r="AG266" s="208">
        <f>1+1</f>
        <v>2</v>
      </c>
      <c r="AH266" s="208"/>
      <c r="AI266" s="208"/>
      <c r="AJ266" s="208"/>
      <c r="AK266" s="208"/>
      <c r="AL266" s="125">
        <v>1.0</v>
      </c>
      <c r="AM266" s="32"/>
      <c r="AP266" s="53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8"/>
      <c r="K267" s="209"/>
      <c r="L267" s="209"/>
      <c r="M267" s="209"/>
      <c r="N267" s="209"/>
      <c r="O267" s="209"/>
      <c r="P267" s="97"/>
      <c r="Q267" s="209"/>
      <c r="R267" s="209"/>
      <c r="S267" s="209"/>
      <c r="T267" s="209"/>
      <c r="U267" s="98"/>
      <c r="V267" s="209"/>
      <c r="W267" s="97"/>
      <c r="X267" s="209"/>
      <c r="Y267" s="209"/>
      <c r="Z267" s="98"/>
      <c r="AA267" s="98"/>
      <c r="AB267" s="209"/>
      <c r="AC267" s="98"/>
      <c r="AD267" s="97"/>
      <c r="AE267" s="99"/>
      <c r="AF267" s="99"/>
      <c r="AG267" s="209"/>
      <c r="AH267" s="98"/>
      <c r="AI267" s="98"/>
      <c r="AJ267" s="98"/>
      <c r="AK267" s="97"/>
      <c r="AL267" s="97"/>
      <c r="AM267" s="97"/>
    </row>
    <row r="268">
      <c r="A268" s="223"/>
      <c r="B268" s="223"/>
      <c r="C268" s="223"/>
      <c r="D268" s="223"/>
      <c r="E268" s="224"/>
      <c r="F268" s="225"/>
      <c r="G268" s="1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"/>
      <c r="AI268" s="1"/>
      <c r="AJ268" s="2"/>
      <c r="AK268" s="1"/>
      <c r="AL268" s="2"/>
      <c r="AM268" s="30"/>
    </row>
    <row r="269">
      <c r="A269" s="227" t="s">
        <v>169</v>
      </c>
      <c r="B269" s="223"/>
      <c r="C269" s="223"/>
      <c r="D269" s="223"/>
      <c r="E269" s="224"/>
      <c r="F269" s="225"/>
      <c r="G269" s="1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"/>
      <c r="AI269" s="1"/>
      <c r="AJ269" s="2"/>
      <c r="AK269" s="1"/>
      <c r="AL269" s="2"/>
      <c r="AM269" s="30"/>
    </row>
    <row r="270">
      <c r="A270" s="24" t="s">
        <v>170</v>
      </c>
      <c r="B270" s="17"/>
      <c r="C270" s="17"/>
      <c r="D270" s="18"/>
      <c r="E270" s="57"/>
      <c r="F270" s="25"/>
      <c r="G270" s="28"/>
      <c r="H270" s="7" t="s">
        <v>139</v>
      </c>
      <c r="I270" s="7"/>
      <c r="J270" s="41"/>
      <c r="K270" s="41"/>
      <c r="L270" s="41"/>
      <c r="M270" s="35"/>
      <c r="N270" s="41"/>
      <c r="O270" s="41"/>
      <c r="P270" s="7"/>
      <c r="Q270" s="41"/>
      <c r="R270" s="41"/>
      <c r="S270" s="35"/>
      <c r="T270" s="35"/>
      <c r="U270" s="41"/>
      <c r="V270" s="35"/>
      <c r="W270" s="7"/>
      <c r="X270" s="35"/>
      <c r="Y270" s="35"/>
      <c r="Z270" s="41"/>
      <c r="AA270" s="41"/>
      <c r="AB270" s="41"/>
      <c r="AC270" s="41"/>
      <c r="AD270" s="7"/>
      <c r="AE270" s="35"/>
      <c r="AF270" s="41"/>
      <c r="AG270" s="41"/>
      <c r="AH270" s="38"/>
      <c r="AI270" s="38"/>
      <c r="AJ270" s="6"/>
      <c r="AK270" s="28"/>
      <c r="AL270" s="27"/>
      <c r="AM270" s="29"/>
    </row>
    <row r="271">
      <c r="A271" s="31"/>
      <c r="B271" s="17"/>
      <c r="C271" s="17"/>
      <c r="D271" s="17"/>
      <c r="E271" s="17"/>
      <c r="F271" s="18"/>
      <c r="G271" s="27"/>
      <c r="H271" s="7" t="s">
        <v>140</v>
      </c>
      <c r="I271" s="7"/>
      <c r="J271" s="35"/>
      <c r="K271" s="35"/>
      <c r="L271" s="35"/>
      <c r="M271" s="41"/>
      <c r="N271" s="41"/>
      <c r="O271" s="41"/>
      <c r="P271" s="7"/>
      <c r="Q271" s="41"/>
      <c r="R271" s="35"/>
      <c r="S271" s="41"/>
      <c r="T271" s="41"/>
      <c r="U271" s="41"/>
      <c r="V271" s="41"/>
      <c r="W271" s="7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2"/>
      <c r="AI271" s="42"/>
      <c r="AJ271" s="10"/>
      <c r="AK271" s="28"/>
      <c r="AL271" s="28"/>
      <c r="AM271" s="32"/>
    </row>
    <row r="272">
      <c r="A272" s="24" t="s">
        <v>171</v>
      </c>
      <c r="B272" s="17"/>
      <c r="C272" s="17"/>
      <c r="D272" s="18"/>
      <c r="E272" s="57"/>
      <c r="F272" s="25"/>
      <c r="G272" s="28"/>
      <c r="H272" s="7" t="s">
        <v>140</v>
      </c>
      <c r="I272" s="7"/>
      <c r="J272" s="41"/>
      <c r="K272" s="41"/>
      <c r="L272" s="35"/>
      <c r="M272" s="41"/>
      <c r="N272" s="41"/>
      <c r="O272" s="35"/>
      <c r="P272" s="7"/>
      <c r="Q272" s="35"/>
      <c r="R272" s="41"/>
      <c r="S272" s="35"/>
      <c r="T272" s="35"/>
      <c r="U272" s="35"/>
      <c r="V272" s="35"/>
      <c r="W272" s="7"/>
      <c r="X272" s="35"/>
      <c r="Y272" s="35"/>
      <c r="Z272" s="35"/>
      <c r="AA272" s="35"/>
      <c r="AB272" s="41"/>
      <c r="AC272" s="35"/>
      <c r="AD272" s="7"/>
      <c r="AE272" s="35"/>
      <c r="AF272" s="41"/>
      <c r="AG272" s="41"/>
      <c r="AH272" s="38"/>
      <c r="AI272" s="38"/>
      <c r="AJ272" s="10"/>
      <c r="AK272" s="28"/>
      <c r="AL272" s="27"/>
      <c r="AM272" s="39"/>
    </row>
  </sheetData>
  <mergeCells count="420">
    <mergeCell ref="AN97:AN98"/>
    <mergeCell ref="AO97:AO98"/>
    <mergeCell ref="AM90:AM91"/>
    <mergeCell ref="AN90:AN91"/>
    <mergeCell ref="AO90:AO91"/>
    <mergeCell ref="AM94:AM95"/>
    <mergeCell ref="AN94:AN95"/>
    <mergeCell ref="AO94:AO95"/>
    <mergeCell ref="AM97:AM98"/>
    <mergeCell ref="AN126:AN127"/>
    <mergeCell ref="AO126:AO127"/>
    <mergeCell ref="AM120:AM121"/>
    <mergeCell ref="AN120:AN121"/>
    <mergeCell ref="AO120:AO121"/>
    <mergeCell ref="AM123:AM124"/>
    <mergeCell ref="AN123:AN124"/>
    <mergeCell ref="AO123:AO124"/>
    <mergeCell ref="AM126:AM127"/>
    <mergeCell ref="AN135:AN136"/>
    <mergeCell ref="AO135:AO136"/>
    <mergeCell ref="AM129:AM130"/>
    <mergeCell ref="AN129:AN130"/>
    <mergeCell ref="AO129:AO130"/>
    <mergeCell ref="AM132:AM133"/>
    <mergeCell ref="AN132:AN133"/>
    <mergeCell ref="AO132:AO133"/>
    <mergeCell ref="AM135:AM136"/>
    <mergeCell ref="AN144:AN145"/>
    <mergeCell ref="AO144:AO145"/>
    <mergeCell ref="AM138:AM139"/>
    <mergeCell ref="AN138:AN139"/>
    <mergeCell ref="AO138:AO139"/>
    <mergeCell ref="AM141:AM142"/>
    <mergeCell ref="AN141:AN142"/>
    <mergeCell ref="AO141:AO142"/>
    <mergeCell ref="AM144:AM145"/>
    <mergeCell ref="AN153:AN154"/>
    <mergeCell ref="AO153:AO154"/>
    <mergeCell ref="AM147:AM148"/>
    <mergeCell ref="AN147:AN148"/>
    <mergeCell ref="AO147:AO148"/>
    <mergeCell ref="AM150:AM151"/>
    <mergeCell ref="AN150:AN151"/>
    <mergeCell ref="AO150:AO151"/>
    <mergeCell ref="AM153:AM154"/>
    <mergeCell ref="AN162:AN163"/>
    <mergeCell ref="AO162:AO163"/>
    <mergeCell ref="AM156:AM157"/>
    <mergeCell ref="AN156:AN157"/>
    <mergeCell ref="AO156:AO157"/>
    <mergeCell ref="AM159:AM160"/>
    <mergeCell ref="AN159:AN160"/>
    <mergeCell ref="AO159:AO160"/>
    <mergeCell ref="AM162:AM163"/>
    <mergeCell ref="AN171:AN172"/>
    <mergeCell ref="AO171:AO172"/>
    <mergeCell ref="AM165:AM166"/>
    <mergeCell ref="AN165:AN166"/>
    <mergeCell ref="AO165:AO166"/>
    <mergeCell ref="AM168:AM169"/>
    <mergeCell ref="AN168:AN169"/>
    <mergeCell ref="AO168:AO169"/>
    <mergeCell ref="AM171:AM172"/>
    <mergeCell ref="A180:D180"/>
    <mergeCell ref="A181:F181"/>
    <mergeCell ref="A183:D183"/>
    <mergeCell ref="A186:F186"/>
    <mergeCell ref="A187:D187"/>
    <mergeCell ref="A188:F188"/>
    <mergeCell ref="A190:D190"/>
    <mergeCell ref="A191:F191"/>
    <mergeCell ref="A193:D193"/>
    <mergeCell ref="A194:F194"/>
    <mergeCell ref="A196:D196"/>
    <mergeCell ref="A197:F197"/>
    <mergeCell ref="A199:D199"/>
    <mergeCell ref="A200:F200"/>
    <mergeCell ref="A214:G214"/>
    <mergeCell ref="A215:D215"/>
    <mergeCell ref="A216:F216"/>
    <mergeCell ref="A218:D218"/>
    <mergeCell ref="A219:F219"/>
    <mergeCell ref="A221:G221"/>
    <mergeCell ref="A222:D222"/>
    <mergeCell ref="A223:F223"/>
    <mergeCell ref="A225:D225"/>
    <mergeCell ref="A226:F226"/>
    <mergeCell ref="A228:D228"/>
    <mergeCell ref="A231:G231"/>
    <mergeCell ref="A232:D232"/>
    <mergeCell ref="A233:F233"/>
    <mergeCell ref="A235:D235"/>
    <mergeCell ref="A236:F236"/>
    <mergeCell ref="A238:D238"/>
    <mergeCell ref="A239:F239"/>
    <mergeCell ref="A241:D241"/>
    <mergeCell ref="A242:F242"/>
    <mergeCell ref="A244:D244"/>
    <mergeCell ref="A260:F260"/>
    <mergeCell ref="A262:D262"/>
    <mergeCell ref="A263:F263"/>
    <mergeCell ref="A265:D265"/>
    <mergeCell ref="A266:F266"/>
    <mergeCell ref="A270:D270"/>
    <mergeCell ref="A271:F271"/>
    <mergeCell ref="A272:D272"/>
    <mergeCell ref="A245:F245"/>
    <mergeCell ref="A247:D247"/>
    <mergeCell ref="A248:F248"/>
    <mergeCell ref="A250:D250"/>
    <mergeCell ref="A251:F251"/>
    <mergeCell ref="A254:F254"/>
    <mergeCell ref="A257:F257"/>
    <mergeCell ref="A117:D117"/>
    <mergeCell ref="A118:F118"/>
    <mergeCell ref="A120:D120"/>
    <mergeCell ref="A121:F121"/>
    <mergeCell ref="A123:D123"/>
    <mergeCell ref="A124:F124"/>
    <mergeCell ref="A126:D126"/>
    <mergeCell ref="A127:F127"/>
    <mergeCell ref="A129:D129"/>
    <mergeCell ref="A130:F130"/>
    <mergeCell ref="A132:D132"/>
    <mergeCell ref="A133:F133"/>
    <mergeCell ref="A135:D135"/>
    <mergeCell ref="A136:F136"/>
    <mergeCell ref="A138:D138"/>
    <mergeCell ref="A139:F139"/>
    <mergeCell ref="A141:D141"/>
    <mergeCell ref="A142:F142"/>
    <mergeCell ref="A144:D144"/>
    <mergeCell ref="A145:F145"/>
    <mergeCell ref="A147:D147"/>
    <mergeCell ref="A148:F148"/>
    <mergeCell ref="A150:D150"/>
    <mergeCell ref="A151:F151"/>
    <mergeCell ref="A153:D153"/>
    <mergeCell ref="A154:F154"/>
    <mergeCell ref="A156:D156"/>
    <mergeCell ref="A157:F157"/>
    <mergeCell ref="A159:D159"/>
    <mergeCell ref="A160:F160"/>
    <mergeCell ref="A162:D162"/>
    <mergeCell ref="A163:F163"/>
    <mergeCell ref="A165:D165"/>
    <mergeCell ref="A166:F166"/>
    <mergeCell ref="A168:D168"/>
    <mergeCell ref="A169:F169"/>
    <mergeCell ref="A171:D171"/>
    <mergeCell ref="A172:F172"/>
    <mergeCell ref="A174:D174"/>
    <mergeCell ref="A175:F175"/>
    <mergeCell ref="A177:D177"/>
    <mergeCell ref="A178:F178"/>
    <mergeCell ref="A202:D202"/>
    <mergeCell ref="A203:F203"/>
    <mergeCell ref="A205:D205"/>
    <mergeCell ref="A206:F206"/>
    <mergeCell ref="A208:D208"/>
    <mergeCell ref="A209:F209"/>
    <mergeCell ref="A211:D211"/>
    <mergeCell ref="P3:R3"/>
    <mergeCell ref="A5:E5"/>
    <mergeCell ref="A7:E7"/>
    <mergeCell ref="A9:F9"/>
    <mergeCell ref="AM10:AM11"/>
    <mergeCell ref="AN10:AN11"/>
    <mergeCell ref="AO10:AO11"/>
    <mergeCell ref="AN19:AN20"/>
    <mergeCell ref="AO19:AO20"/>
    <mergeCell ref="A10:D10"/>
    <mergeCell ref="A11:F11"/>
    <mergeCell ref="A13:D13"/>
    <mergeCell ref="A14:F14"/>
    <mergeCell ref="A16:D16"/>
    <mergeCell ref="A17:F17"/>
    <mergeCell ref="A19:D19"/>
    <mergeCell ref="AM13:AM14"/>
    <mergeCell ref="AN13:AN14"/>
    <mergeCell ref="AO13:AO14"/>
    <mergeCell ref="AM16:AM17"/>
    <mergeCell ref="AN16:AN17"/>
    <mergeCell ref="AO16:AO17"/>
    <mergeCell ref="AM19:AM20"/>
    <mergeCell ref="A20:F20"/>
    <mergeCell ref="A22:D22"/>
    <mergeCell ref="A23:F23"/>
    <mergeCell ref="A25:D25"/>
    <mergeCell ref="A26:F26"/>
    <mergeCell ref="A28:D28"/>
    <mergeCell ref="A29:F29"/>
    <mergeCell ref="AM32:AM33"/>
    <mergeCell ref="AN32:AN33"/>
    <mergeCell ref="AO32:AO33"/>
    <mergeCell ref="A31:F31"/>
    <mergeCell ref="A32:D32"/>
    <mergeCell ref="A33:F33"/>
    <mergeCell ref="A35:D35"/>
    <mergeCell ref="A36:F36"/>
    <mergeCell ref="A38:D38"/>
    <mergeCell ref="A39:F39"/>
    <mergeCell ref="AN59:AN60"/>
    <mergeCell ref="AO59:AO60"/>
    <mergeCell ref="AM53:AM54"/>
    <mergeCell ref="AN53:AN54"/>
    <mergeCell ref="AO53:AO54"/>
    <mergeCell ref="AM56:AM57"/>
    <mergeCell ref="AN56:AN57"/>
    <mergeCell ref="AO56:AO57"/>
    <mergeCell ref="AM59:AM60"/>
    <mergeCell ref="AN68:AN69"/>
    <mergeCell ref="AO68:AO69"/>
    <mergeCell ref="AM62:AM63"/>
    <mergeCell ref="AN62:AN63"/>
    <mergeCell ref="AO62:AO63"/>
    <mergeCell ref="AM65:AM66"/>
    <mergeCell ref="AN65:AN66"/>
    <mergeCell ref="AO65:AO66"/>
    <mergeCell ref="AM68:AM69"/>
    <mergeCell ref="AN77:AN78"/>
    <mergeCell ref="AO77:AO78"/>
    <mergeCell ref="AM71:AM72"/>
    <mergeCell ref="AN71:AN72"/>
    <mergeCell ref="AO71:AO72"/>
    <mergeCell ref="AM74:AM75"/>
    <mergeCell ref="AN74:AN75"/>
    <mergeCell ref="AO74:AO75"/>
    <mergeCell ref="AM77:AM78"/>
    <mergeCell ref="AN87:AN88"/>
    <mergeCell ref="AO87:AO88"/>
    <mergeCell ref="AM80:AM81"/>
    <mergeCell ref="AN80:AN81"/>
    <mergeCell ref="AO80:AO81"/>
    <mergeCell ref="AM84:AM85"/>
    <mergeCell ref="AN84:AN85"/>
    <mergeCell ref="AO84:AO85"/>
    <mergeCell ref="AM87:AM88"/>
    <mergeCell ref="AN107:AN108"/>
    <mergeCell ref="AO107:AO108"/>
    <mergeCell ref="AM101:AM102"/>
    <mergeCell ref="AN101:AN102"/>
    <mergeCell ref="AO101:AO102"/>
    <mergeCell ref="AM104:AM105"/>
    <mergeCell ref="AN104:AN105"/>
    <mergeCell ref="AO104:AO105"/>
    <mergeCell ref="AM107:AM108"/>
    <mergeCell ref="A41:D41"/>
    <mergeCell ref="A42:F42"/>
    <mergeCell ref="A44:D44"/>
    <mergeCell ref="A45:F45"/>
    <mergeCell ref="A47:D47"/>
    <mergeCell ref="A48:F48"/>
    <mergeCell ref="A50:D50"/>
    <mergeCell ref="A51:F51"/>
    <mergeCell ref="A53:D53"/>
    <mergeCell ref="A54:F54"/>
    <mergeCell ref="A56:D56"/>
    <mergeCell ref="A57:F57"/>
    <mergeCell ref="A59:D59"/>
    <mergeCell ref="A60:F60"/>
    <mergeCell ref="A62:D62"/>
    <mergeCell ref="A63:F63"/>
    <mergeCell ref="A65:D65"/>
    <mergeCell ref="A66:F66"/>
    <mergeCell ref="A68:D68"/>
    <mergeCell ref="A69:F69"/>
    <mergeCell ref="A71:D71"/>
    <mergeCell ref="A72:F72"/>
    <mergeCell ref="A74:D74"/>
    <mergeCell ref="A75:F75"/>
    <mergeCell ref="A77:D77"/>
    <mergeCell ref="A78:F78"/>
    <mergeCell ref="A80:D80"/>
    <mergeCell ref="A83:F83"/>
    <mergeCell ref="A84:D84"/>
    <mergeCell ref="A85:F85"/>
    <mergeCell ref="A87:D87"/>
    <mergeCell ref="A88:F88"/>
    <mergeCell ref="A90:D90"/>
    <mergeCell ref="A93:F93"/>
    <mergeCell ref="A94:D94"/>
    <mergeCell ref="A95:F95"/>
    <mergeCell ref="A97:D97"/>
    <mergeCell ref="A100:F100"/>
    <mergeCell ref="A101:D101"/>
    <mergeCell ref="A102:F102"/>
    <mergeCell ref="A104:D104"/>
    <mergeCell ref="A105:F105"/>
    <mergeCell ref="A107:D107"/>
    <mergeCell ref="A108:F108"/>
    <mergeCell ref="A110:D110"/>
    <mergeCell ref="A111:F111"/>
    <mergeCell ref="A113:F113"/>
    <mergeCell ref="A114:D114"/>
    <mergeCell ref="A115:F115"/>
    <mergeCell ref="AN218:AN219"/>
    <mergeCell ref="AO218:AO219"/>
    <mergeCell ref="AM211:AM212"/>
    <mergeCell ref="AN211:AN212"/>
    <mergeCell ref="AO211:AO212"/>
    <mergeCell ref="AM215:AM216"/>
    <mergeCell ref="AN215:AN216"/>
    <mergeCell ref="AO215:AO216"/>
    <mergeCell ref="AM218:AM219"/>
    <mergeCell ref="AN247:AN248"/>
    <mergeCell ref="AO247:AO248"/>
    <mergeCell ref="AM241:AM242"/>
    <mergeCell ref="AN241:AN242"/>
    <mergeCell ref="AO241:AO242"/>
    <mergeCell ref="AM244:AM245"/>
    <mergeCell ref="AN244:AN245"/>
    <mergeCell ref="AO244:AO245"/>
    <mergeCell ref="AM247:AM248"/>
    <mergeCell ref="AM250:AM251"/>
    <mergeCell ref="AN250:AN251"/>
    <mergeCell ref="AO250:AO251"/>
    <mergeCell ref="AM253:AM254"/>
    <mergeCell ref="AN253:AN254"/>
    <mergeCell ref="AM256:AM257"/>
    <mergeCell ref="AN256:AN257"/>
    <mergeCell ref="AM259:AM260"/>
    <mergeCell ref="AN259:AN260"/>
    <mergeCell ref="AM262:AM263"/>
    <mergeCell ref="AN262:AN263"/>
    <mergeCell ref="AO262:AO263"/>
    <mergeCell ref="AN265:AN266"/>
    <mergeCell ref="AO265:AO266"/>
    <mergeCell ref="AN28:AN29"/>
    <mergeCell ref="AO28:AO29"/>
    <mergeCell ref="AM22:AM23"/>
    <mergeCell ref="AN22:AN23"/>
    <mergeCell ref="AO22:AO23"/>
    <mergeCell ref="AM25:AM26"/>
    <mergeCell ref="AN25:AN26"/>
    <mergeCell ref="AO25:AO26"/>
    <mergeCell ref="AM28:AM29"/>
    <mergeCell ref="AN41:AN42"/>
    <mergeCell ref="AO41:AO42"/>
    <mergeCell ref="AM35:AM36"/>
    <mergeCell ref="AN35:AN36"/>
    <mergeCell ref="AO35:AO36"/>
    <mergeCell ref="AM38:AM39"/>
    <mergeCell ref="AN38:AN39"/>
    <mergeCell ref="AO38:AO39"/>
    <mergeCell ref="AM41:AM42"/>
    <mergeCell ref="AN50:AN51"/>
    <mergeCell ref="AO50:AO51"/>
    <mergeCell ref="AM44:AM45"/>
    <mergeCell ref="AN44:AN45"/>
    <mergeCell ref="AO44:AO45"/>
    <mergeCell ref="AM47:AM48"/>
    <mergeCell ref="AN47:AN48"/>
    <mergeCell ref="AO47:AO48"/>
    <mergeCell ref="AM50:AM51"/>
    <mergeCell ref="AM265:AM266"/>
    <mergeCell ref="AM270:AM271"/>
    <mergeCell ref="AN117:AN118"/>
    <mergeCell ref="AO117:AO118"/>
    <mergeCell ref="AM110:AM111"/>
    <mergeCell ref="AN110:AN111"/>
    <mergeCell ref="AO110:AO111"/>
    <mergeCell ref="AM114:AM115"/>
    <mergeCell ref="AN114:AN115"/>
    <mergeCell ref="AO114:AO115"/>
    <mergeCell ref="AM117:AM118"/>
    <mergeCell ref="AN180:AN181"/>
    <mergeCell ref="AO180:AO181"/>
    <mergeCell ref="AM174:AM175"/>
    <mergeCell ref="AN174:AN175"/>
    <mergeCell ref="AO174:AO175"/>
    <mergeCell ref="AM177:AM178"/>
    <mergeCell ref="AN177:AN178"/>
    <mergeCell ref="AO177:AO178"/>
    <mergeCell ref="AM180:AM181"/>
    <mergeCell ref="AN190:AN191"/>
    <mergeCell ref="AO190:AO191"/>
    <mergeCell ref="AM183:AM184"/>
    <mergeCell ref="AN183:AN184"/>
    <mergeCell ref="AO183:AO184"/>
    <mergeCell ref="AM187:AM188"/>
    <mergeCell ref="AN187:AN188"/>
    <mergeCell ref="AO187:AO188"/>
    <mergeCell ref="AM190:AM191"/>
    <mergeCell ref="AN199:AN200"/>
    <mergeCell ref="AO199:AO200"/>
    <mergeCell ref="AM193:AM194"/>
    <mergeCell ref="AN193:AN194"/>
    <mergeCell ref="AO193:AO194"/>
    <mergeCell ref="AM196:AM197"/>
    <mergeCell ref="AN196:AN197"/>
    <mergeCell ref="AO196:AO197"/>
    <mergeCell ref="AM199:AM200"/>
    <mergeCell ref="AN208:AN209"/>
    <mergeCell ref="AO208:AO209"/>
    <mergeCell ref="AM202:AM203"/>
    <mergeCell ref="AN202:AN203"/>
    <mergeCell ref="AO202:AO203"/>
    <mergeCell ref="AM205:AM206"/>
    <mergeCell ref="AN205:AN206"/>
    <mergeCell ref="AO205:AO206"/>
    <mergeCell ref="AM208:AM209"/>
    <mergeCell ref="AN228:AN229"/>
    <mergeCell ref="AO228:AO229"/>
    <mergeCell ref="AM222:AM223"/>
    <mergeCell ref="AN222:AN223"/>
    <mergeCell ref="AO222:AO223"/>
    <mergeCell ref="AM225:AM226"/>
    <mergeCell ref="AN225:AN226"/>
    <mergeCell ref="AO225:AO226"/>
    <mergeCell ref="AM228:AM229"/>
    <mergeCell ref="AN238:AN239"/>
    <mergeCell ref="AO238:AO239"/>
    <mergeCell ref="AM232:AM233"/>
    <mergeCell ref="AN232:AN233"/>
    <mergeCell ref="AO232:AO233"/>
    <mergeCell ref="AM235:AM236"/>
    <mergeCell ref="AN235:AN236"/>
    <mergeCell ref="AO235:AO236"/>
    <mergeCell ref="AM238:AM239"/>
  </mergeCells>
  <conditionalFormatting sqref="AN10:AP266 AM253:AM254 AM256:AM257 AM259:AM260">
    <cfRule type="colorScale" priority="1">
      <colorScale>
        <cfvo type="min"/>
        <cfvo type="formula" val="8"/>
        <cfvo type="formula" val="268.1"/>
        <color rgb="FFE67C73"/>
        <color rgb="FFFFFFFF"/>
        <color rgb="FF57BB8A"/>
      </colorScale>
    </cfRule>
  </conditionalFormatting>
  <conditionalFormatting sqref="AO6:AP266">
    <cfRule type="colorScale" priority="2">
      <colorScale>
        <cfvo type="percentile" val="0"/>
        <cfvo type="percentile" val="50"/>
        <cfvo type="percentile" val="100"/>
        <color rgb="FFFF0000"/>
        <color rgb="FFFFFFFF"/>
        <color rgb="FF57BB8A"/>
      </colorScale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8.0" topLeftCell="I9" activePane="bottomRight" state="frozen"/>
      <selection activeCell="I1" sqref="I1" pane="topRight"/>
      <selection activeCell="A9" sqref="A9" pane="bottomLeft"/>
      <selection activeCell="I9" sqref="I9" pane="bottomRight"/>
    </sheetView>
  </sheetViews>
  <sheetFormatPr customHeight="1" defaultColWidth="12.63" defaultRowHeight="15.75"/>
  <cols>
    <col customWidth="1" min="1" max="1" width="9.38"/>
    <col customWidth="1" min="2" max="2" width="10.5"/>
    <col customWidth="1" min="4" max="4" width="0.38"/>
    <col customWidth="1" min="5" max="5" width="3.5"/>
    <col customWidth="1" min="6" max="6" width="4.75"/>
    <col customWidth="1" min="7" max="7" width="7.25"/>
    <col customWidth="1" min="8" max="8" width="4.25"/>
    <col customWidth="1" min="9" max="11" width="5.88"/>
    <col customWidth="1" min="12" max="12" width="7.75"/>
    <col customWidth="1" min="13" max="14" width="5.88"/>
    <col customWidth="1" min="15" max="15" width="6.13"/>
    <col customWidth="1" min="16" max="25" width="5.88"/>
    <col customWidth="1" min="26" max="26" width="6.13"/>
    <col customWidth="1" min="27" max="39" width="5.88"/>
    <col customWidth="1" min="40" max="40" width="12.63"/>
    <col customWidth="1" min="41" max="41" width="13.38"/>
    <col customWidth="1" min="42" max="42" width="2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>
      <c r="A3" s="2"/>
      <c r="B3" s="2"/>
      <c r="C3" s="1"/>
      <c r="D3" s="2"/>
      <c r="E3" s="2"/>
      <c r="F3" s="2"/>
      <c r="G3" s="2"/>
      <c r="H3" s="2"/>
      <c r="I3" s="2"/>
      <c r="J3" s="1" t="s">
        <v>3</v>
      </c>
      <c r="K3" s="2"/>
      <c r="L3" s="4" t="s">
        <v>4</v>
      </c>
      <c r="M3" s="4">
        <v>945.0</v>
      </c>
      <c r="N3" s="2"/>
      <c r="O3" s="28" t="s">
        <v>5</v>
      </c>
      <c r="P3" s="100">
        <v>45595.0</v>
      </c>
      <c r="Q3" s="17"/>
      <c r="R3" s="18"/>
      <c r="S3" s="2"/>
      <c r="T3" s="2"/>
      <c r="U3" s="1" t="s">
        <v>6</v>
      </c>
      <c r="V3" s="2"/>
      <c r="W3" s="2"/>
      <c r="X3" s="2"/>
      <c r="Y3" s="6"/>
      <c r="AB3" s="1" t="s">
        <v>163</v>
      </c>
      <c r="AC3" s="2"/>
      <c r="AD3" s="1"/>
      <c r="AE3" s="2"/>
      <c r="AF3" s="2"/>
      <c r="AG3" s="2"/>
      <c r="AH3" s="2"/>
      <c r="AI3" s="2"/>
      <c r="AJ3" s="2"/>
      <c r="AK3" s="1"/>
      <c r="AL3" s="2"/>
      <c r="AM3" s="2"/>
      <c r="AN3" s="2"/>
      <c r="AO3" s="2"/>
      <c r="AP3" s="2"/>
    </row>
    <row r="4">
      <c r="F4" s="2"/>
      <c r="G4" s="7"/>
      <c r="H4" s="7">
        <v>30.0</v>
      </c>
      <c r="I4" s="8"/>
      <c r="J4" s="8"/>
      <c r="K4" s="8"/>
      <c r="L4" s="7" t="s">
        <v>8</v>
      </c>
      <c r="M4" s="7">
        <v>948.0</v>
      </c>
      <c r="N4" s="8"/>
      <c r="O4" s="9"/>
      <c r="P4" s="8"/>
      <c r="Q4" s="8"/>
      <c r="R4" s="2"/>
      <c r="S4" s="2"/>
      <c r="T4" s="2"/>
      <c r="U4" s="1" t="s">
        <v>133</v>
      </c>
      <c r="V4" s="2"/>
      <c r="W4" s="2"/>
      <c r="X4" s="2"/>
      <c r="Y4" s="10"/>
      <c r="Z4" s="2"/>
      <c r="AB4" s="1" t="s">
        <v>172</v>
      </c>
      <c r="AC4" s="2"/>
      <c r="AD4" s="1"/>
      <c r="AF4" s="2"/>
      <c r="AG4" s="2"/>
      <c r="AH4" s="2"/>
      <c r="AI4" s="2"/>
      <c r="AJ4" s="2"/>
      <c r="AK4" s="1"/>
      <c r="AL4" s="2"/>
      <c r="AM4" s="2"/>
      <c r="AN4" s="1"/>
      <c r="AO4" s="2"/>
      <c r="AP4" s="2"/>
    </row>
    <row r="5">
      <c r="A5" s="11" t="s">
        <v>173</v>
      </c>
      <c r="F5" s="2"/>
      <c r="G5" s="8"/>
      <c r="H5" s="8"/>
      <c r="I5" s="8"/>
      <c r="J5" s="8"/>
      <c r="K5" s="8"/>
      <c r="L5" s="7" t="s">
        <v>11</v>
      </c>
      <c r="M5" s="7">
        <v>945.0</v>
      </c>
      <c r="N5" s="8"/>
      <c r="O5" s="12" t="s">
        <v>0</v>
      </c>
      <c r="P5" s="8"/>
      <c r="Q5" s="8"/>
      <c r="R5" s="2"/>
      <c r="S5" s="2"/>
      <c r="T5" s="2"/>
      <c r="U5" s="2"/>
      <c r="V5" s="2"/>
      <c r="W5" s="2"/>
      <c r="X5" s="2"/>
      <c r="Y5" s="2"/>
      <c r="Z5" s="2"/>
      <c r="AB5" s="2"/>
      <c r="AC5" s="2"/>
      <c r="AD5" s="1"/>
      <c r="AF5" s="1"/>
      <c r="AG5" s="1"/>
      <c r="AH5" s="2"/>
      <c r="AI5" s="1"/>
      <c r="AJ5" s="2"/>
      <c r="AK5" s="1"/>
      <c r="AL5" s="2"/>
      <c r="AM5" s="2"/>
      <c r="AN5" s="1"/>
      <c r="AO5" s="2"/>
      <c r="AP5" s="2"/>
    </row>
    <row r="6">
      <c r="A6" s="2"/>
      <c r="B6" s="2"/>
      <c r="C6" s="2"/>
      <c r="D6" s="2"/>
      <c r="E6" s="12"/>
      <c r="F6" s="12"/>
      <c r="G6" s="8"/>
      <c r="H6" s="8"/>
      <c r="I6" s="8"/>
      <c r="J6" s="8"/>
      <c r="K6" s="8"/>
      <c r="L6" s="7" t="s">
        <v>12</v>
      </c>
      <c r="M6" s="7"/>
      <c r="N6" s="8"/>
      <c r="O6" s="8"/>
      <c r="P6" s="8"/>
      <c r="Q6" s="8"/>
      <c r="R6" s="1"/>
      <c r="S6" s="1"/>
      <c r="T6" s="2"/>
      <c r="U6" s="1" t="s">
        <v>128</v>
      </c>
      <c r="V6" s="2"/>
      <c r="W6" s="2"/>
      <c r="X6" s="2"/>
      <c r="Y6" s="101"/>
      <c r="Z6" s="2"/>
      <c r="AB6" s="2"/>
      <c r="AC6" s="2"/>
      <c r="AD6" s="2"/>
      <c r="AE6" s="2"/>
      <c r="AF6" s="2"/>
      <c r="AG6" s="2"/>
      <c r="AH6" s="2"/>
      <c r="AI6" s="2"/>
      <c r="AJ6" s="2"/>
      <c r="AK6" s="1"/>
      <c r="AL6" s="2"/>
      <c r="AM6" s="2"/>
      <c r="AN6" s="2"/>
      <c r="AO6" s="2"/>
      <c r="AP6" s="2"/>
    </row>
    <row r="7">
      <c r="A7" s="13" t="s">
        <v>13</v>
      </c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12"/>
      <c r="R7" s="1"/>
      <c r="S7" s="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>
      <c r="A8" s="211"/>
      <c r="B8" s="2"/>
      <c r="C8" s="2"/>
      <c r="D8" s="2"/>
      <c r="E8" s="2"/>
      <c r="F8" s="2"/>
      <c r="G8" s="12" t="s">
        <v>174</v>
      </c>
      <c r="H8" s="8"/>
      <c r="I8" s="14">
        <v>45566.0</v>
      </c>
      <c r="J8" s="14">
        <v>45567.0</v>
      </c>
      <c r="K8" s="14">
        <v>45568.0</v>
      </c>
      <c r="L8" s="14">
        <v>45569.0</v>
      </c>
      <c r="M8" s="14">
        <v>45570.0</v>
      </c>
      <c r="N8" s="14">
        <v>45571.0</v>
      </c>
      <c r="O8" s="14">
        <v>45572.0</v>
      </c>
      <c r="P8" s="14">
        <v>45573.0</v>
      </c>
      <c r="Q8" s="14">
        <v>45574.0</v>
      </c>
      <c r="R8" s="14">
        <v>45575.0</v>
      </c>
      <c r="S8" s="14">
        <v>45576.0</v>
      </c>
      <c r="T8" s="14">
        <v>45577.0</v>
      </c>
      <c r="U8" s="14">
        <v>45578.0</v>
      </c>
      <c r="V8" s="14">
        <v>45579.0</v>
      </c>
      <c r="W8" s="14">
        <v>45580.0</v>
      </c>
      <c r="X8" s="14">
        <v>45581.0</v>
      </c>
      <c r="Y8" s="14">
        <v>45582.0</v>
      </c>
      <c r="Z8" s="14">
        <v>45583.0</v>
      </c>
      <c r="AA8" s="14">
        <v>45584.0</v>
      </c>
      <c r="AB8" s="14">
        <v>45585.0</v>
      </c>
      <c r="AC8" s="14">
        <v>45586.0</v>
      </c>
      <c r="AD8" s="14">
        <v>45587.0</v>
      </c>
      <c r="AE8" s="14">
        <v>45588.0</v>
      </c>
      <c r="AF8" s="14">
        <v>45589.0</v>
      </c>
      <c r="AG8" s="14">
        <v>45590.0</v>
      </c>
      <c r="AH8" s="14">
        <v>45591.0</v>
      </c>
      <c r="AI8" s="14">
        <v>45592.0</v>
      </c>
      <c r="AJ8" s="14">
        <v>45593.0</v>
      </c>
      <c r="AK8" s="14">
        <v>45594.0</v>
      </c>
      <c r="AL8" s="14">
        <v>45595.0</v>
      </c>
      <c r="AM8" s="14">
        <v>45596.0</v>
      </c>
      <c r="AN8" s="13" t="s">
        <v>16</v>
      </c>
      <c r="AO8" s="13" t="s">
        <v>17</v>
      </c>
      <c r="AP8" s="13" t="s">
        <v>18</v>
      </c>
    </row>
    <row r="9">
      <c r="A9" s="16" t="s">
        <v>19</v>
      </c>
      <c r="B9" s="17"/>
      <c r="C9" s="17"/>
      <c r="D9" s="17"/>
      <c r="E9" s="17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  <c r="S9" s="20"/>
      <c r="T9" s="20"/>
      <c r="U9" s="20"/>
      <c r="V9" s="20"/>
      <c r="W9" s="20"/>
      <c r="X9" s="20"/>
      <c r="Y9" s="20"/>
      <c r="Z9" s="20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2"/>
      <c r="AO9" s="22"/>
      <c r="AP9" s="22"/>
    </row>
    <row r="10">
      <c r="A10" s="24" t="s">
        <v>130</v>
      </c>
      <c r="B10" s="17"/>
      <c r="C10" s="17"/>
      <c r="D10" s="18"/>
      <c r="E10" s="25">
        <v>1.0</v>
      </c>
      <c r="F10" s="25" t="s">
        <v>21</v>
      </c>
      <c r="G10" s="7">
        <v>514.0</v>
      </c>
      <c r="H10" s="7" t="s">
        <v>22</v>
      </c>
      <c r="I10" s="7"/>
      <c r="J10" s="26"/>
      <c r="K10" s="7"/>
      <c r="L10" s="26"/>
      <c r="M10" s="7"/>
      <c r="N10" s="26"/>
      <c r="O10" s="7"/>
      <c r="P10" s="7">
        <v>180.0</v>
      </c>
      <c r="Q10" s="7"/>
      <c r="R10" s="27"/>
      <c r="S10" s="27"/>
      <c r="T10" s="28">
        <v>150.0</v>
      </c>
      <c r="U10" s="28"/>
      <c r="V10" s="27"/>
      <c r="W10" s="27"/>
      <c r="X10" s="27"/>
      <c r="Y10" s="28"/>
      <c r="Z10" s="27"/>
      <c r="AA10" s="28">
        <v>180.0</v>
      </c>
      <c r="AB10" s="27"/>
      <c r="AC10" s="27"/>
      <c r="AD10" s="28">
        <v>120.0</v>
      </c>
      <c r="AE10" s="28"/>
      <c r="AF10" s="27"/>
      <c r="AG10" s="28">
        <v>30.0</v>
      </c>
      <c r="AH10" s="28">
        <v>150.0</v>
      </c>
      <c r="AI10" s="27"/>
      <c r="AJ10" s="27"/>
      <c r="AK10" s="28"/>
      <c r="AL10" s="28">
        <v>150.0</v>
      </c>
      <c r="AM10" s="27"/>
      <c r="AN10" s="29">
        <f>G10+SUM(I10:AM10)-SUM(I11:AM11)</f>
        <v>634</v>
      </c>
      <c r="AO10" s="29">
        <f>ROUNDDOWN((AN10/E10)/$H$4,1)</f>
        <v>21.1</v>
      </c>
      <c r="AP10" s="29">
        <f>$M$4+AO10</f>
        <v>969.1</v>
      </c>
    </row>
    <row r="11">
      <c r="A11" s="212"/>
      <c r="B11" s="17"/>
      <c r="C11" s="17"/>
      <c r="D11" s="17"/>
      <c r="E11" s="17"/>
      <c r="F11" s="18"/>
      <c r="G11" s="26"/>
      <c r="H11" s="7" t="s">
        <v>23</v>
      </c>
      <c r="I11" s="7">
        <v>300.0</v>
      </c>
      <c r="J11" s="26"/>
      <c r="K11" s="26"/>
      <c r="L11" s="26"/>
      <c r="M11" s="26"/>
      <c r="N11" s="7"/>
      <c r="O11" s="26"/>
      <c r="P11" s="7"/>
      <c r="Q11" s="26"/>
      <c r="R11" s="28">
        <v>300.0</v>
      </c>
      <c r="S11" s="27"/>
      <c r="T11" s="28"/>
      <c r="U11" s="27"/>
      <c r="V11" s="27"/>
      <c r="W11" s="27"/>
      <c r="X11" s="27"/>
      <c r="Y11" s="27"/>
      <c r="Z11" s="28">
        <v>240.0</v>
      </c>
      <c r="AA11" s="28"/>
      <c r="AB11" s="28"/>
      <c r="AC11" s="28"/>
      <c r="AD11" s="28"/>
      <c r="AE11" s="27"/>
      <c r="AF11" s="27"/>
      <c r="AG11" s="27"/>
      <c r="AH11" s="27"/>
      <c r="AI11" s="27"/>
      <c r="AJ11" s="28"/>
      <c r="AK11" s="27"/>
      <c r="AL11" s="27"/>
      <c r="AM11" s="27"/>
      <c r="AN11" s="32"/>
      <c r="AO11" s="32"/>
      <c r="AP11" s="32"/>
    </row>
    <row r="12">
      <c r="A12" s="33"/>
      <c r="B12" s="33"/>
      <c r="C12" s="33"/>
      <c r="D12" s="33"/>
      <c r="E12" s="25"/>
      <c r="F12" s="25"/>
      <c r="G12" s="34"/>
      <c r="H12" s="7"/>
      <c r="I12" s="41"/>
      <c r="J12" s="36"/>
      <c r="K12" s="36"/>
      <c r="L12" s="36"/>
      <c r="M12" s="36"/>
      <c r="N12" s="36"/>
      <c r="O12" s="36"/>
      <c r="P12" s="36"/>
      <c r="Q12" s="36"/>
      <c r="R12" s="6"/>
      <c r="S12" s="10"/>
      <c r="T12" s="10"/>
      <c r="U12" s="27"/>
      <c r="V12" s="38"/>
      <c r="W12" s="10"/>
      <c r="X12" s="10"/>
      <c r="Y12" s="10"/>
      <c r="Z12" s="6"/>
      <c r="AA12" s="10"/>
      <c r="AB12" s="27"/>
      <c r="AC12" s="10"/>
      <c r="AD12" s="10"/>
      <c r="AE12" s="10"/>
      <c r="AF12" s="10"/>
      <c r="AG12" s="10"/>
      <c r="AH12" s="38"/>
      <c r="AI12" s="27"/>
      <c r="AJ12" s="10"/>
      <c r="AK12" s="10"/>
      <c r="AL12" s="10"/>
      <c r="AM12" s="10"/>
      <c r="AN12" s="39"/>
      <c r="AO12" s="39"/>
      <c r="AP12" s="39"/>
    </row>
    <row r="13">
      <c r="A13" s="24" t="s">
        <v>24</v>
      </c>
      <c r="B13" s="17"/>
      <c r="C13" s="17"/>
      <c r="D13" s="18"/>
      <c r="E13" s="25">
        <v>1.0</v>
      </c>
      <c r="F13" s="25" t="s">
        <v>21</v>
      </c>
      <c r="G13" s="34">
        <v>647.0</v>
      </c>
      <c r="H13" s="7" t="s">
        <v>22</v>
      </c>
      <c r="I13" s="7"/>
      <c r="J13" s="26"/>
      <c r="K13" s="26"/>
      <c r="L13" s="26"/>
      <c r="M13" s="26"/>
      <c r="N13" s="26"/>
      <c r="O13" s="26"/>
      <c r="P13" s="7">
        <v>300.0</v>
      </c>
      <c r="Q13" s="26"/>
      <c r="R13" s="27"/>
      <c r="S13" s="27"/>
      <c r="T13" s="28">
        <v>120.0</v>
      </c>
      <c r="U13" s="28"/>
      <c r="V13" s="28"/>
      <c r="W13" s="27"/>
      <c r="X13" s="27"/>
      <c r="Y13" s="27"/>
      <c r="Z13" s="28">
        <v>90.0</v>
      </c>
      <c r="AA13" s="28">
        <v>250.0</v>
      </c>
      <c r="AB13" s="27"/>
      <c r="AC13" s="27"/>
      <c r="AD13" s="28">
        <v>130.0</v>
      </c>
      <c r="AE13" s="28">
        <v>125.0</v>
      </c>
      <c r="AF13" s="27"/>
      <c r="AG13" s="28">
        <v>150.0</v>
      </c>
      <c r="AH13" s="27"/>
      <c r="AI13" s="27"/>
      <c r="AJ13" s="27">
        <f>30+365</f>
        <v>395</v>
      </c>
      <c r="AK13" s="27"/>
      <c r="AL13" s="27"/>
      <c r="AM13" s="27"/>
      <c r="AN13" s="29">
        <f>G13+SUM(I13:AM13)-SUM(I14:AM14)</f>
        <v>1217</v>
      </c>
      <c r="AO13" s="29">
        <f>ROUNDDOWN((AN13/E13)/$H$4,1)</f>
        <v>40.5</v>
      </c>
      <c r="AP13" s="29">
        <f>$M$4+AO13</f>
        <v>988.5</v>
      </c>
    </row>
    <row r="14">
      <c r="A14" s="31"/>
      <c r="B14" s="17"/>
      <c r="C14" s="17"/>
      <c r="D14" s="17"/>
      <c r="E14" s="17"/>
      <c r="F14" s="18"/>
      <c r="G14" s="40"/>
      <c r="H14" s="7" t="s">
        <v>23</v>
      </c>
      <c r="I14" s="7">
        <v>120.0</v>
      </c>
      <c r="J14" s="7">
        <v>60.0</v>
      </c>
      <c r="K14" s="7"/>
      <c r="L14" s="7">
        <v>60.0</v>
      </c>
      <c r="M14" s="7"/>
      <c r="N14" s="7"/>
      <c r="O14" s="7">
        <v>60.0</v>
      </c>
      <c r="P14" s="7">
        <v>60.0</v>
      </c>
      <c r="Q14" s="7"/>
      <c r="R14" s="28">
        <v>90.0</v>
      </c>
      <c r="S14" s="28">
        <v>60.0</v>
      </c>
      <c r="T14" s="28"/>
      <c r="U14" s="28"/>
      <c r="V14" s="28">
        <v>60.0</v>
      </c>
      <c r="W14" s="28">
        <v>60.0</v>
      </c>
      <c r="X14" s="28"/>
      <c r="Y14" s="28">
        <v>60.0</v>
      </c>
      <c r="Z14" s="28"/>
      <c r="AA14" s="28"/>
      <c r="AB14" s="28"/>
      <c r="AC14" s="28">
        <v>60.0</v>
      </c>
      <c r="AD14" s="28"/>
      <c r="AE14" s="28">
        <v>60.0</v>
      </c>
      <c r="AF14" s="28"/>
      <c r="AG14" s="28"/>
      <c r="AH14" s="28">
        <v>60.0</v>
      </c>
      <c r="AI14" s="28"/>
      <c r="AJ14" s="28">
        <v>60.0</v>
      </c>
      <c r="AK14" s="28"/>
      <c r="AL14" s="28">
        <v>60.0</v>
      </c>
      <c r="AM14" s="27"/>
      <c r="AN14" s="32"/>
      <c r="AO14" s="32"/>
      <c r="AP14" s="32"/>
    </row>
    <row r="15">
      <c r="A15" s="33"/>
      <c r="B15" s="33"/>
      <c r="C15" s="33"/>
      <c r="D15" s="33"/>
      <c r="E15" s="25"/>
      <c r="F15" s="25"/>
      <c r="G15" s="7"/>
      <c r="H15" s="7"/>
      <c r="I15" s="41"/>
      <c r="J15" s="37"/>
      <c r="K15" s="36"/>
      <c r="L15" s="37"/>
      <c r="M15" s="36"/>
      <c r="N15" s="36"/>
      <c r="O15" s="41"/>
      <c r="P15" s="37"/>
      <c r="Q15" s="36"/>
      <c r="R15" s="6"/>
      <c r="S15" s="6"/>
      <c r="T15" s="10"/>
      <c r="U15" s="27"/>
      <c r="V15" s="42"/>
      <c r="W15" s="10"/>
      <c r="X15" s="10"/>
      <c r="Y15" s="6"/>
      <c r="Z15" s="10"/>
      <c r="AA15" s="10"/>
      <c r="AB15" s="27"/>
      <c r="AC15" s="6"/>
      <c r="AD15" s="10"/>
      <c r="AE15" s="6"/>
      <c r="AF15" s="10"/>
      <c r="AG15" s="10"/>
      <c r="AH15" s="6"/>
      <c r="AI15" s="27"/>
      <c r="AJ15" s="6"/>
      <c r="AK15" s="10"/>
      <c r="AL15" s="6"/>
      <c r="AM15" s="10"/>
      <c r="AN15" s="39"/>
      <c r="AO15" s="39"/>
      <c r="AP15" s="39"/>
    </row>
    <row r="16">
      <c r="A16" s="24" t="s">
        <v>25</v>
      </c>
      <c r="B16" s="17"/>
      <c r="C16" s="17"/>
      <c r="D16" s="18"/>
      <c r="E16" s="25">
        <v>4.0</v>
      </c>
      <c r="F16" s="25" t="s">
        <v>21</v>
      </c>
      <c r="G16" s="7">
        <f>880</f>
        <v>880</v>
      </c>
      <c r="H16" s="7" t="s">
        <v>22</v>
      </c>
      <c r="I16" s="7"/>
      <c r="J16" s="7"/>
      <c r="K16" s="26"/>
      <c r="L16" s="26"/>
      <c r="M16" s="26"/>
      <c r="N16" s="26"/>
      <c r="O16" s="7">
        <v>80.0</v>
      </c>
      <c r="P16" s="7">
        <v>480.0</v>
      </c>
      <c r="Q16" s="26"/>
      <c r="R16" s="27"/>
      <c r="S16" s="27"/>
      <c r="T16" s="28">
        <v>920.0</v>
      </c>
      <c r="U16" s="28"/>
      <c r="V16" s="28"/>
      <c r="W16" s="27"/>
      <c r="X16" s="27"/>
      <c r="Y16" s="27"/>
      <c r="Z16" s="28">
        <v>640.0</v>
      </c>
      <c r="AA16" s="28">
        <v>1000.0</v>
      </c>
      <c r="AB16" s="27"/>
      <c r="AC16" s="27"/>
      <c r="AD16" s="28">
        <v>520.0</v>
      </c>
      <c r="AE16" s="28">
        <v>500.0</v>
      </c>
      <c r="AF16" s="28"/>
      <c r="AG16" s="28">
        <v>600.0</v>
      </c>
      <c r="AH16" s="28"/>
      <c r="AI16" s="27"/>
      <c r="AJ16" s="27">
        <f>120+1460</f>
        <v>1580</v>
      </c>
      <c r="AK16" s="27"/>
      <c r="AL16" s="27"/>
      <c r="AM16" s="27"/>
      <c r="AN16" s="29">
        <f>G16+SUM(I16:AM16)-SUM(I17:AM17)</f>
        <v>3368</v>
      </c>
      <c r="AO16" s="29">
        <f>ROUNDDOWN((AN16/E16)/$H$4,1)</f>
        <v>28</v>
      </c>
      <c r="AP16" s="29">
        <f>$M$4+AO16</f>
        <v>976</v>
      </c>
    </row>
    <row r="17">
      <c r="A17" s="31"/>
      <c r="B17" s="17"/>
      <c r="C17" s="17"/>
      <c r="D17" s="17"/>
      <c r="E17" s="17"/>
      <c r="F17" s="18"/>
      <c r="G17" s="26"/>
      <c r="H17" s="7" t="s">
        <v>23</v>
      </c>
      <c r="I17" s="7">
        <v>240.0</v>
      </c>
      <c r="J17" s="7">
        <v>240.0</v>
      </c>
      <c r="K17" s="7"/>
      <c r="L17" s="7">
        <v>240.0</v>
      </c>
      <c r="M17" s="7"/>
      <c r="N17" s="7"/>
      <c r="O17" s="7">
        <v>120.0</v>
      </c>
      <c r="P17" s="7">
        <v>120.0</v>
      </c>
      <c r="Q17" s="7">
        <v>240.0</v>
      </c>
      <c r="R17" s="28">
        <v>240.0</v>
      </c>
      <c r="S17" s="28"/>
      <c r="T17" s="28">
        <v>240.0</v>
      </c>
      <c r="U17" s="28"/>
      <c r="V17" s="28">
        <v>240.0</v>
      </c>
      <c r="W17" s="27"/>
      <c r="X17" s="28">
        <v>240.0</v>
      </c>
      <c r="Y17" s="28">
        <v>232.0</v>
      </c>
      <c r="Z17" s="28"/>
      <c r="AA17" s="28">
        <v>240.0</v>
      </c>
      <c r="AB17" s="28"/>
      <c r="AC17" s="28">
        <v>240.0</v>
      </c>
      <c r="AD17" s="28"/>
      <c r="AE17" s="28">
        <v>240.0</v>
      </c>
      <c r="AF17" s="28"/>
      <c r="AG17" s="27"/>
      <c r="AH17" s="28"/>
      <c r="AI17" s="27"/>
      <c r="AJ17" s="28">
        <v>240.0</v>
      </c>
      <c r="AK17" s="28">
        <v>240.0</v>
      </c>
      <c r="AL17" s="28"/>
      <c r="AM17" s="28">
        <v>240.0</v>
      </c>
      <c r="AN17" s="32"/>
      <c r="AO17" s="32"/>
      <c r="AP17" s="32"/>
    </row>
    <row r="18">
      <c r="A18" s="33"/>
      <c r="B18" s="33"/>
      <c r="C18" s="33"/>
      <c r="D18" s="33"/>
      <c r="E18" s="25"/>
      <c r="F18" s="25"/>
      <c r="G18" s="43"/>
      <c r="H18" s="7"/>
      <c r="I18" s="37"/>
      <c r="J18" s="37"/>
      <c r="K18" s="36"/>
      <c r="L18" s="37"/>
      <c r="M18" s="36"/>
      <c r="N18" s="36"/>
      <c r="O18" s="37"/>
      <c r="P18" s="37"/>
      <c r="Q18" s="37"/>
      <c r="R18" s="6"/>
      <c r="S18" s="38"/>
      <c r="T18" s="6"/>
      <c r="U18" s="28"/>
      <c r="V18" s="6"/>
      <c r="W18" s="38"/>
      <c r="X18" s="6"/>
      <c r="Y18" s="6"/>
      <c r="Z18" s="10"/>
      <c r="AA18" s="6"/>
      <c r="AB18" s="27"/>
      <c r="AC18" s="6"/>
      <c r="AD18" s="10"/>
      <c r="AE18" s="6"/>
      <c r="AF18" s="10"/>
      <c r="AG18" s="10"/>
      <c r="AH18" s="10"/>
      <c r="AI18" s="27"/>
      <c r="AJ18" s="6"/>
      <c r="AK18" s="6"/>
      <c r="AL18" s="10"/>
      <c r="AM18" s="6"/>
      <c r="AN18" s="39"/>
      <c r="AO18" s="39"/>
      <c r="AP18" s="39"/>
    </row>
    <row r="19">
      <c r="A19" s="24" t="s">
        <v>26</v>
      </c>
      <c r="B19" s="17"/>
      <c r="C19" s="17"/>
      <c r="D19" s="18"/>
      <c r="E19" s="25">
        <v>5.0</v>
      </c>
      <c r="F19" s="25" t="s">
        <v>21</v>
      </c>
      <c r="G19" s="43">
        <v>3502.0</v>
      </c>
      <c r="H19" s="7" t="s">
        <v>22</v>
      </c>
      <c r="I19" s="7"/>
      <c r="J19" s="7"/>
      <c r="K19" s="26"/>
      <c r="L19" s="26"/>
      <c r="M19" s="7"/>
      <c r="N19" s="7"/>
      <c r="O19" s="26"/>
      <c r="P19" s="7">
        <v>600.0</v>
      </c>
      <c r="Q19" s="7"/>
      <c r="R19" s="27"/>
      <c r="S19" s="28"/>
      <c r="T19" s="28">
        <v>600.0</v>
      </c>
      <c r="U19" s="28"/>
      <c r="V19" s="27"/>
      <c r="W19" s="27"/>
      <c r="X19" s="28"/>
      <c r="Y19" s="28">
        <v>600.0</v>
      </c>
      <c r="Z19" s="27"/>
      <c r="AA19" s="28"/>
      <c r="AB19" s="28"/>
      <c r="AC19" s="28"/>
      <c r="AD19" s="28">
        <v>750.0</v>
      </c>
      <c r="AE19" s="27"/>
      <c r="AF19" s="27"/>
      <c r="AG19" s="28"/>
      <c r="AH19" s="28">
        <v>600.0</v>
      </c>
      <c r="AI19" s="28"/>
      <c r="AJ19" s="27"/>
      <c r="AK19" s="27"/>
      <c r="AL19" s="28">
        <v>600.0</v>
      </c>
      <c r="AM19" s="27"/>
      <c r="AN19" s="29">
        <f>G19+SUM(I19:AM19)-SUM(I20:AM20)</f>
        <v>2842</v>
      </c>
      <c r="AO19" s="29">
        <f>ROUNDDOWN((AN19/E19)/$H$4,1)</f>
        <v>18.9</v>
      </c>
      <c r="AP19" s="29">
        <f>$M$4+AO19</f>
        <v>966.9</v>
      </c>
    </row>
    <row r="20">
      <c r="A20" s="31"/>
      <c r="B20" s="17"/>
      <c r="C20" s="17"/>
      <c r="D20" s="17"/>
      <c r="E20" s="17"/>
      <c r="F20" s="18"/>
      <c r="G20" s="26"/>
      <c r="H20" s="7" t="s">
        <v>23</v>
      </c>
      <c r="I20" s="7">
        <v>270.0</v>
      </c>
      <c r="J20" s="7"/>
      <c r="K20" s="7">
        <v>120.0</v>
      </c>
      <c r="L20" s="7">
        <f>120+270</f>
        <v>390</v>
      </c>
      <c r="M20" s="7">
        <v>270.0</v>
      </c>
      <c r="N20" s="7"/>
      <c r="O20" s="7">
        <v>270.0</v>
      </c>
      <c r="P20" s="7">
        <v>120.0</v>
      </c>
      <c r="Q20" s="7">
        <v>270.0</v>
      </c>
      <c r="R20" s="28">
        <v>120.0</v>
      </c>
      <c r="S20" s="28">
        <v>120.0</v>
      </c>
      <c r="T20" s="28">
        <v>270.0</v>
      </c>
      <c r="U20" s="28"/>
      <c r="V20" s="28">
        <v>120.0</v>
      </c>
      <c r="W20" s="28">
        <f>270+120</f>
        <v>390</v>
      </c>
      <c r="X20" s="28"/>
      <c r="Y20" s="28">
        <f>120+270</f>
        <v>390</v>
      </c>
      <c r="Z20" s="28"/>
      <c r="AA20" s="28">
        <v>270.0</v>
      </c>
      <c r="AB20" s="28"/>
      <c r="AC20" s="28"/>
      <c r="AD20" s="28"/>
      <c r="AE20" s="28">
        <v>120.0</v>
      </c>
      <c r="AF20" s="28"/>
      <c r="AG20" s="28">
        <v>270.0</v>
      </c>
      <c r="AH20" s="28">
        <v>120.0</v>
      </c>
      <c r="AI20" s="28"/>
      <c r="AJ20" s="28">
        <v>120.0</v>
      </c>
      <c r="AK20" s="28">
        <v>270.0</v>
      </c>
      <c r="AL20" s="28">
        <v>120.0</v>
      </c>
      <c r="AM20" s="27"/>
      <c r="AN20" s="32"/>
      <c r="AO20" s="32"/>
      <c r="AP20" s="32"/>
    </row>
    <row r="21">
      <c r="A21" s="33"/>
      <c r="B21" s="33"/>
      <c r="C21" s="33"/>
      <c r="D21" s="33"/>
      <c r="E21" s="25"/>
      <c r="F21" s="25"/>
      <c r="G21" s="7"/>
      <c r="H21" s="7"/>
      <c r="I21" s="37"/>
      <c r="J21" s="36"/>
      <c r="K21" s="37"/>
      <c r="L21" s="37"/>
      <c r="M21" s="37"/>
      <c r="N21" s="36"/>
      <c r="O21" s="37"/>
      <c r="P21" s="37"/>
      <c r="Q21" s="37"/>
      <c r="R21" s="6"/>
      <c r="S21" s="6"/>
      <c r="T21" s="6"/>
      <c r="U21" s="27"/>
      <c r="V21" s="6"/>
      <c r="W21" s="6"/>
      <c r="X21" s="10"/>
      <c r="Y21" s="6"/>
      <c r="Z21" s="10"/>
      <c r="AA21" s="6"/>
      <c r="AB21" s="27"/>
      <c r="AC21" s="10"/>
      <c r="AD21" s="10"/>
      <c r="AE21" s="6"/>
      <c r="AF21" s="10"/>
      <c r="AG21" s="6"/>
      <c r="AH21" s="6"/>
      <c r="AI21" s="27"/>
      <c r="AJ21" s="6"/>
      <c r="AK21" s="6"/>
      <c r="AL21" s="6"/>
      <c r="AM21" s="10"/>
      <c r="AN21" s="39"/>
      <c r="AO21" s="39"/>
      <c r="AP21" s="39"/>
    </row>
    <row r="22">
      <c r="A22" s="24" t="s">
        <v>27</v>
      </c>
      <c r="B22" s="17"/>
      <c r="C22" s="17"/>
      <c r="D22" s="18"/>
      <c r="E22" s="25">
        <v>4.0</v>
      </c>
      <c r="F22" s="25" t="s">
        <v>21</v>
      </c>
      <c r="G22" s="7">
        <v>1813.0</v>
      </c>
      <c r="H22" s="7" t="s">
        <v>22</v>
      </c>
      <c r="I22" s="7"/>
      <c r="J22" s="26"/>
      <c r="K22" s="7"/>
      <c r="L22" s="26"/>
      <c r="M22" s="26"/>
      <c r="N22" s="26"/>
      <c r="O22" s="26"/>
      <c r="P22" s="7">
        <v>720.0</v>
      </c>
      <c r="Q22" s="26"/>
      <c r="R22" s="28"/>
      <c r="S22" s="27"/>
      <c r="T22" s="28">
        <v>600.0</v>
      </c>
      <c r="U22" s="28"/>
      <c r="V22" s="27"/>
      <c r="W22" s="27"/>
      <c r="X22" s="27"/>
      <c r="Y22" s="28">
        <v>720.0</v>
      </c>
      <c r="Z22" s="27"/>
      <c r="AA22" s="27"/>
      <c r="AB22" s="27"/>
      <c r="AC22" s="27"/>
      <c r="AD22" s="28"/>
      <c r="AE22" s="27"/>
      <c r="AF22" s="28"/>
      <c r="AG22" s="28">
        <f>600+120</f>
        <v>720</v>
      </c>
      <c r="AH22" s="27"/>
      <c r="AI22" s="28"/>
      <c r="AJ22" s="27"/>
      <c r="AK22" s="28"/>
      <c r="AL22" s="28"/>
      <c r="AM22" s="28"/>
      <c r="AN22" s="29">
        <f>G22+SUM(I22:AM22)-SUM(I23:AM23)</f>
        <v>1333</v>
      </c>
      <c r="AO22" s="29">
        <f>ROUNDDOWN((AN22/E22)/$H$4,1)</f>
        <v>11.1</v>
      </c>
      <c r="AP22" s="29">
        <f>$M$4+AO22</f>
        <v>959.1</v>
      </c>
    </row>
    <row r="23">
      <c r="A23" s="31"/>
      <c r="B23" s="17"/>
      <c r="C23" s="17"/>
      <c r="D23" s="17"/>
      <c r="E23" s="17"/>
      <c r="F23" s="18"/>
      <c r="G23" s="26"/>
      <c r="H23" s="7" t="s">
        <v>23</v>
      </c>
      <c r="I23" s="7">
        <v>120.0</v>
      </c>
      <c r="J23" s="7"/>
      <c r="K23" s="7">
        <v>240.0</v>
      </c>
      <c r="L23" s="7">
        <v>240.0</v>
      </c>
      <c r="M23" s="7"/>
      <c r="N23" s="7"/>
      <c r="O23" s="7"/>
      <c r="P23" s="7">
        <v>240.0</v>
      </c>
      <c r="Q23" s="7"/>
      <c r="R23" s="28">
        <v>240.0</v>
      </c>
      <c r="S23" s="28">
        <v>240.0</v>
      </c>
      <c r="T23" s="28"/>
      <c r="U23" s="28"/>
      <c r="V23" s="28">
        <v>240.0</v>
      </c>
      <c r="W23" s="28"/>
      <c r="X23" s="28">
        <v>240.0</v>
      </c>
      <c r="Y23" s="28">
        <v>240.0</v>
      </c>
      <c r="Z23" s="28"/>
      <c r="AA23" s="28"/>
      <c r="AB23" s="28"/>
      <c r="AC23" s="28">
        <v>240.0</v>
      </c>
      <c r="AD23" s="28"/>
      <c r="AE23" s="28">
        <v>240.0</v>
      </c>
      <c r="AF23" s="28"/>
      <c r="AG23" s="28"/>
      <c r="AH23" s="28">
        <v>240.0</v>
      </c>
      <c r="AI23" s="28"/>
      <c r="AJ23" s="28">
        <v>240.0</v>
      </c>
      <c r="AK23" s="28"/>
      <c r="AL23" s="28">
        <v>240.0</v>
      </c>
      <c r="AM23" s="27"/>
      <c r="AN23" s="32"/>
      <c r="AO23" s="32"/>
      <c r="AP23" s="32"/>
    </row>
    <row r="24">
      <c r="A24" s="33"/>
      <c r="B24" s="33"/>
      <c r="C24" s="33"/>
      <c r="D24" s="33"/>
      <c r="E24" s="25"/>
      <c r="F24" s="25"/>
      <c r="G24" s="7"/>
      <c r="H24" s="7"/>
      <c r="I24" s="41"/>
      <c r="J24" s="36"/>
      <c r="K24" s="37"/>
      <c r="L24" s="37"/>
      <c r="M24" s="36"/>
      <c r="N24" s="36"/>
      <c r="O24" s="36"/>
      <c r="P24" s="37"/>
      <c r="Q24" s="36"/>
      <c r="R24" s="6"/>
      <c r="S24" s="6"/>
      <c r="T24" s="10"/>
      <c r="U24" s="27"/>
      <c r="V24" s="6"/>
      <c r="W24" s="10"/>
      <c r="X24" s="6"/>
      <c r="Y24" s="6"/>
      <c r="Z24" s="10"/>
      <c r="AA24" s="10"/>
      <c r="AB24" s="27"/>
      <c r="AC24" s="6"/>
      <c r="AD24" s="10"/>
      <c r="AE24" s="6"/>
      <c r="AF24" s="10"/>
      <c r="AG24" s="10"/>
      <c r="AH24" s="6"/>
      <c r="AI24" s="27"/>
      <c r="AJ24" s="6"/>
      <c r="AK24" s="10"/>
      <c r="AL24" s="6"/>
      <c r="AM24" s="10"/>
      <c r="AN24" s="39"/>
      <c r="AO24" s="39"/>
      <c r="AP24" s="39"/>
    </row>
    <row r="25">
      <c r="A25" s="24" t="s">
        <v>28</v>
      </c>
      <c r="B25" s="17"/>
      <c r="C25" s="17"/>
      <c r="D25" s="18"/>
      <c r="E25" s="25">
        <v>4.0</v>
      </c>
      <c r="F25" s="25" t="s">
        <v>21</v>
      </c>
      <c r="G25" s="7">
        <v>2160.0</v>
      </c>
      <c r="H25" s="7" t="s">
        <v>22</v>
      </c>
      <c r="I25" s="7"/>
      <c r="J25" s="7"/>
      <c r="K25" s="7"/>
      <c r="L25" s="26"/>
      <c r="M25" s="7"/>
      <c r="N25" s="7"/>
      <c r="O25" s="26"/>
      <c r="P25" s="7">
        <v>480.0</v>
      </c>
      <c r="Q25" s="26"/>
      <c r="R25" s="28"/>
      <c r="S25" s="27"/>
      <c r="T25" s="28">
        <f>120*4</f>
        <v>480</v>
      </c>
      <c r="U25" s="28"/>
      <c r="V25" s="27"/>
      <c r="W25" s="27"/>
      <c r="X25" s="27"/>
      <c r="Y25" s="28">
        <v>480.0</v>
      </c>
      <c r="Z25" s="27"/>
      <c r="AA25" s="28"/>
      <c r="AB25" s="27"/>
      <c r="AC25" s="27"/>
      <c r="AD25" s="28">
        <v>600.0</v>
      </c>
      <c r="AE25" s="27"/>
      <c r="AF25" s="28"/>
      <c r="AG25" s="28">
        <v>120.0</v>
      </c>
      <c r="AH25" s="28">
        <v>600.0</v>
      </c>
      <c r="AI25" s="28"/>
      <c r="AJ25" s="27"/>
      <c r="AK25" s="28"/>
      <c r="AL25" s="28">
        <f>60*4</f>
        <v>240</v>
      </c>
      <c r="AM25" s="28"/>
      <c r="AN25" s="29">
        <f>G25+SUM(I25:AM25)-SUM(I26:AM26)</f>
        <v>1800</v>
      </c>
      <c r="AO25" s="29">
        <f>ROUNDDOWN((AN25/E25)/$H$4,1)</f>
        <v>15</v>
      </c>
      <c r="AP25" s="29">
        <f>$M$4+AO25</f>
        <v>963</v>
      </c>
    </row>
    <row r="26">
      <c r="A26" s="31"/>
      <c r="B26" s="17"/>
      <c r="C26" s="17"/>
      <c r="D26" s="17"/>
      <c r="E26" s="17"/>
      <c r="F26" s="18"/>
      <c r="G26" s="26"/>
      <c r="H26" s="7" t="s">
        <v>23</v>
      </c>
      <c r="I26" s="7"/>
      <c r="J26" s="7"/>
      <c r="K26" s="7">
        <v>480.0</v>
      </c>
      <c r="L26" s="26"/>
      <c r="M26" s="7"/>
      <c r="N26" s="7"/>
      <c r="O26" s="7">
        <v>720.0</v>
      </c>
      <c r="P26" s="7"/>
      <c r="Q26" s="26"/>
      <c r="R26" s="27"/>
      <c r="S26" s="28"/>
      <c r="T26" s="28"/>
      <c r="U26" s="27"/>
      <c r="V26" s="28">
        <v>720.0</v>
      </c>
      <c r="W26" s="27"/>
      <c r="X26" s="28"/>
      <c r="Y26" s="28">
        <v>720.0</v>
      </c>
      <c r="Z26" s="27"/>
      <c r="AA26" s="28"/>
      <c r="AB26" s="28"/>
      <c r="AC26" s="28"/>
      <c r="AD26" s="27"/>
      <c r="AE26" s="28"/>
      <c r="AF26" s="28"/>
      <c r="AG26" s="27"/>
      <c r="AH26" s="28"/>
      <c r="AI26" s="28"/>
      <c r="AJ26" s="28">
        <v>720.0</v>
      </c>
      <c r="AK26" s="27"/>
      <c r="AL26" s="27"/>
      <c r="AM26" s="27"/>
      <c r="AN26" s="32"/>
      <c r="AO26" s="32"/>
      <c r="AP26" s="32"/>
    </row>
    <row r="27">
      <c r="A27" s="33"/>
      <c r="B27" s="33"/>
      <c r="C27" s="33"/>
      <c r="D27" s="33"/>
      <c r="E27" s="25"/>
      <c r="F27" s="25"/>
      <c r="G27" s="7"/>
      <c r="H27" s="7"/>
      <c r="I27" s="35"/>
      <c r="J27" s="36"/>
      <c r="K27" s="37"/>
      <c r="L27" s="36"/>
      <c r="M27" s="36"/>
      <c r="N27" s="36"/>
      <c r="O27" s="37"/>
      <c r="P27" s="36"/>
      <c r="Q27" s="36"/>
      <c r="R27" s="10"/>
      <c r="S27" s="38"/>
      <c r="T27" s="10"/>
      <c r="U27" s="27"/>
      <c r="V27" s="42"/>
      <c r="W27" s="10"/>
      <c r="X27" s="10"/>
      <c r="Y27" s="6"/>
      <c r="Z27" s="10"/>
      <c r="AA27" s="10"/>
      <c r="AB27" s="27"/>
      <c r="AC27" s="10"/>
      <c r="AD27" s="10"/>
      <c r="AE27" s="10"/>
      <c r="AF27" s="10"/>
      <c r="AG27" s="10"/>
      <c r="AH27" s="38"/>
      <c r="AI27" s="27"/>
      <c r="AJ27" s="6"/>
      <c r="AK27" s="10"/>
      <c r="AL27" s="10"/>
      <c r="AM27" s="10"/>
      <c r="AN27" s="39"/>
      <c r="AO27" s="39"/>
      <c r="AP27" s="39"/>
    </row>
    <row r="28">
      <c r="A28" s="24" t="s">
        <v>29</v>
      </c>
      <c r="B28" s="17"/>
      <c r="C28" s="17"/>
      <c r="D28" s="18"/>
      <c r="E28" s="25">
        <v>1.0</v>
      </c>
      <c r="F28" s="25" t="s">
        <v>30</v>
      </c>
      <c r="G28" s="7">
        <v>155.0</v>
      </c>
      <c r="H28" s="7" t="s">
        <v>22</v>
      </c>
      <c r="I28" s="7">
        <v>100.0</v>
      </c>
      <c r="J28" s="7"/>
      <c r="K28" s="7"/>
      <c r="L28" s="7">
        <v>50.0</v>
      </c>
      <c r="M28" s="7">
        <v>100.0</v>
      </c>
      <c r="N28" s="7"/>
      <c r="O28" s="7"/>
      <c r="P28" s="26"/>
      <c r="Q28" s="7">
        <v>110.0</v>
      </c>
      <c r="R28" s="28"/>
      <c r="S28" s="28"/>
      <c r="T28" s="28">
        <v>90.0</v>
      </c>
      <c r="U28" s="27"/>
      <c r="V28" s="28">
        <f>60+40</f>
        <v>100</v>
      </c>
      <c r="W28" s="27"/>
      <c r="X28" s="28"/>
      <c r="Y28" s="28">
        <v>110.0</v>
      </c>
      <c r="Z28" s="28"/>
      <c r="AA28" s="28">
        <v>120.0</v>
      </c>
      <c r="AB28" s="28"/>
      <c r="AC28" s="28"/>
      <c r="AD28" s="27"/>
      <c r="AE28" s="28">
        <v>120.0</v>
      </c>
      <c r="AF28" s="28"/>
      <c r="AG28" s="28"/>
      <c r="AH28" s="28">
        <v>50.0</v>
      </c>
      <c r="AI28" s="28"/>
      <c r="AJ28" s="28"/>
      <c r="AK28" s="28"/>
      <c r="AL28" s="27"/>
      <c r="AM28" s="27"/>
      <c r="AN28" s="29">
        <f>G28+SUM(I28:AM28)-SUM(I29:AM29)</f>
        <v>208</v>
      </c>
      <c r="AO28" s="29">
        <f>ROUNDDOWN((AN28/E28)/$H$4,1)</f>
        <v>6.9</v>
      </c>
      <c r="AP28" s="29">
        <f>$M$4+AO28</f>
        <v>954.9</v>
      </c>
    </row>
    <row r="29">
      <c r="A29" s="31"/>
      <c r="B29" s="17"/>
      <c r="C29" s="17"/>
      <c r="D29" s="17"/>
      <c r="E29" s="17"/>
      <c r="F29" s="18"/>
      <c r="G29" s="26"/>
      <c r="H29" s="7" t="s">
        <v>23</v>
      </c>
      <c r="I29" s="7">
        <f>35+5</f>
        <v>40</v>
      </c>
      <c r="J29" s="7">
        <v>40.0</v>
      </c>
      <c r="K29" s="7">
        <v>24.0</v>
      </c>
      <c r="L29" s="7">
        <v>32.0</v>
      </c>
      <c r="M29" s="7">
        <v>36.0</v>
      </c>
      <c r="N29" s="7">
        <v>15.0</v>
      </c>
      <c r="O29" s="7">
        <v>20.0</v>
      </c>
      <c r="P29" s="7">
        <v>35.0</v>
      </c>
      <c r="Q29" s="7">
        <v>30.0</v>
      </c>
      <c r="R29" s="28">
        <v>30.0</v>
      </c>
      <c r="S29" s="28">
        <f>35+10</f>
        <v>45</v>
      </c>
      <c r="T29" s="28">
        <v>30.0</v>
      </c>
      <c r="U29" s="28"/>
      <c r="V29" s="28">
        <f>30+10</f>
        <v>40</v>
      </c>
      <c r="W29" s="28">
        <v>40.0</v>
      </c>
      <c r="X29" s="28">
        <v>33.0</v>
      </c>
      <c r="Y29" s="28">
        <v>37.0</v>
      </c>
      <c r="Z29" s="28">
        <f>30+6</f>
        <v>36</v>
      </c>
      <c r="AA29" s="28">
        <v>39.0</v>
      </c>
      <c r="AB29" s="28"/>
      <c r="AC29" s="28">
        <v>40.0</v>
      </c>
      <c r="AD29" s="28">
        <v>40.0</v>
      </c>
      <c r="AE29" s="28">
        <v>35.0</v>
      </c>
      <c r="AF29" s="28"/>
      <c r="AG29" s="28">
        <v>30.0</v>
      </c>
      <c r="AH29" s="28">
        <v>30.0</v>
      </c>
      <c r="AI29" s="28"/>
      <c r="AJ29" s="28">
        <v>30.0</v>
      </c>
      <c r="AK29" s="28">
        <v>30.0</v>
      </c>
      <c r="AL29" s="28">
        <v>30.0</v>
      </c>
      <c r="AM29" s="28">
        <v>30.0</v>
      </c>
      <c r="AN29" s="32"/>
      <c r="AO29" s="32"/>
      <c r="AP29" s="32"/>
    </row>
    <row r="30">
      <c r="A30" s="44"/>
      <c r="B30" s="44"/>
      <c r="C30" s="44"/>
      <c r="D30" s="44"/>
      <c r="E30" s="44"/>
      <c r="F30" s="44"/>
      <c r="G30" s="45"/>
      <c r="H30" s="45"/>
      <c r="I30" s="46"/>
      <c r="J30" s="46"/>
      <c r="K30" s="46"/>
      <c r="L30" s="46"/>
      <c r="M30" s="46"/>
      <c r="N30" s="46"/>
      <c r="O30" s="46"/>
      <c r="P30" s="46"/>
      <c r="Q30" s="46"/>
      <c r="R30" s="6"/>
      <c r="S30" s="6"/>
      <c r="T30" s="6"/>
      <c r="U30" s="27"/>
      <c r="V30" s="6"/>
      <c r="W30" s="6"/>
      <c r="X30" s="6"/>
      <c r="Y30" s="6"/>
      <c r="Z30" s="6"/>
      <c r="AA30" s="6"/>
      <c r="AB30" s="27"/>
      <c r="AC30" s="6"/>
      <c r="AD30" s="6"/>
      <c r="AE30" s="6"/>
      <c r="AF30" s="10"/>
      <c r="AG30" s="6"/>
      <c r="AH30" s="6"/>
      <c r="AI30" s="27"/>
      <c r="AJ30" s="6"/>
      <c r="AK30" s="6"/>
      <c r="AL30" s="6"/>
      <c r="AM30" s="6"/>
      <c r="AN30" s="48"/>
      <c r="AO30" s="48"/>
      <c r="AP30" s="48"/>
    </row>
    <row r="31">
      <c r="A31" s="50" t="s">
        <v>31</v>
      </c>
      <c r="B31" s="17"/>
      <c r="C31" s="17"/>
      <c r="D31" s="17"/>
      <c r="E31" s="17"/>
      <c r="F31" s="18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</row>
    <row r="32">
      <c r="A32" s="24" t="s">
        <v>32</v>
      </c>
      <c r="B32" s="17"/>
      <c r="C32" s="17"/>
      <c r="D32" s="18"/>
      <c r="E32" s="25">
        <v>2.0</v>
      </c>
      <c r="F32" s="25" t="s">
        <v>21</v>
      </c>
      <c r="G32" s="7"/>
      <c r="H32" s="7" t="s">
        <v>22</v>
      </c>
      <c r="I32" s="7">
        <f>30+45+30</f>
        <v>105</v>
      </c>
      <c r="J32" s="7">
        <f>30+45</f>
        <v>75</v>
      </c>
      <c r="K32" s="7">
        <f>60+30</f>
        <v>90</v>
      </c>
      <c r="L32" s="7">
        <f>30+30+30</f>
        <v>90</v>
      </c>
      <c r="M32" s="7">
        <f>15+30</f>
        <v>45</v>
      </c>
      <c r="N32" s="7"/>
      <c r="O32" s="7">
        <f>45+30</f>
        <v>75</v>
      </c>
      <c r="P32" s="7">
        <v>30.0</v>
      </c>
      <c r="Q32" s="7">
        <f>45+45</f>
        <v>90</v>
      </c>
      <c r="R32" s="28">
        <f>30+45</f>
        <v>75</v>
      </c>
      <c r="S32" s="28">
        <f>45+45</f>
        <v>90</v>
      </c>
      <c r="T32" s="28">
        <f>15+30</f>
        <v>45</v>
      </c>
      <c r="U32" s="28">
        <f>45+45</f>
        <v>90</v>
      </c>
      <c r="V32" s="28">
        <f>30+45</f>
        <v>75</v>
      </c>
      <c r="W32" s="28">
        <f>45+30</f>
        <v>75</v>
      </c>
      <c r="X32" s="28">
        <f>30+30</f>
        <v>60</v>
      </c>
      <c r="Y32" s="28">
        <f>30+45</f>
        <v>75</v>
      </c>
      <c r="Z32" s="28">
        <f>45+30</f>
        <v>75</v>
      </c>
      <c r="AA32" s="28">
        <v>75.0</v>
      </c>
      <c r="AB32" s="28"/>
      <c r="AC32" s="28">
        <f>30+45+15</f>
        <v>90</v>
      </c>
      <c r="AD32" s="28">
        <v>75.0</v>
      </c>
      <c r="AE32" s="28">
        <f>60+30</f>
        <v>90</v>
      </c>
      <c r="AF32" s="28"/>
      <c r="AG32" s="28">
        <f>30+45</f>
        <v>75</v>
      </c>
      <c r="AH32" s="28">
        <f>30+30</f>
        <v>60</v>
      </c>
      <c r="AI32" s="28"/>
      <c r="AJ32" s="28">
        <f>30+30+15</f>
        <v>75</v>
      </c>
      <c r="AK32" s="28">
        <v>15.0</v>
      </c>
      <c r="AL32" s="28">
        <f>45+30</f>
        <v>75</v>
      </c>
      <c r="AM32" s="28">
        <f>30+30</f>
        <v>60</v>
      </c>
      <c r="AN32" s="29">
        <f>G32+SUM(I32:AM32)-SUM(I33:AM33)</f>
        <v>156</v>
      </c>
      <c r="AO32" s="236">
        <f>ROUNDDOWN((AN32/E32)/$H$4,1)</f>
        <v>2.6</v>
      </c>
      <c r="AP32" s="236">
        <f>$M$3+AO32</f>
        <v>947.6</v>
      </c>
    </row>
    <row r="33">
      <c r="A33" s="31"/>
      <c r="B33" s="17"/>
      <c r="C33" s="17"/>
      <c r="D33" s="17"/>
      <c r="E33" s="17"/>
      <c r="F33" s="18"/>
      <c r="G33" s="26"/>
      <c r="H33" s="7" t="s">
        <v>23</v>
      </c>
      <c r="I33" s="7">
        <f>70+10</f>
        <v>80</v>
      </c>
      <c r="J33" s="7">
        <v>80.0</v>
      </c>
      <c r="K33" s="7">
        <v>48.0</v>
      </c>
      <c r="L33" s="7">
        <v>64.0</v>
      </c>
      <c r="M33" s="7">
        <v>72.0</v>
      </c>
      <c r="N33" s="7">
        <v>30.0</v>
      </c>
      <c r="O33" s="7">
        <v>40.0</v>
      </c>
      <c r="P33" s="7">
        <v>70.0</v>
      </c>
      <c r="Q33" s="7">
        <v>60.0</v>
      </c>
      <c r="R33" s="28">
        <v>60.0</v>
      </c>
      <c r="S33" s="28">
        <f>70+20</f>
        <v>90</v>
      </c>
      <c r="T33" s="28">
        <v>60.0</v>
      </c>
      <c r="U33" s="28"/>
      <c r="V33" s="28">
        <f>60+20</f>
        <v>80</v>
      </c>
      <c r="W33" s="28">
        <v>80.0</v>
      </c>
      <c r="X33" s="28">
        <v>66.0</v>
      </c>
      <c r="Y33" s="28">
        <v>74.0</v>
      </c>
      <c r="Z33" s="28">
        <f>60+12</f>
        <v>72</v>
      </c>
      <c r="AA33" s="28">
        <v>78.0</v>
      </c>
      <c r="AB33" s="28"/>
      <c r="AC33" s="28">
        <v>80.0</v>
      </c>
      <c r="AD33" s="28">
        <v>80.0</v>
      </c>
      <c r="AE33" s="28">
        <v>70.0</v>
      </c>
      <c r="AF33" s="28"/>
      <c r="AG33" s="28">
        <v>60.0</v>
      </c>
      <c r="AH33" s="28">
        <v>60.0</v>
      </c>
      <c r="AI33" s="28"/>
      <c r="AJ33" s="28">
        <v>60.0</v>
      </c>
      <c r="AK33" s="28">
        <v>60.0</v>
      </c>
      <c r="AL33" s="28">
        <v>60.0</v>
      </c>
      <c r="AM33" s="28">
        <v>60.0</v>
      </c>
      <c r="AN33" s="32"/>
      <c r="AO33" s="32"/>
      <c r="AP33" s="32"/>
    </row>
    <row r="34">
      <c r="A34" s="33"/>
      <c r="B34" s="33"/>
      <c r="C34" s="33"/>
      <c r="D34" s="33"/>
      <c r="E34" s="25"/>
      <c r="F34" s="25"/>
      <c r="G34" s="7"/>
      <c r="H34" s="7"/>
      <c r="I34" s="41"/>
      <c r="J34" s="37"/>
      <c r="K34" s="41"/>
      <c r="L34" s="41"/>
      <c r="M34" s="41"/>
      <c r="N34" s="41"/>
      <c r="O34" s="37"/>
      <c r="P34" s="41"/>
      <c r="Q34" s="37"/>
      <c r="R34" s="42"/>
      <c r="S34" s="42"/>
      <c r="T34" s="6"/>
      <c r="U34" s="28"/>
      <c r="V34" s="42"/>
      <c r="W34" s="42"/>
      <c r="X34" s="6"/>
      <c r="Y34" s="6"/>
      <c r="Z34" s="6"/>
      <c r="AA34" s="6"/>
      <c r="AB34" s="28"/>
      <c r="AC34" s="42"/>
      <c r="AD34" s="42"/>
      <c r="AE34" s="6"/>
      <c r="AF34" s="10"/>
      <c r="AG34" s="42"/>
      <c r="AH34" s="42"/>
      <c r="AI34" s="27"/>
      <c r="AJ34" s="6"/>
      <c r="AK34" s="6"/>
      <c r="AL34" s="6"/>
      <c r="AM34" s="6"/>
      <c r="AN34" s="39"/>
      <c r="AO34" s="237"/>
      <c r="AP34" s="237"/>
    </row>
    <row r="35">
      <c r="A35" s="24" t="s">
        <v>33</v>
      </c>
      <c r="B35" s="17"/>
      <c r="C35" s="17"/>
      <c r="D35" s="18"/>
      <c r="E35" s="25">
        <v>2.0</v>
      </c>
      <c r="F35" s="25" t="s">
        <v>21</v>
      </c>
      <c r="G35" s="7"/>
      <c r="H35" s="7" t="s">
        <v>22</v>
      </c>
      <c r="I35" s="7">
        <f>30+45+30</f>
        <v>105</v>
      </c>
      <c r="J35" s="7">
        <f>30+45</f>
        <v>75</v>
      </c>
      <c r="K35" s="7">
        <f>60+30</f>
        <v>90</v>
      </c>
      <c r="L35" s="7">
        <f>30+30+30</f>
        <v>90</v>
      </c>
      <c r="M35" s="7">
        <f>15+30</f>
        <v>45</v>
      </c>
      <c r="N35" s="7"/>
      <c r="O35" s="7">
        <f>45+30</f>
        <v>75</v>
      </c>
      <c r="P35" s="7">
        <v>30.0</v>
      </c>
      <c r="Q35" s="7">
        <f>45+45</f>
        <v>90</v>
      </c>
      <c r="R35" s="28">
        <f>30+45</f>
        <v>75</v>
      </c>
      <c r="S35" s="28">
        <f>45+45</f>
        <v>90</v>
      </c>
      <c r="T35" s="28">
        <f>15+30</f>
        <v>45</v>
      </c>
      <c r="U35" s="28">
        <f>45+45</f>
        <v>90</v>
      </c>
      <c r="V35" s="28">
        <f>30+45</f>
        <v>75</v>
      </c>
      <c r="W35" s="28">
        <f>45+30</f>
        <v>75</v>
      </c>
      <c r="X35" s="28">
        <f>30+30</f>
        <v>60</v>
      </c>
      <c r="Y35" s="28">
        <f>30+45</f>
        <v>75</v>
      </c>
      <c r="Z35" s="28">
        <f>45+30</f>
        <v>75</v>
      </c>
      <c r="AA35" s="28">
        <v>75.0</v>
      </c>
      <c r="AB35" s="28"/>
      <c r="AC35" s="28">
        <f>30+45+15</f>
        <v>90</v>
      </c>
      <c r="AD35" s="28">
        <f>45+30</f>
        <v>75</v>
      </c>
      <c r="AE35" s="28">
        <f>60+30</f>
        <v>90</v>
      </c>
      <c r="AF35" s="28"/>
      <c r="AG35" s="28">
        <f>30+45</f>
        <v>75</v>
      </c>
      <c r="AH35" s="28">
        <f>30+30</f>
        <v>60</v>
      </c>
      <c r="AI35" s="28"/>
      <c r="AJ35" s="28">
        <f>30+30+15</f>
        <v>75</v>
      </c>
      <c r="AK35" s="28">
        <v>15.0</v>
      </c>
      <c r="AL35" s="28">
        <f>45+30</f>
        <v>75</v>
      </c>
      <c r="AM35" s="28">
        <f>30+30</f>
        <v>60</v>
      </c>
      <c r="AN35" s="29">
        <f>G35+SUM(I35:AM35)-SUM(I36:AM36)</f>
        <v>156</v>
      </c>
      <c r="AO35" s="236">
        <f>ROUNDDOWN((AN35/E35)/$H$4,1)</f>
        <v>2.6</v>
      </c>
      <c r="AP35" s="236">
        <f>$M$3+AO35</f>
        <v>947.6</v>
      </c>
    </row>
    <row r="36">
      <c r="A36" s="31"/>
      <c r="B36" s="17"/>
      <c r="C36" s="17"/>
      <c r="D36" s="17"/>
      <c r="E36" s="17"/>
      <c r="F36" s="18"/>
      <c r="G36" s="26"/>
      <c r="H36" s="7" t="s">
        <v>23</v>
      </c>
      <c r="I36" s="7">
        <f>70+10</f>
        <v>80</v>
      </c>
      <c r="J36" s="7">
        <v>80.0</v>
      </c>
      <c r="K36" s="7">
        <v>48.0</v>
      </c>
      <c r="L36" s="7">
        <v>64.0</v>
      </c>
      <c r="M36" s="7">
        <v>72.0</v>
      </c>
      <c r="N36" s="7">
        <v>30.0</v>
      </c>
      <c r="O36" s="7">
        <v>40.0</v>
      </c>
      <c r="P36" s="7">
        <v>70.0</v>
      </c>
      <c r="Q36" s="7">
        <v>60.0</v>
      </c>
      <c r="R36" s="28">
        <v>60.0</v>
      </c>
      <c r="S36" s="28">
        <f>70+20</f>
        <v>90</v>
      </c>
      <c r="T36" s="28">
        <v>60.0</v>
      </c>
      <c r="U36" s="28"/>
      <c r="V36" s="28">
        <f>60+20</f>
        <v>80</v>
      </c>
      <c r="W36" s="28">
        <v>80.0</v>
      </c>
      <c r="X36" s="28">
        <v>66.0</v>
      </c>
      <c r="Y36" s="28">
        <v>74.0</v>
      </c>
      <c r="Z36" s="28">
        <f>60+12</f>
        <v>72</v>
      </c>
      <c r="AA36" s="28">
        <v>78.0</v>
      </c>
      <c r="AB36" s="28"/>
      <c r="AC36" s="28">
        <v>80.0</v>
      </c>
      <c r="AD36" s="28">
        <v>80.0</v>
      </c>
      <c r="AE36" s="28">
        <v>70.0</v>
      </c>
      <c r="AF36" s="28"/>
      <c r="AG36" s="28">
        <v>60.0</v>
      </c>
      <c r="AH36" s="28">
        <v>60.0</v>
      </c>
      <c r="AI36" s="28"/>
      <c r="AJ36" s="28">
        <v>60.0</v>
      </c>
      <c r="AK36" s="28">
        <v>60.0</v>
      </c>
      <c r="AL36" s="28">
        <v>60.0</v>
      </c>
      <c r="AM36" s="28">
        <v>60.0</v>
      </c>
      <c r="AN36" s="32"/>
      <c r="AO36" s="32"/>
      <c r="AP36" s="32"/>
    </row>
    <row r="37">
      <c r="A37" s="33"/>
      <c r="B37" s="33"/>
      <c r="C37" s="33"/>
      <c r="D37" s="33"/>
      <c r="E37" s="25"/>
      <c r="F37" s="25"/>
      <c r="G37" s="7"/>
      <c r="H37" s="7"/>
      <c r="I37" s="37"/>
      <c r="J37" s="37"/>
      <c r="K37" s="37"/>
      <c r="L37" s="37"/>
      <c r="M37" s="37"/>
      <c r="N37" s="37"/>
      <c r="O37" s="37"/>
      <c r="P37" s="37"/>
      <c r="Q37" s="37"/>
      <c r="R37" s="42"/>
      <c r="S37" s="6"/>
      <c r="T37" s="6"/>
      <c r="U37" s="27"/>
      <c r="V37" s="6"/>
      <c r="W37" s="6"/>
      <c r="X37" s="6"/>
      <c r="Y37" s="6"/>
      <c r="Z37" s="6"/>
      <c r="AA37" s="6"/>
      <c r="AB37" s="27"/>
      <c r="AC37" s="6"/>
      <c r="AD37" s="6"/>
      <c r="AE37" s="6"/>
      <c r="AF37" s="10"/>
      <c r="AG37" s="6"/>
      <c r="AH37" s="6"/>
      <c r="AI37" s="27"/>
      <c r="AJ37" s="6"/>
      <c r="AK37" s="6"/>
      <c r="AL37" s="42"/>
      <c r="AM37" s="6"/>
      <c r="AN37" s="39"/>
      <c r="AO37" s="237"/>
      <c r="AP37" s="237"/>
    </row>
    <row r="38">
      <c r="A38" s="24" t="s">
        <v>34</v>
      </c>
      <c r="B38" s="17"/>
      <c r="C38" s="17"/>
      <c r="D38" s="18"/>
      <c r="E38" s="25">
        <v>1.0</v>
      </c>
      <c r="F38" s="25" t="s">
        <v>21</v>
      </c>
      <c r="G38" s="7">
        <v>852.0</v>
      </c>
      <c r="H38" s="7" t="s">
        <v>22</v>
      </c>
      <c r="I38" s="26"/>
      <c r="J38" s="26"/>
      <c r="K38" s="26"/>
      <c r="L38" s="26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7"/>
      <c r="Y38" s="28">
        <v>510.0</v>
      </c>
      <c r="Z38" s="27"/>
      <c r="AA38" s="27"/>
      <c r="AB38" s="27"/>
      <c r="AC38" s="27"/>
      <c r="AD38" s="27"/>
      <c r="AE38" s="27"/>
      <c r="AF38" s="28"/>
      <c r="AG38" s="27"/>
      <c r="AH38" s="27"/>
      <c r="AI38" s="27"/>
      <c r="AJ38" s="28"/>
      <c r="AK38" s="28">
        <v>1020.0</v>
      </c>
      <c r="AL38" s="27"/>
      <c r="AM38" s="27"/>
      <c r="AN38" s="29">
        <f>G38+SUM(I38:AM38)-SUM(I39:AM39)</f>
        <v>1746</v>
      </c>
      <c r="AO38" s="236">
        <f>ROUNDDOWN((AN38/E38)/$H$4,1)</f>
        <v>58.2</v>
      </c>
      <c r="AP38" s="236">
        <f>$M$3+AO38</f>
        <v>1003.2</v>
      </c>
    </row>
    <row r="39">
      <c r="A39" s="31"/>
      <c r="B39" s="17"/>
      <c r="C39" s="17"/>
      <c r="D39" s="17"/>
      <c r="E39" s="17"/>
      <c r="F39" s="18"/>
      <c r="G39" s="26"/>
      <c r="H39" s="7" t="s">
        <v>23</v>
      </c>
      <c r="I39" s="7">
        <v>50.0</v>
      </c>
      <c r="J39" s="7">
        <v>34.0</v>
      </c>
      <c r="K39" s="7">
        <v>60.0</v>
      </c>
      <c r="L39" s="7"/>
      <c r="M39" s="7">
        <v>50.0</v>
      </c>
      <c r="N39" s="7"/>
      <c r="O39" s="7"/>
      <c r="P39" s="7">
        <v>60.0</v>
      </c>
      <c r="Q39" s="7"/>
      <c r="R39" s="28"/>
      <c r="S39" s="28">
        <v>80.0</v>
      </c>
      <c r="T39" s="28"/>
      <c r="U39" s="28">
        <v>80.0</v>
      </c>
      <c r="V39" s="28"/>
      <c r="W39" s="28">
        <v>80.0</v>
      </c>
      <c r="X39" s="28"/>
      <c r="Y39" s="28">
        <v>20.0</v>
      </c>
      <c r="Z39" s="28">
        <v>47.0</v>
      </c>
      <c r="AA39" s="28">
        <v>55.0</v>
      </c>
      <c r="AB39" s="28"/>
      <c r="AC39" s="28">
        <v>20.0</v>
      </c>
      <c r="AD39" s="27"/>
      <c r="AE39" s="28"/>
      <c r="AF39" s="28"/>
      <c r="AG39" s="28"/>
      <c r="AH39" s="27"/>
      <c r="AI39" s="27"/>
      <c r="AJ39" s="27"/>
      <c r="AK39" s="27"/>
      <c r="AL39" s="27"/>
      <c r="AM39" s="27"/>
      <c r="AN39" s="32"/>
      <c r="AO39" s="32"/>
      <c r="AP39" s="32"/>
    </row>
    <row r="40">
      <c r="A40" s="33"/>
      <c r="B40" s="33"/>
      <c r="C40" s="33"/>
      <c r="D40" s="33"/>
      <c r="E40" s="25"/>
      <c r="F40" s="25"/>
      <c r="G40" s="7"/>
      <c r="H40" s="7"/>
      <c r="I40" s="37"/>
      <c r="J40" s="37"/>
      <c r="K40" s="41"/>
      <c r="L40" s="36"/>
      <c r="M40" s="37"/>
      <c r="N40" s="36"/>
      <c r="O40" s="36"/>
      <c r="P40" s="41"/>
      <c r="Q40" s="36"/>
      <c r="R40" s="38"/>
      <c r="S40" s="6"/>
      <c r="T40" s="10"/>
      <c r="U40" s="6"/>
      <c r="V40" s="10"/>
      <c r="W40" s="6"/>
      <c r="X40" s="10"/>
      <c r="Y40" s="6"/>
      <c r="Z40" s="6"/>
      <c r="AA40" s="6"/>
      <c r="AB40" s="27"/>
      <c r="AC40" s="6"/>
      <c r="AD40" s="10"/>
      <c r="AE40" s="10"/>
      <c r="AF40" s="10"/>
      <c r="AG40" s="10"/>
      <c r="AH40" s="10"/>
      <c r="AI40" s="27"/>
      <c r="AJ40" s="10"/>
      <c r="AK40" s="10"/>
      <c r="AL40" s="10"/>
      <c r="AM40" s="10"/>
      <c r="AN40" s="39"/>
      <c r="AO40" s="237"/>
      <c r="AP40" s="237"/>
    </row>
    <row r="41">
      <c r="A41" s="24" t="s">
        <v>35</v>
      </c>
      <c r="B41" s="17"/>
      <c r="C41" s="17"/>
      <c r="D41" s="18"/>
      <c r="E41" s="25">
        <v>1.0</v>
      </c>
      <c r="F41" s="25" t="s">
        <v>21</v>
      </c>
      <c r="G41" s="7">
        <v>928.0</v>
      </c>
      <c r="H41" s="7" t="s">
        <v>22</v>
      </c>
      <c r="I41" s="26"/>
      <c r="J41" s="26"/>
      <c r="K41" s="26"/>
      <c r="L41" s="26"/>
      <c r="M41" s="26"/>
      <c r="N41" s="7"/>
      <c r="O41" s="26"/>
      <c r="P41" s="26"/>
      <c r="Q41" s="26"/>
      <c r="R41" s="28"/>
      <c r="S41" s="27"/>
      <c r="T41" s="27"/>
      <c r="U41" s="27"/>
      <c r="V41" s="27"/>
      <c r="W41" s="27"/>
      <c r="X41" s="27"/>
      <c r="Y41" s="28">
        <v>510.0</v>
      </c>
      <c r="Z41" s="27"/>
      <c r="AA41" s="27"/>
      <c r="AB41" s="27"/>
      <c r="AC41" s="27"/>
      <c r="AD41" s="27"/>
      <c r="AE41" s="27"/>
      <c r="AF41" s="28"/>
      <c r="AG41" s="27"/>
      <c r="AH41" s="27"/>
      <c r="AI41" s="27"/>
      <c r="AJ41" s="28"/>
      <c r="AK41" s="28">
        <v>1020.0</v>
      </c>
      <c r="AL41" s="27"/>
      <c r="AM41" s="27"/>
      <c r="AN41" s="29">
        <f>G41+SUM(I41:AM41)-SUM(I42:AM42)</f>
        <v>1822</v>
      </c>
      <c r="AO41" s="236">
        <f>ROUNDDOWN((AN41/E41)/$H$4,1)</f>
        <v>60.7</v>
      </c>
      <c r="AP41" s="236">
        <f>$M$3+AO41</f>
        <v>1005.7</v>
      </c>
    </row>
    <row r="42">
      <c r="A42" s="31"/>
      <c r="B42" s="17"/>
      <c r="C42" s="17"/>
      <c r="D42" s="17"/>
      <c r="E42" s="17"/>
      <c r="F42" s="18"/>
      <c r="G42" s="26"/>
      <c r="H42" s="7" t="s">
        <v>23</v>
      </c>
      <c r="I42" s="7">
        <v>50.0</v>
      </c>
      <c r="J42" s="7">
        <v>34.0</v>
      </c>
      <c r="K42" s="7">
        <v>60.0</v>
      </c>
      <c r="L42" s="7"/>
      <c r="M42" s="7">
        <v>50.0</v>
      </c>
      <c r="N42" s="7"/>
      <c r="O42" s="7"/>
      <c r="P42" s="7">
        <v>60.0</v>
      </c>
      <c r="Q42" s="7"/>
      <c r="R42" s="28"/>
      <c r="S42" s="28">
        <v>80.0</v>
      </c>
      <c r="T42" s="28"/>
      <c r="U42" s="28">
        <v>80.0</v>
      </c>
      <c r="V42" s="28"/>
      <c r="W42" s="28">
        <v>80.0</v>
      </c>
      <c r="X42" s="28"/>
      <c r="Y42" s="28">
        <v>20.0</v>
      </c>
      <c r="Z42" s="28">
        <v>47.0</v>
      </c>
      <c r="AA42" s="28">
        <v>55.0</v>
      </c>
      <c r="AB42" s="28"/>
      <c r="AC42" s="28">
        <v>20.0</v>
      </c>
      <c r="AD42" s="27"/>
      <c r="AE42" s="28"/>
      <c r="AF42" s="28"/>
      <c r="AG42" s="28"/>
      <c r="AH42" s="27"/>
      <c r="AI42" s="27"/>
      <c r="AJ42" s="27"/>
      <c r="AK42" s="27"/>
      <c r="AL42" s="27"/>
      <c r="AM42" s="27"/>
      <c r="AN42" s="32"/>
      <c r="AO42" s="32"/>
      <c r="AP42" s="32"/>
    </row>
    <row r="43">
      <c r="A43" s="33"/>
      <c r="B43" s="33"/>
      <c r="C43" s="33"/>
      <c r="D43" s="33"/>
      <c r="E43" s="25"/>
      <c r="F43" s="25"/>
      <c r="G43" s="7"/>
      <c r="H43" s="7"/>
      <c r="I43" s="37"/>
      <c r="J43" s="37"/>
      <c r="K43" s="41"/>
      <c r="L43" s="36"/>
      <c r="M43" s="37"/>
      <c r="N43" s="36"/>
      <c r="O43" s="36"/>
      <c r="P43" s="41"/>
      <c r="Q43" s="36"/>
      <c r="R43" s="38"/>
      <c r="S43" s="6"/>
      <c r="T43" s="10"/>
      <c r="U43" s="6"/>
      <c r="V43" s="10"/>
      <c r="W43" s="6"/>
      <c r="X43" s="10"/>
      <c r="Y43" s="6"/>
      <c r="Z43" s="6"/>
      <c r="AA43" s="6"/>
      <c r="AB43" s="27"/>
      <c r="AC43" s="6"/>
      <c r="AD43" s="10"/>
      <c r="AE43" s="10"/>
      <c r="AF43" s="10"/>
      <c r="AG43" s="10"/>
      <c r="AH43" s="10"/>
      <c r="AI43" s="27"/>
      <c r="AJ43" s="10"/>
      <c r="AK43" s="10"/>
      <c r="AL43" s="10"/>
      <c r="AM43" s="10"/>
      <c r="AN43" s="39"/>
      <c r="AO43" s="237"/>
      <c r="AP43" s="237"/>
    </row>
    <row r="44">
      <c r="A44" s="24" t="s">
        <v>36</v>
      </c>
      <c r="B44" s="17"/>
      <c r="C44" s="17"/>
      <c r="D44" s="18"/>
      <c r="E44" s="25">
        <v>2.0</v>
      </c>
      <c r="F44" s="25" t="s">
        <v>21</v>
      </c>
      <c r="G44" s="7">
        <v>459.0</v>
      </c>
      <c r="H44" s="7" t="s">
        <v>22</v>
      </c>
      <c r="I44" s="26"/>
      <c r="J44" s="26"/>
      <c r="K44" s="7">
        <v>1020.0</v>
      </c>
      <c r="L44" s="7"/>
      <c r="M44" s="26"/>
      <c r="N44" s="26"/>
      <c r="O44" s="26"/>
      <c r="P44" s="26"/>
      <c r="Q44" s="26"/>
      <c r="R44" s="27"/>
      <c r="S44" s="27"/>
      <c r="T44" s="28"/>
      <c r="U44" s="27"/>
      <c r="V44" s="27"/>
      <c r="W44" s="27"/>
      <c r="X44" s="28">
        <v>1020.0</v>
      </c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9">
        <f>G44+SUM(I44:AM44)-SUM(I45:AM45)</f>
        <v>685</v>
      </c>
      <c r="AO44" s="236">
        <f>ROUNDDOWN((AN44/E44)/$H$4,1)</f>
        <v>11.4</v>
      </c>
      <c r="AP44" s="236">
        <f>$M$3+AO44</f>
        <v>956.4</v>
      </c>
    </row>
    <row r="45">
      <c r="A45" s="31"/>
      <c r="B45" s="17"/>
      <c r="C45" s="17"/>
      <c r="D45" s="17"/>
      <c r="E45" s="17"/>
      <c r="F45" s="18"/>
      <c r="G45" s="26"/>
      <c r="H45" s="7" t="s">
        <v>23</v>
      </c>
      <c r="I45" s="7">
        <f>70+10</f>
        <v>80</v>
      </c>
      <c r="J45" s="7">
        <v>80.0</v>
      </c>
      <c r="K45" s="7">
        <v>48.0</v>
      </c>
      <c r="L45" s="7">
        <v>64.0</v>
      </c>
      <c r="M45" s="7">
        <v>72.0</v>
      </c>
      <c r="N45" s="7">
        <v>30.0</v>
      </c>
      <c r="O45" s="7">
        <v>40.0</v>
      </c>
      <c r="P45" s="7">
        <v>70.0</v>
      </c>
      <c r="Q45" s="7">
        <v>60.0</v>
      </c>
      <c r="R45" s="28">
        <v>60.0</v>
      </c>
      <c r="S45" s="28">
        <f>70+20</f>
        <v>90</v>
      </c>
      <c r="T45" s="28">
        <f>60+20</f>
        <v>80</v>
      </c>
      <c r="U45" s="28"/>
      <c r="V45" s="28">
        <f>60+20</f>
        <v>80</v>
      </c>
      <c r="W45" s="28">
        <v>80.0</v>
      </c>
      <c r="X45" s="28">
        <v>66.0</v>
      </c>
      <c r="Y45" s="28">
        <v>74.0</v>
      </c>
      <c r="Z45" s="28">
        <f>60+12</f>
        <v>72</v>
      </c>
      <c r="AA45" s="28">
        <v>78.0</v>
      </c>
      <c r="AB45" s="28"/>
      <c r="AC45" s="28">
        <v>80.0</v>
      </c>
      <c r="AD45" s="28">
        <v>80.0</v>
      </c>
      <c r="AE45" s="28">
        <v>70.0</v>
      </c>
      <c r="AF45" s="28"/>
      <c r="AG45" s="28">
        <v>60.0</v>
      </c>
      <c r="AH45" s="28">
        <v>60.0</v>
      </c>
      <c r="AI45" s="28"/>
      <c r="AJ45" s="28">
        <v>60.0</v>
      </c>
      <c r="AK45" s="28">
        <v>60.0</v>
      </c>
      <c r="AL45" s="28">
        <v>60.0</v>
      </c>
      <c r="AM45" s="28">
        <v>60.0</v>
      </c>
      <c r="AN45" s="32"/>
      <c r="AO45" s="32"/>
      <c r="AP45" s="32"/>
    </row>
    <row r="46">
      <c r="A46" s="33"/>
      <c r="B46" s="33"/>
      <c r="C46" s="33"/>
      <c r="D46" s="33"/>
      <c r="E46" s="25"/>
      <c r="F46" s="25"/>
      <c r="G46" s="7"/>
      <c r="H46" s="7"/>
      <c r="I46" s="37"/>
      <c r="J46" s="37"/>
      <c r="K46" s="41"/>
      <c r="L46" s="37"/>
      <c r="M46" s="37"/>
      <c r="N46" s="37"/>
      <c r="O46" s="37"/>
      <c r="P46" s="41"/>
      <c r="Q46" s="41"/>
      <c r="R46" s="6"/>
      <c r="S46" s="6"/>
      <c r="T46" s="6"/>
      <c r="U46" s="27"/>
      <c r="V46" s="6"/>
      <c r="W46" s="6"/>
      <c r="X46" s="6"/>
      <c r="Y46" s="6"/>
      <c r="Z46" s="6"/>
      <c r="AA46" s="6"/>
      <c r="AB46" s="27"/>
      <c r="AC46" s="6"/>
      <c r="AD46" s="6"/>
      <c r="AE46" s="6"/>
      <c r="AF46" s="38"/>
      <c r="AG46" s="6"/>
      <c r="AH46" s="6"/>
      <c r="AI46" s="27"/>
      <c r="AJ46" s="6"/>
      <c r="AK46" s="6"/>
      <c r="AL46" s="6"/>
      <c r="AM46" s="6"/>
      <c r="AN46" s="39"/>
      <c r="AO46" s="237"/>
      <c r="AP46" s="237"/>
    </row>
    <row r="47">
      <c r="A47" s="24" t="s">
        <v>37</v>
      </c>
      <c r="B47" s="17"/>
      <c r="C47" s="17"/>
      <c r="D47" s="18"/>
      <c r="E47" s="25">
        <v>2.0</v>
      </c>
      <c r="F47" s="25" t="s">
        <v>21</v>
      </c>
      <c r="G47" s="7">
        <v>232.0</v>
      </c>
      <c r="H47" s="7" t="s">
        <v>22</v>
      </c>
      <c r="I47" s="26"/>
      <c r="J47" s="7"/>
      <c r="K47" s="7"/>
      <c r="L47" s="7">
        <v>240.0</v>
      </c>
      <c r="M47" s="7"/>
      <c r="N47" s="26"/>
      <c r="O47" s="7">
        <v>200.0</v>
      </c>
      <c r="P47" s="7"/>
      <c r="Q47" s="7"/>
      <c r="R47" s="27"/>
      <c r="S47" s="27"/>
      <c r="T47" s="28">
        <v>200.0</v>
      </c>
      <c r="U47" s="28"/>
      <c r="V47" s="28">
        <v>240.0</v>
      </c>
      <c r="W47" s="28"/>
      <c r="X47" s="28"/>
      <c r="Y47" s="28">
        <v>140.0</v>
      </c>
      <c r="Z47" s="27"/>
      <c r="AA47" s="28">
        <v>300.0</v>
      </c>
      <c r="AB47" s="27"/>
      <c r="AC47" s="27"/>
      <c r="AD47" s="28">
        <v>200.0</v>
      </c>
      <c r="AE47" s="28"/>
      <c r="AF47" s="28">
        <v>300.0</v>
      </c>
      <c r="AG47" s="27"/>
      <c r="AH47" s="28"/>
      <c r="AI47" s="27"/>
      <c r="AJ47" s="28">
        <v>220.0</v>
      </c>
      <c r="AK47" s="28"/>
      <c r="AL47" s="28">
        <v>300.0</v>
      </c>
      <c r="AM47" s="27"/>
      <c r="AN47" s="29">
        <f>G47+SUM(I47:AM47)-SUM(I48:AM48)</f>
        <v>778</v>
      </c>
      <c r="AO47" s="236">
        <f>ROUNDDOWN((AN47/E47)/$H$4,1)</f>
        <v>12.9</v>
      </c>
      <c r="AP47" s="236">
        <f>$M$3+AO47</f>
        <v>957.9</v>
      </c>
    </row>
    <row r="48">
      <c r="A48" s="31"/>
      <c r="B48" s="17"/>
      <c r="C48" s="17"/>
      <c r="D48" s="17"/>
      <c r="E48" s="17"/>
      <c r="F48" s="18"/>
      <c r="G48" s="26"/>
      <c r="H48" s="7" t="s">
        <v>23</v>
      </c>
      <c r="I48" s="7">
        <f>70+10</f>
        <v>80</v>
      </c>
      <c r="J48" s="7">
        <v>80.0</v>
      </c>
      <c r="K48" s="7">
        <v>48.0</v>
      </c>
      <c r="L48" s="7">
        <v>64.0</v>
      </c>
      <c r="M48" s="7">
        <v>72.0</v>
      </c>
      <c r="N48" s="7">
        <v>30.0</v>
      </c>
      <c r="O48" s="7">
        <v>40.0</v>
      </c>
      <c r="P48" s="7">
        <v>70.0</v>
      </c>
      <c r="Q48" s="7">
        <v>60.0</v>
      </c>
      <c r="R48" s="28">
        <v>60.0</v>
      </c>
      <c r="S48" s="28">
        <f>70+20</f>
        <v>90</v>
      </c>
      <c r="T48" s="28">
        <v>60.0</v>
      </c>
      <c r="U48" s="28"/>
      <c r="V48" s="28">
        <f>60+20</f>
        <v>80</v>
      </c>
      <c r="W48" s="28">
        <v>80.0</v>
      </c>
      <c r="X48" s="28">
        <v>66.0</v>
      </c>
      <c r="Y48" s="28">
        <v>74.0</v>
      </c>
      <c r="Z48" s="28">
        <f>60+12</f>
        <v>72</v>
      </c>
      <c r="AA48" s="28">
        <v>78.0</v>
      </c>
      <c r="AB48" s="28"/>
      <c r="AC48" s="28">
        <v>80.0</v>
      </c>
      <c r="AD48" s="28">
        <v>80.0</v>
      </c>
      <c r="AE48" s="28">
        <v>70.0</v>
      </c>
      <c r="AF48" s="28"/>
      <c r="AG48" s="28">
        <v>60.0</v>
      </c>
      <c r="AH48" s="28">
        <v>60.0</v>
      </c>
      <c r="AI48" s="28"/>
      <c r="AJ48" s="28">
        <v>60.0</v>
      </c>
      <c r="AK48" s="28">
        <v>60.0</v>
      </c>
      <c r="AL48" s="28">
        <v>60.0</v>
      </c>
      <c r="AM48" s="28">
        <v>60.0</v>
      </c>
      <c r="AN48" s="32"/>
      <c r="AO48" s="32"/>
      <c r="AP48" s="32"/>
    </row>
    <row r="49">
      <c r="A49" s="33"/>
      <c r="B49" s="33"/>
      <c r="C49" s="33"/>
      <c r="D49" s="33"/>
      <c r="E49" s="25"/>
      <c r="F49" s="25"/>
      <c r="G49" s="7"/>
      <c r="H49" s="7"/>
      <c r="I49" s="37"/>
      <c r="J49" s="37"/>
      <c r="K49" s="41"/>
      <c r="L49" s="37"/>
      <c r="M49" s="37"/>
      <c r="N49" s="37"/>
      <c r="O49" s="37"/>
      <c r="P49" s="41"/>
      <c r="Q49" s="37"/>
      <c r="R49" s="6"/>
      <c r="S49" s="6"/>
      <c r="T49" s="6"/>
      <c r="U49" s="28"/>
      <c r="V49" s="6"/>
      <c r="W49" s="6"/>
      <c r="X49" s="6"/>
      <c r="Y49" s="6"/>
      <c r="Z49" s="6"/>
      <c r="AA49" s="6"/>
      <c r="AB49" s="28"/>
      <c r="AC49" s="42"/>
      <c r="AD49" s="6"/>
      <c r="AE49" s="6"/>
      <c r="AF49" s="38"/>
      <c r="AG49" s="6"/>
      <c r="AH49" s="6"/>
      <c r="AI49" s="27"/>
      <c r="AJ49" s="6"/>
      <c r="AK49" s="6"/>
      <c r="AL49" s="6"/>
      <c r="AM49" s="6"/>
      <c r="AN49" s="39"/>
      <c r="AO49" s="237"/>
      <c r="AP49" s="237"/>
    </row>
    <row r="50">
      <c r="A50" s="24" t="s">
        <v>38</v>
      </c>
      <c r="B50" s="17"/>
      <c r="C50" s="17"/>
      <c r="D50" s="18"/>
      <c r="E50" s="25">
        <v>1.0</v>
      </c>
      <c r="F50" s="25" t="s">
        <v>21</v>
      </c>
      <c r="G50" s="7">
        <v>187.0</v>
      </c>
      <c r="H50" s="7" t="s">
        <v>22</v>
      </c>
      <c r="I50" s="26"/>
      <c r="J50" s="7"/>
      <c r="K50" s="7"/>
      <c r="L50" s="7">
        <v>120.0</v>
      </c>
      <c r="M50" s="7"/>
      <c r="N50" s="26"/>
      <c r="O50" s="7">
        <v>100.0</v>
      </c>
      <c r="P50" s="7"/>
      <c r="Q50" s="7"/>
      <c r="R50" s="27"/>
      <c r="S50" s="27"/>
      <c r="T50" s="28">
        <v>100.0</v>
      </c>
      <c r="U50" s="28"/>
      <c r="V50" s="28">
        <v>120.0</v>
      </c>
      <c r="W50" s="28"/>
      <c r="X50" s="28"/>
      <c r="Y50" s="28">
        <v>70.0</v>
      </c>
      <c r="Z50" s="27"/>
      <c r="AA50" s="28">
        <v>150.0</v>
      </c>
      <c r="AB50" s="27"/>
      <c r="AC50" s="27"/>
      <c r="AD50" s="28">
        <v>100.0</v>
      </c>
      <c r="AE50" s="28"/>
      <c r="AF50" s="28">
        <v>150.0</v>
      </c>
      <c r="AG50" s="27"/>
      <c r="AH50" s="28"/>
      <c r="AI50" s="27"/>
      <c r="AJ50" s="28">
        <v>110.0</v>
      </c>
      <c r="AK50" s="28"/>
      <c r="AL50" s="28">
        <v>150.0</v>
      </c>
      <c r="AM50" s="27"/>
      <c r="AN50" s="29">
        <f>G50+SUM(I50:AM50)-SUM(I51:AM51)</f>
        <v>450</v>
      </c>
      <c r="AO50" s="236">
        <f>ROUNDDOWN((AN50/E50)/$H$4,1)</f>
        <v>15</v>
      </c>
      <c r="AP50" s="236">
        <f>$M$3+AO50</f>
        <v>960</v>
      </c>
    </row>
    <row r="51">
      <c r="A51" s="31"/>
      <c r="B51" s="17"/>
      <c r="C51" s="17"/>
      <c r="D51" s="17"/>
      <c r="E51" s="17"/>
      <c r="F51" s="18"/>
      <c r="G51" s="26"/>
      <c r="H51" s="7" t="s">
        <v>23</v>
      </c>
      <c r="I51" s="7">
        <f>35+5</f>
        <v>40</v>
      </c>
      <c r="J51" s="7">
        <v>40.0</v>
      </c>
      <c r="K51" s="7">
        <v>24.0</v>
      </c>
      <c r="L51" s="7">
        <v>32.0</v>
      </c>
      <c r="M51" s="7">
        <v>36.0</v>
      </c>
      <c r="N51" s="7">
        <v>15.0</v>
      </c>
      <c r="O51" s="7">
        <v>20.0</v>
      </c>
      <c r="P51" s="7">
        <v>35.0</v>
      </c>
      <c r="Q51" s="7">
        <v>30.0</v>
      </c>
      <c r="R51" s="28">
        <v>30.0</v>
      </c>
      <c r="S51" s="28">
        <f>35+10</f>
        <v>45</v>
      </c>
      <c r="T51" s="28">
        <f>30+10</f>
        <v>40</v>
      </c>
      <c r="U51" s="28"/>
      <c r="V51" s="28">
        <f>30+10</f>
        <v>40</v>
      </c>
      <c r="W51" s="28">
        <v>40.0</v>
      </c>
      <c r="X51" s="28">
        <v>33.0</v>
      </c>
      <c r="Y51" s="28">
        <v>37.0</v>
      </c>
      <c r="Z51" s="28">
        <f>30+6</f>
        <v>36</v>
      </c>
      <c r="AA51" s="28">
        <v>39.0</v>
      </c>
      <c r="AB51" s="28"/>
      <c r="AC51" s="28">
        <v>40.0</v>
      </c>
      <c r="AD51" s="28">
        <v>40.0</v>
      </c>
      <c r="AE51" s="28">
        <v>35.0</v>
      </c>
      <c r="AF51" s="28"/>
      <c r="AG51" s="28">
        <v>30.0</v>
      </c>
      <c r="AH51" s="28">
        <v>30.0</v>
      </c>
      <c r="AI51" s="28"/>
      <c r="AJ51" s="28">
        <v>30.0</v>
      </c>
      <c r="AK51" s="28">
        <v>30.0</v>
      </c>
      <c r="AL51" s="28">
        <v>30.0</v>
      </c>
      <c r="AM51" s="28">
        <v>30.0</v>
      </c>
      <c r="AN51" s="32"/>
      <c r="AO51" s="32"/>
      <c r="AP51" s="32"/>
    </row>
    <row r="52">
      <c r="A52" s="33"/>
      <c r="B52" s="33"/>
      <c r="C52" s="33"/>
      <c r="D52" s="33"/>
      <c r="E52" s="25"/>
      <c r="F52" s="25"/>
      <c r="G52" s="7"/>
      <c r="H52" s="7"/>
      <c r="I52" s="37"/>
      <c r="J52" s="37"/>
      <c r="K52" s="41"/>
      <c r="L52" s="37"/>
      <c r="M52" s="37"/>
      <c r="N52" s="37"/>
      <c r="O52" s="37"/>
      <c r="P52" s="41"/>
      <c r="Q52" s="37"/>
      <c r="R52" s="6"/>
      <c r="S52" s="6"/>
      <c r="T52" s="6"/>
      <c r="U52" s="27"/>
      <c r="V52" s="6"/>
      <c r="W52" s="42"/>
      <c r="X52" s="6"/>
      <c r="Y52" s="6"/>
      <c r="Z52" s="6"/>
      <c r="AA52" s="6"/>
      <c r="AB52" s="27"/>
      <c r="AC52" s="6"/>
      <c r="AD52" s="6"/>
      <c r="AE52" s="6"/>
      <c r="AF52" s="38"/>
      <c r="AG52" s="6"/>
      <c r="AH52" s="6"/>
      <c r="AI52" s="27"/>
      <c r="AJ52" s="6"/>
      <c r="AK52" s="6"/>
      <c r="AL52" s="6"/>
      <c r="AM52" s="6"/>
      <c r="AN52" s="39"/>
      <c r="AO52" s="237"/>
      <c r="AP52" s="237"/>
    </row>
    <row r="53">
      <c r="A53" s="24" t="s">
        <v>39</v>
      </c>
      <c r="B53" s="17"/>
      <c r="C53" s="17"/>
      <c r="D53" s="18"/>
      <c r="E53" s="25">
        <v>1.0</v>
      </c>
      <c r="F53" s="25" t="s">
        <v>21</v>
      </c>
      <c r="G53" s="7">
        <v>210.0</v>
      </c>
      <c r="H53" s="7" t="s">
        <v>22</v>
      </c>
      <c r="I53" s="7"/>
      <c r="J53" s="7"/>
      <c r="K53" s="7"/>
      <c r="L53" s="7">
        <v>120.0</v>
      </c>
      <c r="M53" s="7"/>
      <c r="N53" s="26"/>
      <c r="O53" s="7">
        <v>100.0</v>
      </c>
      <c r="P53" s="7"/>
      <c r="Q53" s="7"/>
      <c r="R53" s="27"/>
      <c r="S53" s="27"/>
      <c r="T53" s="28">
        <v>100.0</v>
      </c>
      <c r="U53" s="28"/>
      <c r="V53" s="28">
        <v>120.0</v>
      </c>
      <c r="W53" s="28"/>
      <c r="X53" s="28"/>
      <c r="Y53" s="28">
        <v>70.0</v>
      </c>
      <c r="Z53" s="27"/>
      <c r="AA53" s="28">
        <v>150.0</v>
      </c>
      <c r="AB53" s="27"/>
      <c r="AC53" s="27"/>
      <c r="AD53" s="28">
        <v>100.0</v>
      </c>
      <c r="AE53" s="28"/>
      <c r="AF53" s="28">
        <v>150.0</v>
      </c>
      <c r="AG53" s="27"/>
      <c r="AH53" s="28"/>
      <c r="AI53" s="27"/>
      <c r="AJ53" s="28">
        <v>110.0</v>
      </c>
      <c r="AK53" s="28"/>
      <c r="AL53" s="28">
        <v>150.0</v>
      </c>
      <c r="AM53" s="27"/>
      <c r="AN53" s="29">
        <f>G53+SUM(I53:AM53)-SUM(I54:AM54)</f>
        <v>473</v>
      </c>
      <c r="AO53" s="236">
        <f>ROUNDDOWN((AN53/E53)/$H$4,1)</f>
        <v>15.7</v>
      </c>
      <c r="AP53" s="236">
        <f>$M$3+AO53</f>
        <v>960.7</v>
      </c>
    </row>
    <row r="54">
      <c r="A54" s="31"/>
      <c r="B54" s="17"/>
      <c r="C54" s="17"/>
      <c r="D54" s="17"/>
      <c r="E54" s="17"/>
      <c r="F54" s="18"/>
      <c r="G54" s="26"/>
      <c r="H54" s="7" t="s">
        <v>23</v>
      </c>
      <c r="I54" s="7">
        <f>35+5</f>
        <v>40</v>
      </c>
      <c r="J54" s="7">
        <v>40.0</v>
      </c>
      <c r="K54" s="7">
        <v>24.0</v>
      </c>
      <c r="L54" s="7">
        <v>32.0</v>
      </c>
      <c r="M54" s="7">
        <v>36.0</v>
      </c>
      <c r="N54" s="7">
        <v>15.0</v>
      </c>
      <c r="O54" s="7">
        <v>20.0</v>
      </c>
      <c r="P54" s="7">
        <v>35.0</v>
      </c>
      <c r="Q54" s="7">
        <v>30.0</v>
      </c>
      <c r="R54" s="28">
        <v>30.0</v>
      </c>
      <c r="S54" s="28">
        <f>35+10</f>
        <v>45</v>
      </c>
      <c r="T54" s="28">
        <f>30+10</f>
        <v>40</v>
      </c>
      <c r="U54" s="28"/>
      <c r="V54" s="28">
        <f>30+10</f>
        <v>40</v>
      </c>
      <c r="W54" s="28">
        <v>40.0</v>
      </c>
      <c r="X54" s="28">
        <v>33.0</v>
      </c>
      <c r="Y54" s="28">
        <v>37.0</v>
      </c>
      <c r="Z54" s="28">
        <f>30+6</f>
        <v>36</v>
      </c>
      <c r="AA54" s="28">
        <v>39.0</v>
      </c>
      <c r="AB54" s="28"/>
      <c r="AC54" s="28">
        <v>40.0</v>
      </c>
      <c r="AD54" s="28">
        <v>40.0</v>
      </c>
      <c r="AE54" s="28">
        <v>35.0</v>
      </c>
      <c r="AF54" s="28"/>
      <c r="AG54" s="28">
        <v>30.0</v>
      </c>
      <c r="AH54" s="28">
        <v>30.0</v>
      </c>
      <c r="AI54" s="28"/>
      <c r="AJ54" s="28">
        <v>30.0</v>
      </c>
      <c r="AK54" s="28">
        <v>30.0</v>
      </c>
      <c r="AL54" s="28">
        <v>30.0</v>
      </c>
      <c r="AM54" s="28">
        <v>30.0</v>
      </c>
      <c r="AN54" s="32"/>
      <c r="AO54" s="32"/>
      <c r="AP54" s="32"/>
    </row>
    <row r="55">
      <c r="A55" s="33"/>
      <c r="B55" s="33"/>
      <c r="C55" s="33"/>
      <c r="D55" s="33"/>
      <c r="E55" s="25"/>
      <c r="F55" s="25"/>
      <c r="G55" s="7"/>
      <c r="H55" s="7"/>
      <c r="I55" s="37"/>
      <c r="J55" s="37"/>
      <c r="K55" s="41"/>
      <c r="L55" s="37"/>
      <c r="M55" s="37"/>
      <c r="N55" s="37"/>
      <c r="O55" s="41"/>
      <c r="P55" s="41"/>
      <c r="Q55" s="37"/>
      <c r="R55" s="6"/>
      <c r="S55" s="6"/>
      <c r="T55" s="6"/>
      <c r="U55" s="27"/>
      <c r="V55" s="6"/>
      <c r="W55" s="6"/>
      <c r="X55" s="6"/>
      <c r="Y55" s="6"/>
      <c r="Z55" s="6"/>
      <c r="AA55" s="6"/>
      <c r="AB55" s="27"/>
      <c r="AC55" s="6"/>
      <c r="AD55" s="6"/>
      <c r="AE55" s="6"/>
      <c r="AF55" s="38"/>
      <c r="AG55" s="6"/>
      <c r="AH55" s="6"/>
      <c r="AI55" s="27"/>
      <c r="AJ55" s="6"/>
      <c r="AK55" s="6"/>
      <c r="AL55" s="6"/>
      <c r="AM55" s="6"/>
      <c r="AN55" s="39"/>
      <c r="AO55" s="237"/>
      <c r="AP55" s="237"/>
    </row>
    <row r="56">
      <c r="A56" s="24" t="s">
        <v>40</v>
      </c>
      <c r="B56" s="17"/>
      <c r="C56" s="17"/>
      <c r="D56" s="18"/>
      <c r="E56" s="25">
        <v>1.0</v>
      </c>
      <c r="F56" s="25" t="s">
        <v>21</v>
      </c>
      <c r="G56" s="7">
        <v>327.0</v>
      </c>
      <c r="H56" s="7" t="s">
        <v>22</v>
      </c>
      <c r="I56" s="26"/>
      <c r="J56" s="7"/>
      <c r="K56" s="7"/>
      <c r="L56" s="7">
        <v>120.0</v>
      </c>
      <c r="M56" s="7"/>
      <c r="N56" s="26"/>
      <c r="O56" s="7">
        <v>100.0</v>
      </c>
      <c r="P56" s="7"/>
      <c r="Q56" s="7"/>
      <c r="R56" s="27"/>
      <c r="S56" s="27"/>
      <c r="T56" s="28">
        <v>100.0</v>
      </c>
      <c r="U56" s="28"/>
      <c r="V56" s="28">
        <v>120.0</v>
      </c>
      <c r="W56" s="28"/>
      <c r="X56" s="28"/>
      <c r="Y56" s="28">
        <v>70.0</v>
      </c>
      <c r="Z56" s="27"/>
      <c r="AA56" s="28">
        <v>150.0</v>
      </c>
      <c r="AB56" s="27"/>
      <c r="AC56" s="27"/>
      <c r="AD56" s="28">
        <v>100.0</v>
      </c>
      <c r="AE56" s="28"/>
      <c r="AF56" s="28">
        <v>150.0</v>
      </c>
      <c r="AG56" s="27"/>
      <c r="AH56" s="28"/>
      <c r="AI56" s="27"/>
      <c r="AJ56" s="28">
        <v>110.0</v>
      </c>
      <c r="AK56" s="28"/>
      <c r="AL56" s="28">
        <v>150.0</v>
      </c>
      <c r="AM56" s="27"/>
      <c r="AN56" s="29">
        <f>G56+SUM(I56:AM56)-SUM(I57:AM57)</f>
        <v>596</v>
      </c>
      <c r="AO56" s="236">
        <f>ROUNDDOWN((AN56/E56)/$H$4,1)</f>
        <v>19.8</v>
      </c>
      <c r="AP56" s="236">
        <f>$M$5+AO56</f>
        <v>964.8</v>
      </c>
    </row>
    <row r="57">
      <c r="A57" s="31"/>
      <c r="B57" s="17"/>
      <c r="C57" s="17"/>
      <c r="D57" s="17"/>
      <c r="E57" s="17"/>
      <c r="F57" s="18"/>
      <c r="G57" s="26"/>
      <c r="H57" s="7" t="s">
        <v>23</v>
      </c>
      <c r="I57" s="7">
        <v>30.0</v>
      </c>
      <c r="J57" s="7">
        <v>30.0</v>
      </c>
      <c r="K57" s="7">
        <v>40.0</v>
      </c>
      <c r="L57" s="7">
        <v>39.0</v>
      </c>
      <c r="M57" s="7">
        <v>39.0</v>
      </c>
      <c r="N57" s="7">
        <v>15.0</v>
      </c>
      <c r="O57" s="7">
        <v>23.0</v>
      </c>
      <c r="P57" s="7">
        <v>31.0</v>
      </c>
      <c r="Q57" s="7">
        <v>30.0</v>
      </c>
      <c r="R57" s="28">
        <v>30.0</v>
      </c>
      <c r="S57" s="28">
        <v>35.0</v>
      </c>
      <c r="T57" s="28">
        <v>39.0</v>
      </c>
      <c r="U57" s="28"/>
      <c r="V57" s="28">
        <f>30+10</f>
        <v>40</v>
      </c>
      <c r="W57" s="28">
        <v>40.0</v>
      </c>
      <c r="X57" s="28">
        <v>30.0</v>
      </c>
      <c r="Y57" s="28">
        <f>30+8+4</f>
        <v>42</v>
      </c>
      <c r="Z57" s="28">
        <v>30.0</v>
      </c>
      <c r="AA57" s="28">
        <v>50.0</v>
      </c>
      <c r="AB57" s="28"/>
      <c r="AC57" s="28">
        <v>30.0</v>
      </c>
      <c r="AD57" s="28">
        <v>40.0</v>
      </c>
      <c r="AE57" s="28">
        <v>40.0</v>
      </c>
      <c r="AF57" s="28"/>
      <c r="AG57" s="28">
        <v>32.0</v>
      </c>
      <c r="AH57" s="28">
        <v>28.0</v>
      </c>
      <c r="AI57" s="28"/>
      <c r="AJ57" s="28">
        <v>30.0</v>
      </c>
      <c r="AK57" s="28">
        <v>30.0</v>
      </c>
      <c r="AL57" s="28">
        <v>30.0</v>
      </c>
      <c r="AM57" s="28">
        <v>28.0</v>
      </c>
      <c r="AN57" s="32"/>
      <c r="AO57" s="32"/>
      <c r="AP57" s="32"/>
    </row>
    <row r="58">
      <c r="A58" s="54"/>
      <c r="B58" s="54"/>
      <c r="C58" s="54"/>
      <c r="D58" s="54"/>
      <c r="E58" s="25"/>
      <c r="F58" s="25"/>
      <c r="G58" s="7"/>
      <c r="H58" s="7"/>
      <c r="I58" s="37"/>
      <c r="J58" s="37"/>
      <c r="K58" s="41"/>
      <c r="L58" s="37"/>
      <c r="M58" s="37"/>
      <c r="N58" s="37"/>
      <c r="O58" s="37"/>
      <c r="P58" s="41"/>
      <c r="Q58" s="37"/>
      <c r="R58" s="6"/>
      <c r="S58" s="6"/>
      <c r="T58" s="6"/>
      <c r="U58" s="27"/>
      <c r="V58" s="6"/>
      <c r="W58" s="42"/>
      <c r="X58" s="42"/>
      <c r="Y58" s="6"/>
      <c r="Z58" s="6"/>
      <c r="AA58" s="6"/>
      <c r="AB58" s="27"/>
      <c r="AC58" s="6"/>
      <c r="AD58" s="6"/>
      <c r="AE58" s="6"/>
      <c r="AF58" s="38"/>
      <c r="AG58" s="6"/>
      <c r="AH58" s="6"/>
      <c r="AI58" s="27"/>
      <c r="AJ58" s="6"/>
      <c r="AK58" s="6"/>
      <c r="AL58" s="6"/>
      <c r="AM58" s="6"/>
      <c r="AN58" s="39"/>
      <c r="AO58" s="237"/>
      <c r="AP58" s="237"/>
    </row>
    <row r="59">
      <c r="A59" s="55" t="s">
        <v>41</v>
      </c>
      <c r="B59" s="17"/>
      <c r="C59" s="17"/>
      <c r="D59" s="18"/>
      <c r="E59" s="25">
        <v>1.0</v>
      </c>
      <c r="F59" s="25" t="s">
        <v>21</v>
      </c>
      <c r="G59" s="7">
        <v>163.0</v>
      </c>
      <c r="H59" s="7" t="s">
        <v>22</v>
      </c>
      <c r="I59" s="26"/>
      <c r="J59" s="7"/>
      <c r="K59" s="7"/>
      <c r="L59" s="7">
        <v>120.0</v>
      </c>
      <c r="M59" s="7"/>
      <c r="N59" s="26"/>
      <c r="O59" s="7">
        <v>100.0</v>
      </c>
      <c r="P59" s="7"/>
      <c r="Q59" s="7"/>
      <c r="R59" s="27"/>
      <c r="S59" s="27"/>
      <c r="T59" s="28">
        <v>100.0</v>
      </c>
      <c r="U59" s="28"/>
      <c r="V59" s="28">
        <v>120.0</v>
      </c>
      <c r="W59" s="28"/>
      <c r="X59" s="28"/>
      <c r="Y59" s="28">
        <v>70.0</v>
      </c>
      <c r="Z59" s="27"/>
      <c r="AA59" s="28">
        <v>150.0</v>
      </c>
      <c r="AB59" s="27"/>
      <c r="AC59" s="27"/>
      <c r="AD59" s="28">
        <v>100.0</v>
      </c>
      <c r="AE59" s="28"/>
      <c r="AF59" s="28">
        <v>150.0</v>
      </c>
      <c r="AG59" s="27"/>
      <c r="AH59" s="28"/>
      <c r="AI59" s="27"/>
      <c r="AJ59" s="28">
        <v>110.0</v>
      </c>
      <c r="AK59" s="28"/>
      <c r="AL59" s="28">
        <v>150.0</v>
      </c>
      <c r="AM59" s="27"/>
      <c r="AN59" s="29">
        <f>G59+SUM(I59:AM59)-SUM(I60:AM60)</f>
        <v>697</v>
      </c>
      <c r="AO59" s="236">
        <f>ROUNDDOWN((AN59/E59)/$H$4,1)</f>
        <v>23.2</v>
      </c>
      <c r="AP59" s="236">
        <f>$M$3+AO59</f>
        <v>968.2</v>
      </c>
    </row>
    <row r="60">
      <c r="A60" s="31"/>
      <c r="B60" s="17"/>
      <c r="C60" s="17"/>
      <c r="D60" s="17"/>
      <c r="E60" s="17"/>
      <c r="F60" s="18"/>
      <c r="G60" s="26"/>
      <c r="H60" s="7" t="s">
        <v>23</v>
      </c>
      <c r="I60" s="7">
        <v>50.0</v>
      </c>
      <c r="J60" s="7">
        <v>34.0</v>
      </c>
      <c r="K60" s="7">
        <v>60.0</v>
      </c>
      <c r="L60" s="7"/>
      <c r="M60" s="7">
        <v>50.0</v>
      </c>
      <c r="N60" s="7"/>
      <c r="O60" s="7"/>
      <c r="P60" s="7">
        <v>60.0</v>
      </c>
      <c r="Q60" s="7"/>
      <c r="R60" s="28"/>
      <c r="S60" s="28">
        <v>80.0</v>
      </c>
      <c r="T60" s="28"/>
      <c r="U60" s="28">
        <v>80.0</v>
      </c>
      <c r="V60" s="28"/>
      <c r="W60" s="28">
        <v>80.0</v>
      </c>
      <c r="X60" s="28"/>
      <c r="Y60" s="28">
        <v>20.0</v>
      </c>
      <c r="Z60" s="28">
        <v>47.0</v>
      </c>
      <c r="AA60" s="28">
        <v>55.0</v>
      </c>
      <c r="AB60" s="28"/>
      <c r="AC60" s="28">
        <v>20.0</v>
      </c>
      <c r="AD60" s="27"/>
      <c r="AE60" s="28"/>
      <c r="AF60" s="28"/>
      <c r="AG60" s="28"/>
      <c r="AH60" s="27"/>
      <c r="AI60" s="27"/>
      <c r="AJ60" s="27"/>
      <c r="AK60" s="27"/>
      <c r="AL60" s="27"/>
      <c r="AM60" s="27"/>
      <c r="AN60" s="32"/>
      <c r="AO60" s="32"/>
      <c r="AP60" s="32"/>
    </row>
    <row r="61">
      <c r="A61" s="33"/>
      <c r="B61" s="33"/>
      <c r="C61" s="33"/>
      <c r="D61" s="33"/>
      <c r="E61" s="25"/>
      <c r="F61" s="25"/>
      <c r="G61" s="7"/>
      <c r="H61" s="7"/>
      <c r="I61" s="37"/>
      <c r="J61" s="37"/>
      <c r="K61" s="41"/>
      <c r="L61" s="36"/>
      <c r="M61" s="37"/>
      <c r="N61" s="36"/>
      <c r="O61" s="36"/>
      <c r="P61" s="41"/>
      <c r="Q61" s="36"/>
      <c r="R61" s="38"/>
      <c r="S61" s="6"/>
      <c r="T61" s="10"/>
      <c r="U61" s="6"/>
      <c r="V61" s="10"/>
      <c r="W61" s="6"/>
      <c r="X61" s="10"/>
      <c r="Y61" s="6"/>
      <c r="Z61" s="6"/>
      <c r="AA61" s="6"/>
      <c r="AB61" s="27"/>
      <c r="AC61" s="6"/>
      <c r="AD61" s="10"/>
      <c r="AE61" s="6"/>
      <c r="AF61" s="38"/>
      <c r="AG61" s="10"/>
      <c r="AH61" s="10"/>
      <c r="AI61" s="27"/>
      <c r="AJ61" s="10"/>
      <c r="AK61" s="10"/>
      <c r="AL61" s="10"/>
      <c r="AM61" s="10"/>
      <c r="AN61" s="39"/>
      <c r="AO61" s="237"/>
      <c r="AP61" s="237"/>
    </row>
    <row r="62">
      <c r="A62" s="24" t="s">
        <v>42</v>
      </c>
      <c r="B62" s="17"/>
      <c r="C62" s="17"/>
      <c r="D62" s="18"/>
      <c r="E62" s="25">
        <v>1.0</v>
      </c>
      <c r="F62" s="25" t="s">
        <v>21</v>
      </c>
      <c r="G62" s="7">
        <v>174.0</v>
      </c>
      <c r="H62" s="7" t="s">
        <v>22</v>
      </c>
      <c r="I62" s="26"/>
      <c r="J62" s="7"/>
      <c r="K62" s="7"/>
      <c r="L62" s="7">
        <v>120.0</v>
      </c>
      <c r="M62" s="7"/>
      <c r="N62" s="26"/>
      <c r="O62" s="7">
        <v>100.0</v>
      </c>
      <c r="P62" s="7"/>
      <c r="Q62" s="7"/>
      <c r="R62" s="27"/>
      <c r="S62" s="27"/>
      <c r="T62" s="28">
        <v>100.0</v>
      </c>
      <c r="U62" s="28"/>
      <c r="V62" s="28">
        <v>120.0</v>
      </c>
      <c r="W62" s="28"/>
      <c r="X62" s="28"/>
      <c r="Y62" s="28">
        <v>70.0</v>
      </c>
      <c r="Z62" s="27"/>
      <c r="AA62" s="28">
        <v>150.0</v>
      </c>
      <c r="AB62" s="27"/>
      <c r="AC62" s="27"/>
      <c r="AD62" s="28">
        <v>100.0</v>
      </c>
      <c r="AE62" s="28"/>
      <c r="AF62" s="28">
        <v>150.0</v>
      </c>
      <c r="AG62" s="27"/>
      <c r="AH62" s="28"/>
      <c r="AI62" s="27"/>
      <c r="AJ62" s="28">
        <v>110.0</v>
      </c>
      <c r="AK62" s="28"/>
      <c r="AL62" s="28">
        <v>150.0</v>
      </c>
      <c r="AM62" s="27"/>
      <c r="AN62" s="29">
        <f>G62+SUM(I62:AM62)-SUM(I63:AM63)</f>
        <v>436</v>
      </c>
      <c r="AO62" s="236">
        <f>ROUNDDOWN((AN62/E62)/$H$4,1)</f>
        <v>14.5</v>
      </c>
      <c r="AP62" s="236">
        <f>$M$3+AO62</f>
        <v>959.5</v>
      </c>
    </row>
    <row r="63">
      <c r="A63" s="31"/>
      <c r="B63" s="17"/>
      <c r="C63" s="17"/>
      <c r="D63" s="17"/>
      <c r="E63" s="17"/>
      <c r="F63" s="18"/>
      <c r="G63" s="26"/>
      <c r="H63" s="7" t="s">
        <v>23</v>
      </c>
      <c r="I63" s="7">
        <f>35+5</f>
        <v>40</v>
      </c>
      <c r="J63" s="7">
        <v>40.0</v>
      </c>
      <c r="K63" s="7">
        <v>24.0</v>
      </c>
      <c r="L63" s="7">
        <f>32+1</f>
        <v>33</v>
      </c>
      <c r="M63" s="7">
        <v>36.0</v>
      </c>
      <c r="N63" s="7">
        <v>15.0</v>
      </c>
      <c r="O63" s="7">
        <v>20.0</v>
      </c>
      <c r="P63" s="7">
        <v>35.0</v>
      </c>
      <c r="Q63" s="7">
        <v>30.0</v>
      </c>
      <c r="R63" s="28">
        <v>30.0</v>
      </c>
      <c r="S63" s="28">
        <f>35+10</f>
        <v>45</v>
      </c>
      <c r="T63" s="28">
        <f>30+10</f>
        <v>40</v>
      </c>
      <c r="U63" s="28"/>
      <c r="V63" s="28">
        <f>30+10</f>
        <v>40</v>
      </c>
      <c r="W63" s="28">
        <v>40.0</v>
      </c>
      <c r="X63" s="28">
        <v>33.0</v>
      </c>
      <c r="Y63" s="28">
        <v>37.0</v>
      </c>
      <c r="Z63" s="28">
        <f>30+6</f>
        <v>36</v>
      </c>
      <c r="AA63" s="28">
        <v>39.0</v>
      </c>
      <c r="AB63" s="28"/>
      <c r="AC63" s="28">
        <v>40.0</v>
      </c>
      <c r="AD63" s="28">
        <v>40.0</v>
      </c>
      <c r="AE63" s="28">
        <v>35.0</v>
      </c>
      <c r="AF63" s="28"/>
      <c r="AG63" s="28">
        <v>30.0</v>
      </c>
      <c r="AH63" s="28">
        <v>30.0</v>
      </c>
      <c r="AI63" s="28"/>
      <c r="AJ63" s="28">
        <v>30.0</v>
      </c>
      <c r="AK63" s="28">
        <v>30.0</v>
      </c>
      <c r="AL63" s="28">
        <v>30.0</v>
      </c>
      <c r="AM63" s="28">
        <v>30.0</v>
      </c>
      <c r="AN63" s="32"/>
      <c r="AO63" s="32"/>
      <c r="AP63" s="32"/>
    </row>
    <row r="64">
      <c r="A64" s="54"/>
      <c r="B64" s="54"/>
      <c r="C64" s="54"/>
      <c r="D64" s="54"/>
      <c r="E64" s="25"/>
      <c r="F64" s="25"/>
      <c r="G64" s="7"/>
      <c r="H64" s="7"/>
      <c r="I64" s="37"/>
      <c r="J64" s="37"/>
      <c r="K64" s="41"/>
      <c r="L64" s="37"/>
      <c r="M64" s="37"/>
      <c r="N64" s="37"/>
      <c r="O64" s="37"/>
      <c r="P64" s="41"/>
      <c r="Q64" s="37"/>
      <c r="R64" s="6"/>
      <c r="S64" s="6"/>
      <c r="T64" s="6"/>
      <c r="U64" s="27"/>
      <c r="V64" s="6"/>
      <c r="W64" s="42"/>
      <c r="X64" s="6"/>
      <c r="Y64" s="6"/>
      <c r="Z64" s="42"/>
      <c r="AA64" s="6"/>
      <c r="AB64" s="27"/>
      <c r="AC64" s="6"/>
      <c r="AD64" s="6"/>
      <c r="AE64" s="42"/>
      <c r="AF64" s="38"/>
      <c r="AG64" s="6"/>
      <c r="AH64" s="6"/>
      <c r="AI64" s="27"/>
      <c r="AJ64" s="6"/>
      <c r="AK64" s="6"/>
      <c r="AL64" s="6"/>
      <c r="AM64" s="6"/>
      <c r="AN64" s="39"/>
      <c r="AO64" s="237"/>
      <c r="AP64" s="237"/>
    </row>
    <row r="65">
      <c r="A65" s="55" t="s">
        <v>43</v>
      </c>
      <c r="B65" s="17"/>
      <c r="C65" s="17"/>
      <c r="D65" s="18"/>
      <c r="E65" s="25">
        <v>1.0</v>
      </c>
      <c r="F65" s="25" t="s">
        <v>21</v>
      </c>
      <c r="G65" s="7">
        <v>250.0</v>
      </c>
      <c r="H65" s="7" t="s">
        <v>22</v>
      </c>
      <c r="I65" s="26"/>
      <c r="J65" s="7"/>
      <c r="K65" s="7"/>
      <c r="L65" s="7">
        <v>120.0</v>
      </c>
      <c r="M65" s="7"/>
      <c r="N65" s="26"/>
      <c r="O65" s="7">
        <v>100.0</v>
      </c>
      <c r="P65" s="7"/>
      <c r="Q65" s="7"/>
      <c r="R65" s="27"/>
      <c r="S65" s="27"/>
      <c r="T65" s="28">
        <v>100.0</v>
      </c>
      <c r="U65" s="28"/>
      <c r="V65" s="28">
        <v>120.0</v>
      </c>
      <c r="W65" s="28"/>
      <c r="X65" s="28"/>
      <c r="Y65" s="28">
        <v>70.0</v>
      </c>
      <c r="Z65" s="27"/>
      <c r="AA65" s="28">
        <v>150.0</v>
      </c>
      <c r="AB65" s="27"/>
      <c r="AC65" s="27"/>
      <c r="AD65" s="28">
        <v>100.0</v>
      </c>
      <c r="AE65" s="28"/>
      <c r="AF65" s="28">
        <v>150.0</v>
      </c>
      <c r="AG65" s="27"/>
      <c r="AH65" s="28"/>
      <c r="AI65" s="27"/>
      <c r="AJ65" s="28">
        <v>110.0</v>
      </c>
      <c r="AK65" s="28"/>
      <c r="AL65" s="28">
        <v>150.0</v>
      </c>
      <c r="AM65" s="27"/>
      <c r="AN65" s="29">
        <f>G65+SUM(I65:AM65)-SUM(I66:AM66)</f>
        <v>784</v>
      </c>
      <c r="AO65" s="236">
        <f>ROUNDDOWN((AN65/E65)/$H$4,1)</f>
        <v>26.1</v>
      </c>
      <c r="AP65" s="236">
        <f>$M$3+AO65</f>
        <v>971.1</v>
      </c>
    </row>
    <row r="66">
      <c r="A66" s="31"/>
      <c r="B66" s="17"/>
      <c r="C66" s="17"/>
      <c r="D66" s="17"/>
      <c r="E66" s="17"/>
      <c r="F66" s="18"/>
      <c r="G66" s="26"/>
      <c r="H66" s="7" t="s">
        <v>23</v>
      </c>
      <c r="I66" s="7">
        <v>50.0</v>
      </c>
      <c r="J66" s="7">
        <v>34.0</v>
      </c>
      <c r="K66" s="7">
        <v>60.0</v>
      </c>
      <c r="L66" s="7"/>
      <c r="M66" s="7">
        <v>50.0</v>
      </c>
      <c r="N66" s="7"/>
      <c r="O66" s="7"/>
      <c r="P66" s="7">
        <v>60.0</v>
      </c>
      <c r="Q66" s="7"/>
      <c r="R66" s="28"/>
      <c r="S66" s="28">
        <v>80.0</v>
      </c>
      <c r="T66" s="28"/>
      <c r="U66" s="28">
        <v>80.0</v>
      </c>
      <c r="V66" s="28"/>
      <c r="W66" s="28">
        <v>80.0</v>
      </c>
      <c r="X66" s="28"/>
      <c r="Y66" s="28">
        <v>20.0</v>
      </c>
      <c r="Z66" s="28">
        <v>47.0</v>
      </c>
      <c r="AA66" s="28">
        <v>55.0</v>
      </c>
      <c r="AB66" s="28"/>
      <c r="AC66" s="28">
        <v>20.0</v>
      </c>
      <c r="AD66" s="27"/>
      <c r="AE66" s="28"/>
      <c r="AF66" s="28"/>
      <c r="AG66" s="28"/>
      <c r="AH66" s="27"/>
      <c r="AI66" s="27"/>
      <c r="AJ66" s="27"/>
      <c r="AK66" s="27"/>
      <c r="AL66" s="27"/>
      <c r="AM66" s="27"/>
      <c r="AN66" s="32"/>
      <c r="AO66" s="32"/>
      <c r="AP66" s="32"/>
    </row>
    <row r="67">
      <c r="A67" s="33"/>
      <c r="B67" s="33"/>
      <c r="C67" s="33"/>
      <c r="D67" s="33"/>
      <c r="E67" s="25"/>
      <c r="F67" s="25"/>
      <c r="G67" s="7"/>
      <c r="H67" s="7"/>
      <c r="I67" s="37"/>
      <c r="J67" s="37"/>
      <c r="K67" s="41"/>
      <c r="L67" s="36"/>
      <c r="M67" s="37"/>
      <c r="N67" s="36"/>
      <c r="O67" s="36"/>
      <c r="P67" s="41"/>
      <c r="Q67" s="36"/>
      <c r="R67" s="38"/>
      <c r="S67" s="6"/>
      <c r="T67" s="10"/>
      <c r="U67" s="6"/>
      <c r="V67" s="10"/>
      <c r="W67" s="6"/>
      <c r="X67" s="10"/>
      <c r="Y67" s="6"/>
      <c r="Z67" s="6"/>
      <c r="AA67" s="6"/>
      <c r="AB67" s="27"/>
      <c r="AC67" s="6"/>
      <c r="AD67" s="10"/>
      <c r="AE67" s="10"/>
      <c r="AF67" s="38"/>
      <c r="AG67" s="10"/>
      <c r="AH67" s="10"/>
      <c r="AI67" s="27"/>
      <c r="AJ67" s="10"/>
      <c r="AK67" s="10"/>
      <c r="AL67" s="10"/>
      <c r="AM67" s="10"/>
      <c r="AN67" s="39"/>
      <c r="AO67" s="237"/>
      <c r="AP67" s="237"/>
    </row>
    <row r="68">
      <c r="A68" s="24" t="s">
        <v>44</v>
      </c>
      <c r="B68" s="17"/>
      <c r="C68" s="17"/>
      <c r="D68" s="18"/>
      <c r="E68" s="25">
        <v>2.0</v>
      </c>
      <c r="F68" s="25" t="s">
        <v>21</v>
      </c>
      <c r="G68" s="7">
        <v>305.0</v>
      </c>
      <c r="H68" s="7" t="s">
        <v>22</v>
      </c>
      <c r="I68" s="26"/>
      <c r="J68" s="7"/>
      <c r="K68" s="7"/>
      <c r="L68" s="7">
        <v>240.0</v>
      </c>
      <c r="M68" s="7"/>
      <c r="N68" s="26"/>
      <c r="O68" s="7">
        <v>200.0</v>
      </c>
      <c r="P68" s="7"/>
      <c r="Q68" s="7"/>
      <c r="R68" s="27"/>
      <c r="S68" s="27"/>
      <c r="T68" s="28">
        <v>200.0</v>
      </c>
      <c r="U68" s="28"/>
      <c r="V68" s="28">
        <v>240.0</v>
      </c>
      <c r="W68" s="28"/>
      <c r="X68" s="28"/>
      <c r="Y68" s="28">
        <v>140.0</v>
      </c>
      <c r="Z68" s="27"/>
      <c r="AA68" s="28">
        <v>300.0</v>
      </c>
      <c r="AB68" s="27"/>
      <c r="AC68" s="27"/>
      <c r="AD68" s="28">
        <v>200.0</v>
      </c>
      <c r="AE68" s="28"/>
      <c r="AF68" s="28">
        <v>300.0</v>
      </c>
      <c r="AG68" s="27"/>
      <c r="AH68" s="28"/>
      <c r="AI68" s="27"/>
      <c r="AJ68" s="28">
        <v>220.0</v>
      </c>
      <c r="AK68" s="28"/>
      <c r="AL68" s="28">
        <v>300.0</v>
      </c>
      <c r="AM68" s="27"/>
      <c r="AN68" s="29">
        <f>G68+SUM(I68:AM68)-SUM(I69:AM69)</f>
        <v>843</v>
      </c>
      <c r="AO68" s="236">
        <f>ROUNDDOWN((AN68/E68)/$H$4,1)</f>
        <v>14</v>
      </c>
      <c r="AP68" s="236">
        <f>$M$5+AO68</f>
        <v>959</v>
      </c>
    </row>
    <row r="69">
      <c r="A69" s="31"/>
      <c r="B69" s="17"/>
      <c r="C69" s="17"/>
      <c r="D69" s="17"/>
      <c r="E69" s="17"/>
      <c r="F69" s="18"/>
      <c r="G69" s="26"/>
      <c r="H69" s="7" t="s">
        <v>23</v>
      </c>
      <c r="I69" s="7">
        <v>60.0</v>
      </c>
      <c r="J69" s="7">
        <v>60.0</v>
      </c>
      <c r="K69" s="7">
        <v>80.0</v>
      </c>
      <c r="L69" s="7">
        <v>78.0</v>
      </c>
      <c r="M69" s="7">
        <v>78.0</v>
      </c>
      <c r="N69" s="7">
        <v>30.0</v>
      </c>
      <c r="O69" s="7">
        <v>46.0</v>
      </c>
      <c r="P69" s="7">
        <v>62.0</v>
      </c>
      <c r="Q69" s="7">
        <v>60.0</v>
      </c>
      <c r="R69" s="28">
        <v>60.0</v>
      </c>
      <c r="S69" s="28">
        <v>70.0</v>
      </c>
      <c r="T69" s="28">
        <v>78.0</v>
      </c>
      <c r="U69" s="28"/>
      <c r="V69" s="28">
        <f>60+20</f>
        <v>80</v>
      </c>
      <c r="W69" s="28">
        <v>80.0</v>
      </c>
      <c r="X69" s="28">
        <v>60.0</v>
      </c>
      <c r="Y69" s="28">
        <f>60+16+8</f>
        <v>84</v>
      </c>
      <c r="Z69" s="28">
        <v>60.0</v>
      </c>
      <c r="AA69" s="28">
        <v>100.0</v>
      </c>
      <c r="AB69" s="28"/>
      <c r="AC69" s="28">
        <v>60.0</v>
      </c>
      <c r="AD69" s="28">
        <v>80.0</v>
      </c>
      <c r="AE69" s="28">
        <v>80.0</v>
      </c>
      <c r="AF69" s="28"/>
      <c r="AG69" s="28">
        <v>64.0</v>
      </c>
      <c r="AH69" s="28">
        <v>56.0</v>
      </c>
      <c r="AI69" s="28"/>
      <c r="AJ69" s="28">
        <v>60.0</v>
      </c>
      <c r="AK69" s="28">
        <v>60.0</v>
      </c>
      <c r="AL69" s="28">
        <v>60.0</v>
      </c>
      <c r="AM69" s="28">
        <v>56.0</v>
      </c>
      <c r="AN69" s="32"/>
      <c r="AO69" s="32"/>
      <c r="AP69" s="32"/>
    </row>
    <row r="70">
      <c r="A70" s="33"/>
      <c r="B70" s="33"/>
      <c r="C70" s="33"/>
      <c r="D70" s="33"/>
      <c r="E70" s="25"/>
      <c r="F70" s="25"/>
      <c r="G70" s="7"/>
      <c r="H70" s="7"/>
      <c r="I70" s="37"/>
      <c r="J70" s="37"/>
      <c r="K70" s="37"/>
      <c r="L70" s="37"/>
      <c r="M70" s="37"/>
      <c r="N70" s="37"/>
      <c r="O70" s="37"/>
      <c r="P70" s="37"/>
      <c r="Q70" s="37"/>
      <c r="R70" s="6"/>
      <c r="S70" s="6"/>
      <c r="T70" s="6"/>
      <c r="U70" s="27"/>
      <c r="V70" s="6"/>
      <c r="W70" s="6"/>
      <c r="X70" s="6"/>
      <c r="Y70" s="6"/>
      <c r="Z70" s="6"/>
      <c r="AA70" s="6"/>
      <c r="AB70" s="27"/>
      <c r="AC70" s="6"/>
      <c r="AD70" s="6"/>
      <c r="AE70" s="6"/>
      <c r="AF70" s="10"/>
      <c r="AG70" s="6"/>
      <c r="AH70" s="6"/>
      <c r="AI70" s="27"/>
      <c r="AJ70" s="6"/>
      <c r="AK70" s="6"/>
      <c r="AL70" s="6"/>
      <c r="AM70" s="6"/>
      <c r="AN70" s="39"/>
      <c r="AO70" s="237"/>
      <c r="AP70" s="237"/>
    </row>
    <row r="71">
      <c r="A71" s="238" t="s">
        <v>45</v>
      </c>
      <c r="B71" s="17"/>
      <c r="C71" s="17"/>
      <c r="D71" s="18"/>
      <c r="E71" s="25">
        <v>2.0</v>
      </c>
      <c r="F71" s="25" t="s">
        <v>46</v>
      </c>
      <c r="G71" s="7"/>
      <c r="H71" s="7" t="s">
        <v>22</v>
      </c>
      <c r="I71" s="26"/>
      <c r="J71" s="26"/>
      <c r="K71" s="26"/>
      <c r="L71" s="7">
        <v>1020.0</v>
      </c>
      <c r="M71" s="26"/>
      <c r="N71" s="26"/>
      <c r="O71" s="26"/>
      <c r="P71" s="26"/>
      <c r="Q71" s="26"/>
      <c r="R71" s="27"/>
      <c r="S71" s="27"/>
      <c r="T71" s="27"/>
      <c r="U71" s="27"/>
      <c r="V71" s="27"/>
      <c r="W71" s="27"/>
      <c r="X71" s="28"/>
      <c r="Y71" s="27"/>
      <c r="Z71" s="27"/>
      <c r="AA71" s="27"/>
      <c r="AB71" s="27"/>
      <c r="AC71" s="27"/>
      <c r="AD71" s="27"/>
      <c r="AE71" s="28">
        <v>1020.0</v>
      </c>
      <c r="AF71" s="27"/>
      <c r="AG71" s="27"/>
      <c r="AH71" s="28"/>
      <c r="AI71" s="27"/>
      <c r="AJ71" s="27"/>
      <c r="AK71" s="27"/>
      <c r="AL71" s="27"/>
      <c r="AM71" s="27"/>
      <c r="AN71" s="29">
        <f>G71+SUM(I71:AM71)-SUM(I72:AM72)</f>
        <v>398</v>
      </c>
      <c r="AO71" s="236">
        <f>ROUNDDOWN((AN71/E71)/$H$4,1)</f>
        <v>6.6</v>
      </c>
      <c r="AP71" s="236">
        <f>$M$5+AO71</f>
        <v>951.6</v>
      </c>
    </row>
    <row r="72">
      <c r="A72" s="31"/>
      <c r="B72" s="17"/>
      <c r="C72" s="17"/>
      <c r="D72" s="17"/>
      <c r="E72" s="17"/>
      <c r="F72" s="18"/>
      <c r="G72" s="26"/>
      <c r="H72" s="7" t="s">
        <v>23</v>
      </c>
      <c r="I72" s="7">
        <v>60.0</v>
      </c>
      <c r="J72" s="7">
        <v>60.0</v>
      </c>
      <c r="K72" s="7"/>
      <c r="L72" s="7">
        <v>78.0</v>
      </c>
      <c r="M72" s="7">
        <v>78.0</v>
      </c>
      <c r="N72" s="7">
        <v>30.0</v>
      </c>
      <c r="O72" s="7">
        <v>46.0</v>
      </c>
      <c r="P72" s="7">
        <v>62.0</v>
      </c>
      <c r="Q72" s="7">
        <v>60.0</v>
      </c>
      <c r="R72" s="28">
        <v>60.0</v>
      </c>
      <c r="S72" s="28">
        <v>70.0</v>
      </c>
      <c r="T72" s="28">
        <v>78.0</v>
      </c>
      <c r="U72" s="28"/>
      <c r="V72" s="28">
        <f>60+20</f>
        <v>80</v>
      </c>
      <c r="W72" s="28">
        <v>80.0</v>
      </c>
      <c r="X72" s="28">
        <v>60.0</v>
      </c>
      <c r="Y72" s="28">
        <f>60+16+8</f>
        <v>84</v>
      </c>
      <c r="Z72" s="28">
        <v>60.0</v>
      </c>
      <c r="AA72" s="28">
        <v>100.0</v>
      </c>
      <c r="AB72" s="28"/>
      <c r="AC72" s="28">
        <v>60.0</v>
      </c>
      <c r="AD72" s="28">
        <v>80.0</v>
      </c>
      <c r="AE72" s="28"/>
      <c r="AF72" s="28"/>
      <c r="AG72" s="28">
        <v>64.0</v>
      </c>
      <c r="AH72" s="28">
        <v>56.0</v>
      </c>
      <c r="AI72" s="28"/>
      <c r="AJ72" s="28">
        <v>60.0</v>
      </c>
      <c r="AK72" s="28">
        <v>60.0</v>
      </c>
      <c r="AL72" s="28">
        <v>60.0</v>
      </c>
      <c r="AM72" s="28">
        <v>56.0</v>
      </c>
      <c r="AN72" s="32"/>
      <c r="AO72" s="32"/>
      <c r="AP72" s="32"/>
    </row>
    <row r="73">
      <c r="A73" s="33"/>
      <c r="B73" s="33"/>
      <c r="C73" s="33"/>
      <c r="D73" s="33"/>
      <c r="E73" s="25"/>
      <c r="F73" s="25"/>
      <c r="G73" s="7"/>
      <c r="H73" s="7"/>
      <c r="I73" s="37"/>
      <c r="J73" s="37"/>
      <c r="K73" s="36"/>
      <c r="L73" s="37"/>
      <c r="M73" s="37"/>
      <c r="N73" s="37"/>
      <c r="O73" s="37"/>
      <c r="P73" s="37"/>
      <c r="Q73" s="37"/>
      <c r="R73" s="6"/>
      <c r="S73" s="6"/>
      <c r="T73" s="6"/>
      <c r="U73" s="27"/>
      <c r="V73" s="6"/>
      <c r="W73" s="6"/>
      <c r="X73" s="6"/>
      <c r="Y73" s="6"/>
      <c r="Z73" s="6"/>
      <c r="AA73" s="6"/>
      <c r="AB73" s="27"/>
      <c r="AC73" s="42"/>
      <c r="AD73" s="6"/>
      <c r="AE73" s="6"/>
      <c r="AF73" s="10"/>
      <c r="AG73" s="6"/>
      <c r="AH73" s="6"/>
      <c r="AI73" s="27"/>
      <c r="AJ73" s="6"/>
      <c r="AK73" s="6"/>
      <c r="AL73" s="6"/>
      <c r="AM73" s="6"/>
      <c r="AN73" s="39"/>
      <c r="AO73" s="237"/>
      <c r="AP73" s="237"/>
    </row>
    <row r="74">
      <c r="A74" s="24" t="s">
        <v>47</v>
      </c>
      <c r="B74" s="17"/>
      <c r="C74" s="17"/>
      <c r="D74" s="18"/>
      <c r="E74" s="25">
        <v>1.0</v>
      </c>
      <c r="F74" s="25" t="s">
        <v>21</v>
      </c>
      <c r="G74" s="7">
        <v>154.0</v>
      </c>
      <c r="H74" s="7" t="s">
        <v>22</v>
      </c>
      <c r="I74" s="26"/>
      <c r="J74" s="26"/>
      <c r="K74" s="7">
        <v>510.0</v>
      </c>
      <c r="L74" s="26"/>
      <c r="M74" s="7"/>
      <c r="N74" s="26"/>
      <c r="O74" s="26"/>
      <c r="P74" s="26"/>
      <c r="Q74" s="26"/>
      <c r="R74" s="27"/>
      <c r="S74" s="27"/>
      <c r="T74" s="28"/>
      <c r="U74" s="27"/>
      <c r="V74" s="27"/>
      <c r="W74" s="27"/>
      <c r="X74" s="28">
        <v>510.0</v>
      </c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9">
        <f>G74+SUM(I74:AM74)-SUM(I75:AM75)</f>
        <v>277</v>
      </c>
      <c r="AO74" s="236">
        <f>ROUNDDOWN((AN74/E74)/$H$4,1)</f>
        <v>9.2</v>
      </c>
      <c r="AP74" s="236">
        <f>$M$5+AO74</f>
        <v>954.2</v>
      </c>
    </row>
    <row r="75">
      <c r="A75" s="31"/>
      <c r="B75" s="17"/>
      <c r="C75" s="17"/>
      <c r="D75" s="17"/>
      <c r="E75" s="17"/>
      <c r="F75" s="18"/>
      <c r="G75" s="26"/>
      <c r="H75" s="7" t="s">
        <v>23</v>
      </c>
      <c r="I75" s="7">
        <v>30.0</v>
      </c>
      <c r="J75" s="7">
        <v>30.0</v>
      </c>
      <c r="K75" s="7">
        <v>40.0</v>
      </c>
      <c r="L75" s="7">
        <v>39.0</v>
      </c>
      <c r="M75" s="7">
        <v>39.0</v>
      </c>
      <c r="N75" s="7">
        <v>15.0</v>
      </c>
      <c r="O75" s="7">
        <v>23.0</v>
      </c>
      <c r="P75" s="7">
        <v>31.0</v>
      </c>
      <c r="Q75" s="7">
        <v>30.0</v>
      </c>
      <c r="R75" s="28">
        <v>30.0</v>
      </c>
      <c r="S75" s="28">
        <v>35.0</v>
      </c>
      <c r="T75" s="28">
        <v>39.0</v>
      </c>
      <c r="U75" s="28"/>
      <c r="V75" s="28">
        <f>30+10</f>
        <v>40</v>
      </c>
      <c r="W75" s="28">
        <v>40.0</v>
      </c>
      <c r="X75" s="28">
        <v>30.0</v>
      </c>
      <c r="Y75" s="28">
        <f>30+8</f>
        <v>38</v>
      </c>
      <c r="Z75" s="28">
        <v>30.0</v>
      </c>
      <c r="AA75" s="28">
        <v>50.0</v>
      </c>
      <c r="AB75" s="28"/>
      <c r="AC75" s="28">
        <v>30.0</v>
      </c>
      <c r="AD75" s="28">
        <v>40.0</v>
      </c>
      <c r="AE75" s="28">
        <v>40.0</v>
      </c>
      <c r="AF75" s="28"/>
      <c r="AG75" s="28">
        <v>32.0</v>
      </c>
      <c r="AH75" s="28">
        <v>28.0</v>
      </c>
      <c r="AI75" s="28"/>
      <c r="AJ75" s="28">
        <v>30.0</v>
      </c>
      <c r="AK75" s="28">
        <v>30.0</v>
      </c>
      <c r="AL75" s="28">
        <v>30.0</v>
      </c>
      <c r="AM75" s="28">
        <v>28.0</v>
      </c>
      <c r="AN75" s="32"/>
      <c r="AO75" s="32"/>
      <c r="AP75" s="32"/>
    </row>
    <row r="76">
      <c r="A76" s="33"/>
      <c r="B76" s="33"/>
      <c r="C76" s="33"/>
      <c r="D76" s="33"/>
      <c r="E76" s="25"/>
      <c r="F76" s="25"/>
      <c r="G76" s="7"/>
      <c r="H76" s="7"/>
      <c r="I76" s="37"/>
      <c r="J76" s="37"/>
      <c r="K76" s="41"/>
      <c r="L76" s="41"/>
      <c r="M76" s="37"/>
      <c r="N76" s="37"/>
      <c r="O76" s="37"/>
      <c r="P76" s="37"/>
      <c r="Q76" s="37"/>
      <c r="R76" s="6"/>
      <c r="S76" s="6"/>
      <c r="T76" s="6"/>
      <c r="U76" s="28"/>
      <c r="V76" s="6"/>
      <c r="W76" s="6"/>
      <c r="X76" s="6"/>
      <c r="Y76" s="6"/>
      <c r="Z76" s="42"/>
      <c r="AA76" s="42"/>
      <c r="AB76" s="27"/>
      <c r="AC76" s="6"/>
      <c r="AD76" s="42"/>
      <c r="AE76" s="6"/>
      <c r="AF76" s="10"/>
      <c r="AG76" s="6"/>
      <c r="AH76" s="6"/>
      <c r="AI76" s="27"/>
      <c r="AJ76" s="6"/>
      <c r="AK76" s="6"/>
      <c r="AL76" s="6"/>
      <c r="AM76" s="6"/>
      <c r="AN76" s="39"/>
      <c r="AO76" s="237"/>
      <c r="AP76" s="237"/>
    </row>
    <row r="77">
      <c r="A77" s="24" t="s">
        <v>48</v>
      </c>
      <c r="B77" s="17"/>
      <c r="C77" s="17"/>
      <c r="D77" s="18"/>
      <c r="E77" s="25">
        <v>2.0</v>
      </c>
      <c r="F77" s="25" t="s">
        <v>21</v>
      </c>
      <c r="G77" s="7">
        <v>370.0</v>
      </c>
      <c r="H77" s="7" t="s">
        <v>22</v>
      </c>
      <c r="I77" s="7"/>
      <c r="J77" s="7"/>
      <c r="K77" s="7"/>
      <c r="L77" s="7">
        <v>180.0</v>
      </c>
      <c r="M77" s="7">
        <v>120.0</v>
      </c>
      <c r="N77" s="7"/>
      <c r="O77" s="7">
        <v>180.0</v>
      </c>
      <c r="P77" s="7">
        <v>60.0</v>
      </c>
      <c r="Q77" s="7"/>
      <c r="R77" s="28"/>
      <c r="S77" s="28">
        <v>60.0</v>
      </c>
      <c r="T77" s="28"/>
      <c r="U77" s="28"/>
      <c r="V77" s="28">
        <v>120.0</v>
      </c>
      <c r="W77" s="28">
        <v>60.0</v>
      </c>
      <c r="X77" s="28">
        <v>180.0</v>
      </c>
      <c r="Y77" s="28">
        <v>60.0</v>
      </c>
      <c r="Z77" s="28">
        <v>60.0</v>
      </c>
      <c r="AA77" s="28"/>
      <c r="AB77" s="28"/>
      <c r="AC77" s="28">
        <v>120.0</v>
      </c>
      <c r="AD77" s="28">
        <v>240.0</v>
      </c>
      <c r="AE77" s="28"/>
      <c r="AF77" s="28">
        <v>120.0</v>
      </c>
      <c r="AG77" s="27"/>
      <c r="AH77" s="28">
        <v>120.0</v>
      </c>
      <c r="AI77" s="28"/>
      <c r="AJ77" s="28">
        <v>120.0</v>
      </c>
      <c r="AK77" s="28">
        <v>60.0</v>
      </c>
      <c r="AL77" s="28"/>
      <c r="AM77" s="28">
        <v>180.0</v>
      </c>
      <c r="AN77" s="29">
        <f>G77+SUM(I77:AM77)-SUM(I78:AM78)</f>
        <v>604</v>
      </c>
      <c r="AO77" s="236">
        <f>ROUNDDOWN((AN77/E77)/$H$4,1)</f>
        <v>10</v>
      </c>
      <c r="AP77" s="236">
        <f>$M$3+AO77</f>
        <v>955</v>
      </c>
    </row>
    <row r="78">
      <c r="A78" s="31"/>
      <c r="B78" s="17"/>
      <c r="C78" s="17"/>
      <c r="D78" s="17"/>
      <c r="E78" s="17"/>
      <c r="F78" s="18"/>
      <c r="G78" s="26"/>
      <c r="H78" s="7" t="s">
        <v>23</v>
      </c>
      <c r="I78" s="7">
        <f>40+30</f>
        <v>70</v>
      </c>
      <c r="J78" s="7">
        <f>60+20+12</f>
        <v>92</v>
      </c>
      <c r="K78" s="7">
        <f>36+12</f>
        <v>48</v>
      </c>
      <c r="L78" s="7">
        <f>30+30</f>
        <v>60</v>
      </c>
      <c r="M78" s="7">
        <f>70+10</f>
        <v>80</v>
      </c>
      <c r="N78" s="7">
        <v>30.0</v>
      </c>
      <c r="O78" s="7">
        <v>30.0</v>
      </c>
      <c r="P78" s="7">
        <v>70.0</v>
      </c>
      <c r="Q78" s="7">
        <v>60.0</v>
      </c>
      <c r="R78" s="28">
        <v>60.0</v>
      </c>
      <c r="S78" s="28">
        <f>70+20</f>
        <v>90</v>
      </c>
      <c r="T78" s="28">
        <v>60.0</v>
      </c>
      <c r="U78" s="27"/>
      <c r="V78" s="28">
        <v>80.0</v>
      </c>
      <c r="W78" s="28">
        <v>80.0</v>
      </c>
      <c r="X78" s="28">
        <v>60.0</v>
      </c>
      <c r="Y78" s="28">
        <f>66+14</f>
        <v>80</v>
      </c>
      <c r="Z78" s="28">
        <v>60.0</v>
      </c>
      <c r="AA78" s="28">
        <f>60+20+10</f>
        <v>90</v>
      </c>
      <c r="AB78" s="28"/>
      <c r="AC78" s="28">
        <f t="shared" ref="AC78:AE78" si="1">60+20</f>
        <v>80</v>
      </c>
      <c r="AD78" s="27">
        <f t="shared" si="1"/>
        <v>80</v>
      </c>
      <c r="AE78" s="28">
        <f t="shared" si="1"/>
        <v>80</v>
      </c>
      <c r="AF78" s="28"/>
      <c r="AG78" s="28">
        <v>60.0</v>
      </c>
      <c r="AH78" s="28">
        <v>60.0</v>
      </c>
      <c r="AI78" s="27"/>
      <c r="AJ78" s="28">
        <v>60.0</v>
      </c>
      <c r="AK78" s="28">
        <v>60.0</v>
      </c>
      <c r="AL78" s="28">
        <v>66.0</v>
      </c>
      <c r="AM78" s="28">
        <f>52+8</f>
        <v>60</v>
      </c>
      <c r="AN78" s="32"/>
      <c r="AO78" s="32"/>
      <c r="AP78" s="32"/>
    </row>
    <row r="79">
      <c r="A79" s="33"/>
      <c r="B79" s="33"/>
      <c r="C79" s="33"/>
      <c r="D79" s="33"/>
      <c r="E79" s="25"/>
      <c r="F79" s="25"/>
      <c r="G79" s="7"/>
      <c r="H79" s="7"/>
      <c r="I79" s="37"/>
      <c r="J79" s="37"/>
      <c r="K79" s="41"/>
      <c r="L79" s="41"/>
      <c r="M79" s="37"/>
      <c r="N79" s="37"/>
      <c r="O79" s="37"/>
      <c r="P79" s="37"/>
      <c r="Q79" s="37"/>
      <c r="R79" s="6"/>
      <c r="S79" s="6"/>
      <c r="T79" s="6"/>
      <c r="U79" s="28"/>
      <c r="V79" s="6"/>
      <c r="W79" s="6"/>
      <c r="X79" s="6"/>
      <c r="Y79" s="6"/>
      <c r="Z79" s="42"/>
      <c r="AA79" s="42"/>
      <c r="AB79" s="27"/>
      <c r="AC79" s="6"/>
      <c r="AD79" s="42"/>
      <c r="AE79" s="42"/>
      <c r="AF79" s="10"/>
      <c r="AG79" s="6"/>
      <c r="AH79" s="6"/>
      <c r="AI79" s="27"/>
      <c r="AJ79" s="6"/>
      <c r="AK79" s="6"/>
      <c r="AL79" s="6"/>
      <c r="AM79" s="6"/>
      <c r="AN79" s="39"/>
      <c r="AO79" s="237"/>
      <c r="AP79" s="237"/>
    </row>
    <row r="80">
      <c r="A80" s="24" t="s">
        <v>49</v>
      </c>
      <c r="B80" s="17"/>
      <c r="C80" s="17"/>
      <c r="D80" s="18"/>
      <c r="E80" s="25">
        <v>3.0</v>
      </c>
      <c r="F80" s="25" t="s">
        <v>21</v>
      </c>
      <c r="G80" s="7">
        <v>645.0</v>
      </c>
      <c r="H80" s="7" t="s">
        <v>22</v>
      </c>
      <c r="I80" s="7"/>
      <c r="J80" s="7"/>
      <c r="K80" s="7"/>
      <c r="L80" s="7">
        <v>270.0</v>
      </c>
      <c r="M80" s="7">
        <v>180.0</v>
      </c>
      <c r="N80" s="7"/>
      <c r="O80" s="7">
        <v>270.0</v>
      </c>
      <c r="P80" s="7">
        <v>90.0</v>
      </c>
      <c r="Q80" s="7"/>
      <c r="R80" s="28"/>
      <c r="S80" s="28">
        <v>90.0</v>
      </c>
      <c r="T80" s="28"/>
      <c r="U80" s="28"/>
      <c r="V80" s="28">
        <v>180.0</v>
      </c>
      <c r="W80" s="28">
        <v>90.0</v>
      </c>
      <c r="X80" s="28">
        <v>270.0</v>
      </c>
      <c r="Y80" s="28">
        <v>90.0</v>
      </c>
      <c r="Z80" s="28">
        <v>90.0</v>
      </c>
      <c r="AA80" s="28"/>
      <c r="AB80" s="28"/>
      <c r="AC80" s="28">
        <v>180.0</v>
      </c>
      <c r="AD80" s="28">
        <v>360.0</v>
      </c>
      <c r="AE80" s="28"/>
      <c r="AF80" s="28">
        <v>180.0</v>
      </c>
      <c r="AG80" s="27"/>
      <c r="AH80" s="28">
        <v>180.0</v>
      </c>
      <c r="AI80" s="28"/>
      <c r="AJ80" s="28">
        <v>180.0</v>
      </c>
      <c r="AK80" s="28">
        <v>90.0</v>
      </c>
      <c r="AL80" s="28"/>
      <c r="AM80" s="28">
        <v>270.0</v>
      </c>
      <c r="AN80" s="29">
        <f>G80+SUM(I80:AM80)-SUM(I81:AM81)</f>
        <v>996</v>
      </c>
      <c r="AO80" s="236">
        <f>ROUNDDOWN((AN80/E80)/$H$4,1)</f>
        <v>11</v>
      </c>
      <c r="AP80" s="236">
        <f>$M$3+AO80</f>
        <v>956</v>
      </c>
    </row>
    <row r="81">
      <c r="A81" s="56"/>
      <c r="B81" s="56"/>
      <c r="C81" s="56"/>
      <c r="D81" s="56"/>
      <c r="E81" s="57"/>
      <c r="F81" s="57"/>
      <c r="G81" s="26"/>
      <c r="H81" s="7" t="s">
        <v>23</v>
      </c>
      <c r="I81" s="7">
        <f>60+45</f>
        <v>105</v>
      </c>
      <c r="J81" s="7">
        <f>90+30+18</f>
        <v>138</v>
      </c>
      <c r="K81" s="7">
        <f>54+18</f>
        <v>72</v>
      </c>
      <c r="L81" s="7">
        <f>45+45</f>
        <v>90</v>
      </c>
      <c r="M81" s="7">
        <f>105+15</f>
        <v>120</v>
      </c>
      <c r="N81" s="7">
        <v>45.0</v>
      </c>
      <c r="O81" s="7">
        <v>45.0</v>
      </c>
      <c r="P81" s="7">
        <v>105.0</v>
      </c>
      <c r="Q81" s="7">
        <v>90.0</v>
      </c>
      <c r="R81" s="28">
        <v>90.0</v>
      </c>
      <c r="S81" s="28">
        <f>105+30</f>
        <v>135</v>
      </c>
      <c r="T81" s="28">
        <v>90.0</v>
      </c>
      <c r="U81" s="27"/>
      <c r="V81" s="28">
        <v>120.0</v>
      </c>
      <c r="W81" s="28">
        <v>120.0</v>
      </c>
      <c r="X81" s="28">
        <v>90.0</v>
      </c>
      <c r="Y81" s="28">
        <f>99+21</f>
        <v>120</v>
      </c>
      <c r="Z81" s="28">
        <v>90.0</v>
      </c>
      <c r="AA81" s="28">
        <f>90+30+15</f>
        <v>135</v>
      </c>
      <c r="AB81" s="28"/>
      <c r="AC81" s="28">
        <f t="shared" ref="AC81:AE81" si="2">90+30</f>
        <v>120</v>
      </c>
      <c r="AD81" s="28">
        <f t="shared" si="2"/>
        <v>120</v>
      </c>
      <c r="AE81" s="28">
        <f t="shared" si="2"/>
        <v>120</v>
      </c>
      <c r="AF81" s="28"/>
      <c r="AG81" s="28">
        <v>90.0</v>
      </c>
      <c r="AH81" s="28">
        <v>90.0</v>
      </c>
      <c r="AI81" s="27"/>
      <c r="AJ81" s="28">
        <v>90.0</v>
      </c>
      <c r="AK81" s="28">
        <v>90.0</v>
      </c>
      <c r="AL81" s="28">
        <v>99.0</v>
      </c>
      <c r="AM81" s="28">
        <f>78+12</f>
        <v>90</v>
      </c>
      <c r="AN81" s="32"/>
      <c r="AO81" s="32"/>
      <c r="AP81" s="32"/>
    </row>
    <row r="82">
      <c r="A82" s="58"/>
      <c r="B82" s="58"/>
      <c r="C82" s="58"/>
      <c r="D82" s="58"/>
      <c r="E82" s="58"/>
      <c r="F82" s="58"/>
      <c r="G82" s="59"/>
      <c r="H82" s="59"/>
      <c r="I82" s="60"/>
      <c r="J82" s="60"/>
      <c r="K82" s="60"/>
      <c r="L82" s="60"/>
      <c r="M82" s="60"/>
      <c r="N82" s="60"/>
      <c r="O82" s="60"/>
      <c r="P82" s="60"/>
      <c r="Q82" s="60"/>
      <c r="R82" s="61"/>
      <c r="S82" s="61"/>
      <c r="T82" s="61"/>
      <c r="U82" s="239"/>
      <c r="V82" s="61"/>
      <c r="W82" s="240"/>
      <c r="X82" s="61"/>
      <c r="Y82" s="61"/>
      <c r="Z82" s="61"/>
      <c r="AA82" s="61"/>
      <c r="AB82" s="239"/>
      <c r="AC82" s="61"/>
      <c r="AD82" s="61"/>
      <c r="AE82" s="61"/>
      <c r="AF82" s="62"/>
      <c r="AG82" s="61"/>
      <c r="AH82" s="61"/>
      <c r="AI82" s="239"/>
      <c r="AJ82" s="61"/>
      <c r="AK82" s="61"/>
      <c r="AL82" s="61"/>
      <c r="AM82" s="61"/>
      <c r="AN82" s="63"/>
      <c r="AO82" s="63"/>
      <c r="AP82" s="63"/>
    </row>
    <row r="83">
      <c r="A83" s="16" t="s">
        <v>50</v>
      </c>
      <c r="B83" s="17"/>
      <c r="C83" s="17"/>
      <c r="D83" s="17"/>
      <c r="E83" s="17"/>
      <c r="F83" s="18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</row>
    <row r="84">
      <c r="A84" s="24" t="s">
        <v>51</v>
      </c>
      <c r="B84" s="17"/>
      <c r="C84" s="17"/>
      <c r="D84" s="18"/>
      <c r="E84" s="25">
        <v>1.0</v>
      </c>
      <c r="F84" s="25" t="s">
        <v>21</v>
      </c>
      <c r="G84" s="7">
        <v>750.0</v>
      </c>
      <c r="H84" s="7" t="s">
        <v>22</v>
      </c>
      <c r="I84" s="26"/>
      <c r="J84" s="7"/>
      <c r="K84" s="26"/>
      <c r="L84" s="26"/>
      <c r="M84" s="26"/>
      <c r="N84" s="26"/>
      <c r="O84" s="7"/>
      <c r="P84" s="7">
        <v>100.0</v>
      </c>
      <c r="Q84" s="7"/>
      <c r="R84" s="28">
        <v>140.0</v>
      </c>
      <c r="S84" s="27"/>
      <c r="T84" s="27"/>
      <c r="U84" s="27"/>
      <c r="V84" s="27"/>
      <c r="W84" s="27"/>
      <c r="X84" s="28">
        <v>270.0</v>
      </c>
      <c r="Y84" s="27"/>
      <c r="Z84" s="28"/>
      <c r="AA84" s="28"/>
      <c r="AB84" s="27"/>
      <c r="AC84" s="27"/>
      <c r="AD84" s="27"/>
      <c r="AE84" s="28"/>
      <c r="AF84" s="27"/>
      <c r="AG84" s="28">
        <f>120+120+30</f>
        <v>270</v>
      </c>
      <c r="AH84" s="28"/>
      <c r="AI84" s="27"/>
      <c r="AJ84" s="28">
        <v>510.0</v>
      </c>
      <c r="AK84" s="27"/>
      <c r="AL84" s="27"/>
      <c r="AM84" s="27"/>
      <c r="AN84" s="29">
        <f>G84+SUM(I84:AM84)-SUM(I85:AM85)</f>
        <v>1170</v>
      </c>
      <c r="AO84" s="236">
        <f>ROUNDDOWN((AN84/E84)/$H$4,1)</f>
        <v>39</v>
      </c>
      <c r="AP84" s="236">
        <f>$M$3+AO84</f>
        <v>984</v>
      </c>
    </row>
    <row r="85">
      <c r="A85" s="31"/>
      <c r="B85" s="17"/>
      <c r="C85" s="17"/>
      <c r="D85" s="17"/>
      <c r="E85" s="17"/>
      <c r="F85" s="18"/>
      <c r="G85" s="26"/>
      <c r="H85" s="7" t="s">
        <v>23</v>
      </c>
      <c r="I85" s="7">
        <f>35+5</f>
        <v>40</v>
      </c>
      <c r="J85" s="7">
        <v>40.0</v>
      </c>
      <c r="K85" s="7">
        <v>24.0</v>
      </c>
      <c r="L85" s="7">
        <f>32+1</f>
        <v>33</v>
      </c>
      <c r="M85" s="7">
        <v>36.0</v>
      </c>
      <c r="N85" s="7">
        <v>15.0</v>
      </c>
      <c r="O85" s="7">
        <v>20.0</v>
      </c>
      <c r="P85" s="7">
        <f>35+1</f>
        <v>36</v>
      </c>
      <c r="Q85" s="7">
        <v>30.0</v>
      </c>
      <c r="R85" s="28">
        <v>30.0</v>
      </c>
      <c r="S85" s="28">
        <f>35+10</f>
        <v>45</v>
      </c>
      <c r="T85" s="28"/>
      <c r="U85" s="28"/>
      <c r="V85" s="28">
        <f>30+10</f>
        <v>40</v>
      </c>
      <c r="W85" s="28">
        <v>40.0</v>
      </c>
      <c r="X85" s="28">
        <v>33.0</v>
      </c>
      <c r="Y85" s="28">
        <f>37+1</f>
        <v>38</v>
      </c>
      <c r="Z85" s="28">
        <f>30+6</f>
        <v>36</v>
      </c>
      <c r="AA85" s="28">
        <v>39.0</v>
      </c>
      <c r="AB85" s="28"/>
      <c r="AC85" s="28">
        <v>40.0</v>
      </c>
      <c r="AD85" s="28">
        <v>40.0</v>
      </c>
      <c r="AE85" s="28">
        <v>35.0</v>
      </c>
      <c r="AF85" s="28"/>
      <c r="AG85" s="28">
        <v>30.0</v>
      </c>
      <c r="AH85" s="28">
        <v>30.0</v>
      </c>
      <c r="AI85" s="28"/>
      <c r="AJ85" s="28">
        <v>30.0</v>
      </c>
      <c r="AK85" s="28">
        <v>30.0</v>
      </c>
      <c r="AL85" s="28">
        <v>30.0</v>
      </c>
      <c r="AM85" s="28">
        <v>30.0</v>
      </c>
      <c r="AN85" s="32"/>
      <c r="AO85" s="32"/>
      <c r="AP85" s="32"/>
    </row>
    <row r="86">
      <c r="A86" s="33"/>
      <c r="B86" s="33"/>
      <c r="C86" s="33"/>
      <c r="D86" s="33"/>
      <c r="E86" s="25"/>
      <c r="F86" s="25"/>
      <c r="G86" s="7"/>
      <c r="H86" s="7"/>
      <c r="I86" s="37"/>
      <c r="J86" s="37"/>
      <c r="K86" s="37"/>
      <c r="L86" s="37"/>
      <c r="M86" s="37"/>
      <c r="N86" s="37"/>
      <c r="O86" s="37"/>
      <c r="P86" s="37"/>
      <c r="Q86" s="37"/>
      <c r="R86" s="6"/>
      <c r="S86" s="6"/>
      <c r="T86" s="10"/>
      <c r="U86" s="27"/>
      <c r="V86" s="6"/>
      <c r="W86" s="6"/>
      <c r="X86" s="6"/>
      <c r="Y86" s="6"/>
      <c r="Z86" s="6"/>
      <c r="AA86" s="6"/>
      <c r="AB86" s="27"/>
      <c r="AC86" s="6"/>
      <c r="AD86" s="6"/>
      <c r="AE86" s="6"/>
      <c r="AF86" s="10"/>
      <c r="AG86" s="6"/>
      <c r="AH86" s="6"/>
      <c r="AI86" s="27"/>
      <c r="AJ86" s="6"/>
      <c r="AK86" s="6"/>
      <c r="AL86" s="6"/>
      <c r="AM86" s="6"/>
      <c r="AN86" s="39"/>
      <c r="AO86" s="237"/>
      <c r="AP86" s="237"/>
    </row>
    <row r="87">
      <c r="A87" s="24" t="s">
        <v>52</v>
      </c>
      <c r="B87" s="17"/>
      <c r="C87" s="17"/>
      <c r="D87" s="18"/>
      <c r="E87" s="25">
        <v>1.0</v>
      </c>
      <c r="F87" s="25" t="s">
        <v>21</v>
      </c>
      <c r="G87" s="7">
        <v>730.0</v>
      </c>
      <c r="H87" s="7" t="s">
        <v>22</v>
      </c>
      <c r="I87" s="26"/>
      <c r="J87" s="26"/>
      <c r="K87" s="7"/>
      <c r="L87" s="26"/>
      <c r="M87" s="26"/>
      <c r="N87" s="7"/>
      <c r="O87" s="26"/>
      <c r="P87" s="7">
        <v>180.0</v>
      </c>
      <c r="Q87" s="26"/>
      <c r="R87" s="28"/>
      <c r="S87" s="27"/>
      <c r="T87" s="28">
        <v>180.0</v>
      </c>
      <c r="U87" s="28"/>
      <c r="V87" s="27"/>
      <c r="W87" s="27"/>
      <c r="X87" s="27"/>
      <c r="Y87" s="28">
        <v>150.0</v>
      </c>
      <c r="Z87" s="27"/>
      <c r="AA87" s="28"/>
      <c r="AB87" s="27"/>
      <c r="AC87" s="27"/>
      <c r="AD87" s="28"/>
      <c r="AE87" s="27"/>
      <c r="AF87" s="27"/>
      <c r="AG87" s="28">
        <f>150+30</f>
        <v>180</v>
      </c>
      <c r="AH87" s="27"/>
      <c r="AI87" s="28"/>
      <c r="AJ87" s="27"/>
      <c r="AK87" s="27"/>
      <c r="AL87" s="28">
        <v>60.0</v>
      </c>
      <c r="AM87" s="28"/>
      <c r="AN87" s="29">
        <f>G87+SUM(I87:AM87)-SUM(I88:AM88)</f>
        <v>597</v>
      </c>
      <c r="AO87" s="236">
        <f>ROUNDDOWN((AN87/E87)/$H$4,1)</f>
        <v>19.9</v>
      </c>
      <c r="AP87" s="236">
        <f>$M$3+AO87</f>
        <v>964.9</v>
      </c>
    </row>
    <row r="88">
      <c r="A88" s="31"/>
      <c r="B88" s="17"/>
      <c r="C88" s="17"/>
      <c r="D88" s="17"/>
      <c r="E88" s="17"/>
      <c r="F88" s="18"/>
      <c r="G88" s="26"/>
      <c r="H88" s="7" t="s">
        <v>23</v>
      </c>
      <c r="I88" s="7">
        <f>20+15</f>
        <v>35</v>
      </c>
      <c r="J88" s="7">
        <f>30+10+6</f>
        <v>46</v>
      </c>
      <c r="K88" s="7">
        <f>18+6</f>
        <v>24</v>
      </c>
      <c r="L88" s="7">
        <f>15+15</f>
        <v>30</v>
      </c>
      <c r="M88" s="7">
        <f>35+5</f>
        <v>40</v>
      </c>
      <c r="N88" s="7">
        <v>15.0</v>
      </c>
      <c r="O88" s="7">
        <f>15+10</f>
        <v>25</v>
      </c>
      <c r="P88" s="7">
        <v>35.0</v>
      </c>
      <c r="Q88" s="7">
        <v>30.0</v>
      </c>
      <c r="R88" s="28">
        <v>30.0</v>
      </c>
      <c r="S88" s="28">
        <f>35+10</f>
        <v>45</v>
      </c>
      <c r="T88" s="28">
        <v>30.0</v>
      </c>
      <c r="U88" s="27"/>
      <c r="V88" s="28">
        <v>40.0</v>
      </c>
      <c r="W88" s="28">
        <v>40.0</v>
      </c>
      <c r="X88" s="28">
        <v>30.0</v>
      </c>
      <c r="Y88" s="28">
        <f>33+7</f>
        <v>40</v>
      </c>
      <c r="Z88" s="28"/>
      <c r="AA88" s="27">
        <f>30+10+5</f>
        <v>45</v>
      </c>
      <c r="AB88" s="28"/>
      <c r="AC88" s="28">
        <f t="shared" ref="AC88:AE88" si="3">30+10</f>
        <v>40</v>
      </c>
      <c r="AD88" s="27">
        <f t="shared" si="3"/>
        <v>40</v>
      </c>
      <c r="AE88" s="28">
        <f t="shared" si="3"/>
        <v>40</v>
      </c>
      <c r="AF88" s="28"/>
      <c r="AG88" s="28">
        <v>30.0</v>
      </c>
      <c r="AH88" s="28">
        <v>30.0</v>
      </c>
      <c r="AI88" s="27"/>
      <c r="AJ88" s="28">
        <v>30.0</v>
      </c>
      <c r="AK88" s="28">
        <v>30.0</v>
      </c>
      <c r="AL88" s="28">
        <v>33.0</v>
      </c>
      <c r="AM88" s="28">
        <f>26+4</f>
        <v>30</v>
      </c>
      <c r="AN88" s="32"/>
      <c r="AO88" s="32"/>
      <c r="AP88" s="32"/>
    </row>
    <row r="89">
      <c r="A89" s="33"/>
      <c r="B89" s="33"/>
      <c r="C89" s="33"/>
      <c r="D89" s="33"/>
      <c r="E89" s="25"/>
      <c r="F89" s="25"/>
      <c r="G89" s="7"/>
      <c r="H89" s="7"/>
      <c r="I89" s="37"/>
      <c r="J89" s="37"/>
      <c r="K89" s="37"/>
      <c r="L89" s="37"/>
      <c r="M89" s="41"/>
      <c r="N89" s="37"/>
      <c r="O89" s="37"/>
      <c r="P89" s="37"/>
      <c r="Q89" s="37"/>
      <c r="R89" s="6"/>
      <c r="S89" s="6"/>
      <c r="T89" s="38"/>
      <c r="U89" s="27"/>
      <c r="V89" s="6"/>
      <c r="W89" s="6"/>
      <c r="X89" s="6"/>
      <c r="Y89" s="6"/>
      <c r="Z89" s="10"/>
      <c r="AA89" s="6"/>
      <c r="AB89" s="27"/>
      <c r="AC89" s="6"/>
      <c r="AD89" s="6"/>
      <c r="AE89" s="6"/>
      <c r="AF89" s="10"/>
      <c r="AG89" s="6"/>
      <c r="AH89" s="42"/>
      <c r="AI89" s="27"/>
      <c r="AJ89" s="6"/>
      <c r="AK89" s="6"/>
      <c r="AL89" s="6"/>
      <c r="AM89" s="6"/>
      <c r="AN89" s="39"/>
      <c r="AO89" s="237"/>
      <c r="AP89" s="237"/>
    </row>
    <row r="90">
      <c r="A90" s="24" t="s">
        <v>53</v>
      </c>
      <c r="B90" s="17"/>
      <c r="C90" s="17"/>
      <c r="D90" s="18"/>
      <c r="E90" s="25">
        <v>1.0</v>
      </c>
      <c r="F90" s="25" t="s">
        <v>30</v>
      </c>
      <c r="G90" s="7">
        <v>376.0</v>
      </c>
      <c r="H90" s="7" t="s">
        <v>22</v>
      </c>
      <c r="I90" s="7"/>
      <c r="J90" s="26"/>
      <c r="K90" s="7"/>
      <c r="L90" s="26"/>
      <c r="M90" s="7"/>
      <c r="N90" s="7"/>
      <c r="O90" s="26"/>
      <c r="P90" s="7">
        <v>90.0</v>
      </c>
      <c r="Q90" s="26"/>
      <c r="R90" s="28"/>
      <c r="S90" s="28"/>
      <c r="T90" s="28"/>
      <c r="U90" s="28"/>
      <c r="V90" s="28">
        <v>30.0</v>
      </c>
      <c r="W90" s="28">
        <v>30.0</v>
      </c>
      <c r="X90" s="28">
        <v>30.0</v>
      </c>
      <c r="Y90" s="28">
        <v>30.0</v>
      </c>
      <c r="Z90" s="28">
        <v>60.0</v>
      </c>
      <c r="AA90" s="28"/>
      <c r="AB90" s="28"/>
      <c r="AC90" s="28">
        <v>60.0</v>
      </c>
      <c r="AD90" s="28">
        <v>120.0</v>
      </c>
      <c r="AE90" s="27"/>
      <c r="AF90" s="28"/>
      <c r="AG90" s="27"/>
      <c r="AH90" s="28"/>
      <c r="AI90" s="28"/>
      <c r="AJ90" s="28">
        <v>60.0</v>
      </c>
      <c r="AK90" s="28">
        <f>60</f>
        <v>60</v>
      </c>
      <c r="AL90" s="28"/>
      <c r="AM90" s="28">
        <v>60.0</v>
      </c>
      <c r="AN90" s="29">
        <f>G90+SUM(I90:AM90)-SUM(I91:AM91)</f>
        <v>99</v>
      </c>
      <c r="AO90" s="236">
        <f>ROUNDDOWN((AN90/E90)/$H$4,1)</f>
        <v>3.3</v>
      </c>
      <c r="AP90" s="236">
        <f>$M$3+AO90</f>
        <v>948.3</v>
      </c>
    </row>
    <row r="91">
      <c r="A91" s="56"/>
      <c r="B91" s="56"/>
      <c r="C91" s="56"/>
      <c r="D91" s="56"/>
      <c r="E91" s="57"/>
      <c r="F91" s="57"/>
      <c r="G91" s="26"/>
      <c r="H91" s="7" t="s">
        <v>23</v>
      </c>
      <c r="I91" s="7">
        <f>35+5</f>
        <v>40</v>
      </c>
      <c r="J91" s="7">
        <v>40.0</v>
      </c>
      <c r="K91" s="7">
        <v>24.0</v>
      </c>
      <c r="L91" s="7">
        <v>32.0</v>
      </c>
      <c r="M91" s="7">
        <v>36.0</v>
      </c>
      <c r="N91" s="7">
        <v>15.0</v>
      </c>
      <c r="O91" s="7">
        <v>20.0</v>
      </c>
      <c r="P91" s="7">
        <v>35.0</v>
      </c>
      <c r="Q91" s="7">
        <v>30.0</v>
      </c>
      <c r="R91" s="28">
        <v>30.0</v>
      </c>
      <c r="S91" s="28">
        <f>35+10</f>
        <v>45</v>
      </c>
      <c r="T91" s="28">
        <f>30+10</f>
        <v>40</v>
      </c>
      <c r="U91" s="28"/>
      <c r="V91" s="28">
        <f>30+10</f>
        <v>40</v>
      </c>
      <c r="W91" s="28">
        <v>40.0</v>
      </c>
      <c r="X91" s="28">
        <v>33.0</v>
      </c>
      <c r="Y91" s="28">
        <v>37.0</v>
      </c>
      <c r="Z91" s="28">
        <f>30+6</f>
        <v>36</v>
      </c>
      <c r="AA91" s="28">
        <v>39.0</v>
      </c>
      <c r="AB91" s="28"/>
      <c r="AC91" s="28">
        <v>40.0</v>
      </c>
      <c r="AD91" s="28">
        <v>40.0</v>
      </c>
      <c r="AE91" s="28">
        <v>35.0</v>
      </c>
      <c r="AF91" s="28"/>
      <c r="AG91" s="28">
        <v>30.0</v>
      </c>
      <c r="AH91" s="28">
        <v>30.0</v>
      </c>
      <c r="AI91" s="28"/>
      <c r="AJ91" s="28">
        <v>30.0</v>
      </c>
      <c r="AK91" s="28">
        <v>30.0</v>
      </c>
      <c r="AL91" s="28">
        <v>30.0</v>
      </c>
      <c r="AM91" s="28">
        <v>30.0</v>
      </c>
      <c r="AN91" s="32"/>
      <c r="AO91" s="32"/>
      <c r="AP91" s="32"/>
    </row>
    <row r="92">
      <c r="A92" s="58"/>
      <c r="B92" s="58"/>
      <c r="C92" s="58"/>
      <c r="D92" s="58"/>
      <c r="E92" s="58"/>
      <c r="F92" s="58"/>
      <c r="G92" s="68"/>
      <c r="H92" s="48"/>
      <c r="I92" s="6"/>
      <c r="J92" s="6"/>
      <c r="K92" s="6"/>
      <c r="L92" s="37"/>
      <c r="M92" s="6"/>
      <c r="N92" s="6"/>
      <c r="O92" s="6"/>
      <c r="P92" s="6"/>
      <c r="Q92" s="6"/>
      <c r="R92" s="6"/>
      <c r="S92" s="6"/>
      <c r="T92" s="6"/>
      <c r="U92" s="27"/>
      <c r="V92" s="6"/>
      <c r="W92" s="6"/>
      <c r="X92" s="6"/>
      <c r="Y92" s="6"/>
      <c r="Z92" s="6"/>
      <c r="AA92" s="6"/>
      <c r="AB92" s="27"/>
      <c r="AC92" s="6"/>
      <c r="AD92" s="6"/>
      <c r="AE92" s="6"/>
      <c r="AF92" s="10"/>
      <c r="AG92" s="6"/>
      <c r="AH92" s="6"/>
      <c r="AI92" s="27"/>
      <c r="AJ92" s="6"/>
      <c r="AK92" s="6"/>
      <c r="AL92" s="6"/>
      <c r="AM92" s="6"/>
      <c r="AN92" s="48"/>
      <c r="AO92" s="48"/>
      <c r="AP92" s="48"/>
    </row>
    <row r="93">
      <c r="A93" s="16" t="s">
        <v>54</v>
      </c>
      <c r="B93" s="17"/>
      <c r="C93" s="17"/>
      <c r="D93" s="17"/>
      <c r="E93" s="17"/>
      <c r="F93" s="18"/>
      <c r="G93" s="19"/>
      <c r="H93" s="21"/>
      <c r="I93" s="21"/>
      <c r="J93" s="21"/>
      <c r="K93" s="21"/>
      <c r="L93" s="20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</row>
    <row r="94">
      <c r="A94" s="24" t="s">
        <v>55</v>
      </c>
      <c r="B94" s="17"/>
      <c r="C94" s="17"/>
      <c r="D94" s="18"/>
      <c r="E94" s="25">
        <v>1.0</v>
      </c>
      <c r="F94" s="25" t="s">
        <v>21</v>
      </c>
      <c r="G94" s="7">
        <v>275.0</v>
      </c>
      <c r="H94" s="7" t="s">
        <v>22</v>
      </c>
      <c r="I94" s="26"/>
      <c r="J94" s="26"/>
      <c r="K94" s="26"/>
      <c r="L94" s="7">
        <v>500.0</v>
      </c>
      <c r="M94" s="26"/>
      <c r="N94" s="26"/>
      <c r="O94" s="26"/>
      <c r="P94" s="26"/>
      <c r="Q94" s="26"/>
      <c r="R94" s="27"/>
      <c r="S94" s="28"/>
      <c r="T94" s="27"/>
      <c r="U94" s="27"/>
      <c r="V94" s="27"/>
      <c r="W94" s="27"/>
      <c r="X94" s="27"/>
      <c r="Y94" s="27"/>
      <c r="Z94" s="27"/>
      <c r="AA94" s="28">
        <v>500.0</v>
      </c>
      <c r="AB94" s="27"/>
      <c r="AC94" s="27"/>
      <c r="AD94" s="28"/>
      <c r="AE94" s="27"/>
      <c r="AF94" s="27"/>
      <c r="AG94" s="27"/>
      <c r="AH94" s="27"/>
      <c r="AI94" s="27"/>
      <c r="AJ94" s="27"/>
      <c r="AK94" s="27"/>
      <c r="AL94" s="27"/>
      <c r="AM94" s="27"/>
      <c r="AN94" s="29">
        <f>G94+SUM(I94:AM94)-SUM(I95:AM95)</f>
        <v>368</v>
      </c>
      <c r="AO94" s="236">
        <f>ROUNDDOWN((AN94/E94)/$H$4,1)</f>
        <v>12.2</v>
      </c>
      <c r="AP94" s="236">
        <f>$M$3+AO94</f>
        <v>957.2</v>
      </c>
    </row>
    <row r="95">
      <c r="A95" s="31"/>
      <c r="B95" s="17"/>
      <c r="C95" s="17"/>
      <c r="D95" s="17"/>
      <c r="E95" s="17"/>
      <c r="F95" s="18"/>
      <c r="G95" s="26"/>
      <c r="H95" s="7" t="s">
        <v>23</v>
      </c>
      <c r="I95" s="7">
        <f>35+5</f>
        <v>40</v>
      </c>
      <c r="J95" s="7">
        <v>40.0</v>
      </c>
      <c r="K95" s="7">
        <v>24.0</v>
      </c>
      <c r="L95" s="7">
        <v>32.0</v>
      </c>
      <c r="M95" s="7">
        <v>36.0</v>
      </c>
      <c r="N95" s="7">
        <v>15.0</v>
      </c>
      <c r="O95" s="7">
        <v>20.0</v>
      </c>
      <c r="P95" s="7">
        <v>35.0</v>
      </c>
      <c r="Q95" s="7">
        <v>30.0</v>
      </c>
      <c r="R95" s="28">
        <v>30.0</v>
      </c>
      <c r="S95" s="28">
        <f>35+10</f>
        <v>45</v>
      </c>
      <c r="T95" s="28">
        <f>30+10</f>
        <v>40</v>
      </c>
      <c r="U95" s="28"/>
      <c r="V95" s="28">
        <f>30+10</f>
        <v>40</v>
      </c>
      <c r="W95" s="28">
        <v>40.0</v>
      </c>
      <c r="X95" s="28">
        <v>33.0</v>
      </c>
      <c r="Y95" s="28">
        <v>37.0</v>
      </c>
      <c r="Z95" s="28">
        <f>30+6</f>
        <v>36</v>
      </c>
      <c r="AA95" s="28">
        <v>39.0</v>
      </c>
      <c r="AB95" s="28"/>
      <c r="AC95" s="28">
        <v>40.0</v>
      </c>
      <c r="AD95" s="28">
        <v>40.0</v>
      </c>
      <c r="AE95" s="28">
        <v>35.0</v>
      </c>
      <c r="AF95" s="28"/>
      <c r="AG95" s="28">
        <v>30.0</v>
      </c>
      <c r="AH95" s="28">
        <v>30.0</v>
      </c>
      <c r="AI95" s="28"/>
      <c r="AJ95" s="28">
        <v>30.0</v>
      </c>
      <c r="AK95" s="28">
        <v>30.0</v>
      </c>
      <c r="AL95" s="28">
        <v>30.0</v>
      </c>
      <c r="AM95" s="28">
        <v>30.0</v>
      </c>
      <c r="AN95" s="32"/>
      <c r="AO95" s="32"/>
      <c r="AP95" s="32"/>
    </row>
    <row r="96">
      <c r="A96" s="33"/>
      <c r="B96" s="33"/>
      <c r="C96" s="33"/>
      <c r="D96" s="33"/>
      <c r="E96" s="25"/>
      <c r="F96" s="25"/>
      <c r="G96" s="7"/>
      <c r="H96" s="7"/>
      <c r="I96" s="37"/>
      <c r="J96" s="37"/>
      <c r="K96" s="37"/>
      <c r="L96" s="37"/>
      <c r="M96" s="37"/>
      <c r="N96" s="37"/>
      <c r="O96" s="41"/>
      <c r="P96" s="37"/>
      <c r="Q96" s="37"/>
      <c r="R96" s="6"/>
      <c r="S96" s="6"/>
      <c r="T96" s="6"/>
      <c r="U96" s="27"/>
      <c r="V96" s="6"/>
      <c r="W96" s="6"/>
      <c r="X96" s="6"/>
      <c r="Y96" s="6"/>
      <c r="Z96" s="6"/>
      <c r="AA96" s="6"/>
      <c r="AB96" s="27"/>
      <c r="AC96" s="6"/>
      <c r="AD96" s="6"/>
      <c r="AE96" s="6"/>
      <c r="AF96" s="10"/>
      <c r="AG96" s="6"/>
      <c r="AH96" s="6"/>
      <c r="AI96" s="27"/>
      <c r="AJ96" s="6"/>
      <c r="AK96" s="6"/>
      <c r="AL96" s="6"/>
      <c r="AM96" s="6"/>
      <c r="AN96" s="39"/>
      <c r="AO96" s="237"/>
      <c r="AP96" s="237"/>
    </row>
    <row r="97">
      <c r="A97" s="24" t="s">
        <v>56</v>
      </c>
      <c r="B97" s="17"/>
      <c r="C97" s="17"/>
      <c r="D97" s="18"/>
      <c r="E97" s="25">
        <v>1.0</v>
      </c>
      <c r="F97" s="25" t="s">
        <v>21</v>
      </c>
      <c r="G97" s="7">
        <v>649.0</v>
      </c>
      <c r="H97" s="7" t="s">
        <v>22</v>
      </c>
      <c r="I97" s="26"/>
      <c r="J97" s="26"/>
      <c r="K97" s="26"/>
      <c r="L97" s="26"/>
      <c r="M97" s="26"/>
      <c r="N97" s="7"/>
      <c r="O97" s="7"/>
      <c r="P97" s="26"/>
      <c r="Q97" s="26"/>
      <c r="R97" s="27"/>
      <c r="S97" s="27"/>
      <c r="T97" s="27"/>
      <c r="U97" s="27"/>
      <c r="V97" s="27"/>
      <c r="W97" s="28"/>
      <c r="X97" s="28">
        <v>510.0</v>
      </c>
      <c r="Y97" s="27"/>
      <c r="Z97" s="27"/>
      <c r="AA97" s="27"/>
      <c r="AB97" s="27"/>
      <c r="AC97" s="27"/>
      <c r="AD97" s="28"/>
      <c r="AE97" s="27"/>
      <c r="AF97" s="27"/>
      <c r="AG97" s="28">
        <v>30.0</v>
      </c>
      <c r="AH97" s="27"/>
      <c r="AI97" s="27"/>
      <c r="AJ97" s="28">
        <v>1020.0</v>
      </c>
      <c r="AK97" s="27"/>
      <c r="AL97" s="27"/>
      <c r="AM97" s="27"/>
      <c r="AN97" s="29">
        <f>G97+SUM(I97:AM97)-SUM(I98:AM98)</f>
        <v>1302</v>
      </c>
      <c r="AO97" s="236">
        <f>ROUNDDOWN((AN97/E97)/$H$4,1)</f>
        <v>43.4</v>
      </c>
      <c r="AP97" s="236">
        <f>$M$3+AO97</f>
        <v>988.4</v>
      </c>
    </row>
    <row r="98">
      <c r="A98" s="56"/>
      <c r="B98" s="56"/>
      <c r="C98" s="56"/>
      <c r="D98" s="56"/>
      <c r="E98" s="57"/>
      <c r="F98" s="57"/>
      <c r="G98" s="26"/>
      <c r="H98" s="7" t="s">
        <v>23</v>
      </c>
      <c r="I98" s="7">
        <f>35+5</f>
        <v>40</v>
      </c>
      <c r="J98" s="7">
        <v>40.0</v>
      </c>
      <c r="K98" s="7">
        <v>24.0</v>
      </c>
      <c r="L98" s="7">
        <v>32.0</v>
      </c>
      <c r="M98" s="7">
        <v>36.0</v>
      </c>
      <c r="N98" s="7">
        <v>15.0</v>
      </c>
      <c r="O98" s="7">
        <v>20.0</v>
      </c>
      <c r="P98" s="7">
        <v>35.0</v>
      </c>
      <c r="Q98" s="7">
        <v>30.0</v>
      </c>
      <c r="R98" s="28">
        <v>30.0</v>
      </c>
      <c r="S98" s="28">
        <f>35+10</f>
        <v>45</v>
      </c>
      <c r="T98" s="28">
        <f>30+10</f>
        <v>40</v>
      </c>
      <c r="U98" s="28"/>
      <c r="V98" s="28">
        <f>30+10</f>
        <v>40</v>
      </c>
      <c r="W98" s="28">
        <v>40.0</v>
      </c>
      <c r="X98" s="28">
        <v>33.0</v>
      </c>
      <c r="Y98" s="28">
        <v>37.0</v>
      </c>
      <c r="Z98" s="28">
        <f>30+6</f>
        <v>36</v>
      </c>
      <c r="AA98" s="28">
        <v>39.0</v>
      </c>
      <c r="AB98" s="28"/>
      <c r="AC98" s="28">
        <v>40.0</v>
      </c>
      <c r="AD98" s="28">
        <v>40.0</v>
      </c>
      <c r="AE98" s="28">
        <v>35.0</v>
      </c>
      <c r="AF98" s="27"/>
      <c r="AG98" s="28">
        <v>30.0</v>
      </c>
      <c r="AH98" s="28">
        <v>30.0</v>
      </c>
      <c r="AI98" s="28"/>
      <c r="AJ98" s="28">
        <v>30.0</v>
      </c>
      <c r="AK98" s="28">
        <v>30.0</v>
      </c>
      <c r="AL98" s="28">
        <v>30.0</v>
      </c>
      <c r="AM98" s="28">
        <v>30.0</v>
      </c>
      <c r="AN98" s="32"/>
      <c r="AO98" s="32"/>
      <c r="AP98" s="32"/>
    </row>
    <row r="99">
      <c r="A99" s="58"/>
      <c r="B99" s="58"/>
      <c r="C99" s="58"/>
      <c r="D99" s="58"/>
      <c r="E99" s="58"/>
      <c r="F99" s="58"/>
      <c r="G99" s="68"/>
      <c r="H99" s="69"/>
      <c r="I99" s="37"/>
      <c r="J99" s="37"/>
      <c r="K99" s="37"/>
      <c r="L99" s="37"/>
      <c r="M99" s="37"/>
      <c r="N99" s="37"/>
      <c r="O99" s="37"/>
      <c r="P99" s="37"/>
      <c r="Q99" s="37"/>
      <c r="R99" s="6"/>
      <c r="S99" s="6"/>
      <c r="T99" s="6"/>
      <c r="U99" s="27"/>
      <c r="V99" s="6"/>
      <c r="W99" s="6"/>
      <c r="X99" s="6"/>
      <c r="Y99" s="6"/>
      <c r="Z99" s="6"/>
      <c r="AA99" s="6"/>
      <c r="AB99" s="27"/>
      <c r="AC99" s="6"/>
      <c r="AD99" s="6"/>
      <c r="AE99" s="6"/>
      <c r="AF99" s="10"/>
      <c r="AG99" s="6"/>
      <c r="AH99" s="6"/>
      <c r="AI99" s="27"/>
      <c r="AJ99" s="6"/>
      <c r="AK99" s="6"/>
      <c r="AL99" s="6"/>
      <c r="AM99" s="6"/>
      <c r="AN99" s="48"/>
      <c r="AO99" s="48"/>
      <c r="AP99" s="48"/>
    </row>
    <row r="100">
      <c r="A100" s="16" t="s">
        <v>57</v>
      </c>
      <c r="B100" s="17"/>
      <c r="C100" s="17"/>
      <c r="D100" s="17"/>
      <c r="E100" s="17"/>
      <c r="F100" s="18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</row>
    <row r="101">
      <c r="A101" s="55" t="s">
        <v>58</v>
      </c>
      <c r="B101" s="17"/>
      <c r="C101" s="17"/>
      <c r="D101" s="18"/>
      <c r="E101" s="25">
        <v>2.0</v>
      </c>
      <c r="F101" s="25" t="s">
        <v>21</v>
      </c>
      <c r="G101" s="7">
        <v>500.0</v>
      </c>
      <c r="H101" s="7" t="s">
        <v>22</v>
      </c>
      <c r="I101" s="26"/>
      <c r="J101" s="26"/>
      <c r="K101" s="26"/>
      <c r="L101" s="7">
        <v>1020.0</v>
      </c>
      <c r="M101" s="26"/>
      <c r="N101" s="26"/>
      <c r="O101" s="26"/>
      <c r="P101" s="26"/>
      <c r="Q101" s="26"/>
      <c r="R101" s="27"/>
      <c r="S101" s="28"/>
      <c r="T101" s="27"/>
      <c r="U101" s="27"/>
      <c r="V101" s="27"/>
      <c r="W101" s="27"/>
      <c r="X101" s="27"/>
      <c r="Y101" s="27"/>
      <c r="Z101" s="28">
        <v>1020.0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9">
        <f>G101+SUM(I101:AM101)-SUM(I102:AM102)</f>
        <v>746</v>
      </c>
      <c r="AO101" s="236">
        <f>ROUNDDOWN((AN101/E101)/$H$4,1)</f>
        <v>12.4</v>
      </c>
      <c r="AP101" s="236">
        <f>$M$3+AO101</f>
        <v>957.4</v>
      </c>
    </row>
    <row r="102">
      <c r="A102" s="70"/>
      <c r="B102" s="17"/>
      <c r="C102" s="17"/>
      <c r="D102" s="17"/>
      <c r="E102" s="17"/>
      <c r="F102" s="18"/>
      <c r="G102" s="26"/>
      <c r="H102" s="7" t="s">
        <v>23</v>
      </c>
      <c r="I102" s="7">
        <f>70+10</f>
        <v>80</v>
      </c>
      <c r="J102" s="7">
        <v>80.0</v>
      </c>
      <c r="K102" s="7">
        <v>48.0</v>
      </c>
      <c r="L102" s="7">
        <v>64.0</v>
      </c>
      <c r="M102" s="7">
        <v>72.0</v>
      </c>
      <c r="N102" s="7">
        <v>30.0</v>
      </c>
      <c r="O102" s="7">
        <v>40.0</v>
      </c>
      <c r="P102" s="7">
        <v>70.0</v>
      </c>
      <c r="Q102" s="7">
        <v>60.0</v>
      </c>
      <c r="R102" s="28">
        <v>60.0</v>
      </c>
      <c r="S102" s="28">
        <f>70+20</f>
        <v>90</v>
      </c>
      <c r="T102" s="28">
        <v>60.0</v>
      </c>
      <c r="U102" s="28"/>
      <c r="V102" s="28">
        <f>60+20</f>
        <v>80</v>
      </c>
      <c r="W102" s="28">
        <v>80.0</v>
      </c>
      <c r="X102" s="28">
        <v>66.0</v>
      </c>
      <c r="Y102" s="28">
        <v>74.0</v>
      </c>
      <c r="Z102" s="28">
        <f>60+12</f>
        <v>72</v>
      </c>
      <c r="AA102" s="28">
        <v>78.0</v>
      </c>
      <c r="AB102" s="28"/>
      <c r="AC102" s="28">
        <v>80.0</v>
      </c>
      <c r="AD102" s="28">
        <v>80.0</v>
      </c>
      <c r="AE102" s="28">
        <v>70.0</v>
      </c>
      <c r="AF102" s="28"/>
      <c r="AG102" s="28">
        <v>60.0</v>
      </c>
      <c r="AH102" s="28">
        <v>60.0</v>
      </c>
      <c r="AI102" s="28"/>
      <c r="AJ102" s="28">
        <v>60.0</v>
      </c>
      <c r="AK102" s="28">
        <v>60.0</v>
      </c>
      <c r="AL102" s="28">
        <v>60.0</v>
      </c>
      <c r="AM102" s="28">
        <v>60.0</v>
      </c>
      <c r="AN102" s="32"/>
      <c r="AO102" s="32"/>
      <c r="AP102" s="32"/>
    </row>
    <row r="103">
      <c r="A103" s="54"/>
      <c r="B103" s="54"/>
      <c r="C103" s="54"/>
      <c r="D103" s="54"/>
      <c r="E103" s="25"/>
      <c r="F103" s="25"/>
      <c r="G103" s="7"/>
      <c r="H103" s="7"/>
      <c r="I103" s="37"/>
      <c r="J103" s="37"/>
      <c r="K103" s="37"/>
      <c r="L103" s="37"/>
      <c r="M103" s="37"/>
      <c r="N103" s="37"/>
      <c r="O103" s="37"/>
      <c r="P103" s="37"/>
      <c r="Q103" s="37"/>
      <c r="R103" s="6"/>
      <c r="S103" s="42"/>
      <c r="T103" s="6"/>
      <c r="U103" s="27"/>
      <c r="V103" s="6"/>
      <c r="W103" s="6"/>
      <c r="X103" s="6"/>
      <c r="Y103" s="6"/>
      <c r="Z103" s="6"/>
      <c r="AA103" s="6"/>
      <c r="AB103" s="27"/>
      <c r="AC103" s="6"/>
      <c r="AD103" s="6"/>
      <c r="AE103" s="6"/>
      <c r="AF103" s="10"/>
      <c r="AG103" s="6"/>
      <c r="AH103" s="6"/>
      <c r="AI103" s="27"/>
      <c r="AJ103" s="6"/>
      <c r="AK103" s="6"/>
      <c r="AL103" s="6"/>
      <c r="AM103" s="6"/>
      <c r="AN103" s="39"/>
      <c r="AO103" s="237"/>
      <c r="AP103" s="237"/>
    </row>
    <row r="104">
      <c r="A104" s="55" t="s">
        <v>59</v>
      </c>
      <c r="B104" s="17"/>
      <c r="C104" s="17"/>
      <c r="D104" s="18"/>
      <c r="E104" s="25">
        <v>2.0</v>
      </c>
      <c r="F104" s="25" t="s">
        <v>21</v>
      </c>
      <c r="G104" s="7">
        <v>570.0</v>
      </c>
      <c r="H104" s="7" t="s">
        <v>22</v>
      </c>
      <c r="I104" s="26"/>
      <c r="J104" s="26"/>
      <c r="K104" s="26"/>
      <c r="L104" s="7">
        <v>1020.0</v>
      </c>
      <c r="M104" s="26"/>
      <c r="N104" s="26"/>
      <c r="O104" s="26"/>
      <c r="P104" s="26"/>
      <c r="Q104" s="26"/>
      <c r="R104" s="27"/>
      <c r="S104" s="28"/>
      <c r="T104" s="27"/>
      <c r="U104" s="27"/>
      <c r="V104" s="27"/>
      <c r="W104" s="27"/>
      <c r="X104" s="27"/>
      <c r="Y104" s="27"/>
      <c r="Z104" s="28">
        <v>1020.0</v>
      </c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9">
        <f>G104+SUM(I104:AM104)-SUM(I105:AM105)</f>
        <v>816</v>
      </c>
      <c r="AO104" s="236">
        <f>ROUNDDOWN((AN104/E104)/$H$4,1)</f>
        <v>13.6</v>
      </c>
      <c r="AP104" s="236">
        <f>$M$3+AO104</f>
        <v>958.6</v>
      </c>
    </row>
    <row r="105">
      <c r="A105" s="70"/>
      <c r="B105" s="17"/>
      <c r="C105" s="17"/>
      <c r="D105" s="17"/>
      <c r="E105" s="17"/>
      <c r="F105" s="18"/>
      <c r="G105" s="26"/>
      <c r="H105" s="7" t="s">
        <v>23</v>
      </c>
      <c r="I105" s="7">
        <f>70+10</f>
        <v>80</v>
      </c>
      <c r="J105" s="7">
        <v>80.0</v>
      </c>
      <c r="K105" s="7">
        <v>48.0</v>
      </c>
      <c r="L105" s="7">
        <v>64.0</v>
      </c>
      <c r="M105" s="7">
        <v>72.0</v>
      </c>
      <c r="N105" s="7">
        <v>30.0</v>
      </c>
      <c r="O105" s="7">
        <v>40.0</v>
      </c>
      <c r="P105" s="7">
        <v>70.0</v>
      </c>
      <c r="Q105" s="7">
        <v>60.0</v>
      </c>
      <c r="R105" s="28">
        <v>60.0</v>
      </c>
      <c r="S105" s="28">
        <f>70+20</f>
        <v>90</v>
      </c>
      <c r="T105" s="28">
        <v>60.0</v>
      </c>
      <c r="U105" s="28"/>
      <c r="V105" s="28">
        <f>60+20</f>
        <v>80</v>
      </c>
      <c r="W105" s="28">
        <v>80.0</v>
      </c>
      <c r="X105" s="28">
        <v>66.0</v>
      </c>
      <c r="Y105" s="28">
        <v>74.0</v>
      </c>
      <c r="Z105" s="28">
        <f>60+12</f>
        <v>72</v>
      </c>
      <c r="AA105" s="28">
        <v>78.0</v>
      </c>
      <c r="AB105" s="28"/>
      <c r="AC105" s="28">
        <v>80.0</v>
      </c>
      <c r="AD105" s="28">
        <v>80.0</v>
      </c>
      <c r="AE105" s="28">
        <v>70.0</v>
      </c>
      <c r="AF105" s="28"/>
      <c r="AG105" s="28">
        <v>60.0</v>
      </c>
      <c r="AH105" s="28">
        <v>60.0</v>
      </c>
      <c r="AI105" s="28"/>
      <c r="AJ105" s="28">
        <v>60.0</v>
      </c>
      <c r="AK105" s="28">
        <v>60.0</v>
      </c>
      <c r="AL105" s="28">
        <v>60.0</v>
      </c>
      <c r="AM105" s="28">
        <v>60.0</v>
      </c>
      <c r="AN105" s="32"/>
      <c r="AO105" s="32"/>
      <c r="AP105" s="32"/>
    </row>
    <row r="106">
      <c r="A106" s="54"/>
      <c r="B106" s="54"/>
      <c r="C106" s="54"/>
      <c r="D106" s="54"/>
      <c r="E106" s="25"/>
      <c r="F106" s="25"/>
      <c r="G106" s="7"/>
      <c r="H106" s="7"/>
      <c r="I106" s="37"/>
      <c r="J106" s="37"/>
      <c r="K106" s="37"/>
      <c r="L106" s="37"/>
      <c r="M106" s="37"/>
      <c r="N106" s="37"/>
      <c r="O106" s="37"/>
      <c r="P106" s="37"/>
      <c r="Q106" s="37"/>
      <c r="R106" s="6"/>
      <c r="S106" s="6"/>
      <c r="T106" s="6"/>
      <c r="U106" s="27"/>
      <c r="V106" s="6"/>
      <c r="W106" s="6"/>
      <c r="X106" s="6"/>
      <c r="Y106" s="6"/>
      <c r="Z106" s="6"/>
      <c r="AA106" s="6"/>
      <c r="AB106" s="27"/>
      <c r="AC106" s="6"/>
      <c r="AD106" s="6"/>
      <c r="AE106" s="6"/>
      <c r="AF106" s="10"/>
      <c r="AG106" s="6"/>
      <c r="AH106" s="42"/>
      <c r="AI106" s="27"/>
      <c r="AJ106" s="6"/>
      <c r="AK106" s="6"/>
      <c r="AL106" s="6"/>
      <c r="AM106" s="6"/>
      <c r="AN106" s="39"/>
      <c r="AO106" s="237"/>
      <c r="AP106" s="237"/>
    </row>
    <row r="107">
      <c r="A107" s="241" t="s">
        <v>175</v>
      </c>
      <c r="B107" s="17"/>
      <c r="C107" s="17"/>
      <c r="D107" s="18"/>
      <c r="E107" s="86">
        <v>1.0</v>
      </c>
      <c r="F107" s="86" t="s">
        <v>21</v>
      </c>
      <c r="G107" s="88"/>
      <c r="H107" s="88" t="s">
        <v>22</v>
      </c>
      <c r="I107" s="85"/>
      <c r="J107" s="85"/>
      <c r="K107" s="85"/>
      <c r="L107" s="242">
        <v>87.0</v>
      </c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7"/>
      <c r="Y107" s="243">
        <v>13.0</v>
      </c>
      <c r="Z107" s="85"/>
      <c r="AA107" s="85"/>
      <c r="AB107" s="85"/>
      <c r="AC107" s="85"/>
      <c r="AD107" s="85"/>
      <c r="AE107" s="85"/>
      <c r="AF107" s="85"/>
      <c r="AG107" s="87"/>
      <c r="AH107" s="87"/>
      <c r="AI107" s="85"/>
      <c r="AJ107" s="85"/>
      <c r="AK107" s="85"/>
      <c r="AL107" s="85"/>
      <c r="AM107" s="85"/>
      <c r="AN107" s="29">
        <f>G107+SUM(I107:AM107)-SUM(I108:AM108)</f>
        <v>100</v>
      </c>
      <c r="AO107" s="244">
        <f>ROUNDDOWN((AN107/E107)/$H$4,1)</f>
        <v>3.3</v>
      </c>
      <c r="AP107" s="245">
        <f>$M$3+AO107</f>
        <v>948.3</v>
      </c>
    </row>
    <row r="108">
      <c r="A108" s="96"/>
      <c r="B108" s="17"/>
      <c r="C108" s="17"/>
      <c r="D108" s="17"/>
      <c r="E108" s="17"/>
      <c r="F108" s="18"/>
      <c r="G108" s="87"/>
      <c r="H108" s="88" t="s">
        <v>23</v>
      </c>
      <c r="I108" s="85"/>
      <c r="J108" s="246"/>
      <c r="K108" s="85"/>
      <c r="L108" s="247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7"/>
      <c r="Y108" s="85"/>
      <c r="Z108" s="85"/>
      <c r="AA108" s="85"/>
      <c r="AB108" s="85"/>
      <c r="AC108" s="85"/>
      <c r="AD108" s="85"/>
      <c r="AE108" s="85"/>
      <c r="AF108" s="85"/>
      <c r="AG108" s="87"/>
      <c r="AH108" s="87"/>
      <c r="AI108" s="85"/>
      <c r="AJ108" s="85"/>
      <c r="AK108" s="85"/>
      <c r="AL108" s="85"/>
      <c r="AM108" s="85"/>
      <c r="AN108" s="32"/>
      <c r="AO108" s="32"/>
      <c r="AP108" s="32"/>
    </row>
    <row r="109">
      <c r="A109" s="87"/>
      <c r="B109" s="87"/>
      <c r="C109" s="87"/>
      <c r="D109" s="87"/>
      <c r="E109" s="87"/>
      <c r="F109" s="87"/>
      <c r="G109" s="87"/>
      <c r="H109" s="87"/>
      <c r="I109" s="248"/>
      <c r="J109" s="248"/>
      <c r="K109" s="248"/>
      <c r="L109" s="249"/>
      <c r="M109" s="248"/>
      <c r="N109" s="248"/>
      <c r="O109" s="248"/>
      <c r="P109" s="248"/>
      <c r="Q109" s="248"/>
      <c r="R109" s="248"/>
      <c r="S109" s="248"/>
      <c r="T109" s="248"/>
      <c r="U109" s="85"/>
      <c r="V109" s="248"/>
      <c r="W109" s="248"/>
      <c r="X109" s="250"/>
      <c r="Y109" s="248"/>
      <c r="Z109" s="248"/>
      <c r="AA109" s="248"/>
      <c r="AB109" s="85"/>
      <c r="AC109" s="248"/>
      <c r="AD109" s="248"/>
      <c r="AE109" s="248"/>
      <c r="AF109" s="248"/>
      <c r="AG109" s="250"/>
      <c r="AH109" s="250"/>
      <c r="AI109" s="85"/>
      <c r="AJ109" s="248"/>
      <c r="AK109" s="248"/>
      <c r="AL109" s="248"/>
      <c r="AM109" s="248"/>
      <c r="AN109" s="87"/>
      <c r="AO109" s="251"/>
      <c r="AP109" s="251"/>
    </row>
    <row r="110">
      <c r="A110" s="55" t="s">
        <v>60</v>
      </c>
      <c r="B110" s="17"/>
      <c r="C110" s="17"/>
      <c r="D110" s="18"/>
      <c r="E110" s="25">
        <v>1.0</v>
      </c>
      <c r="F110" s="25" t="s">
        <v>21</v>
      </c>
      <c r="G110" s="7">
        <v>670.0</v>
      </c>
      <c r="H110" s="7" t="s">
        <v>22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7"/>
      <c r="S110" s="27"/>
      <c r="T110" s="27"/>
      <c r="U110" s="27"/>
      <c r="V110" s="27"/>
      <c r="W110" s="27"/>
      <c r="X110" s="28"/>
      <c r="Y110" s="27"/>
      <c r="Z110" s="27"/>
      <c r="AA110" s="27"/>
      <c r="AB110" s="27"/>
      <c r="AC110" s="27"/>
      <c r="AD110" s="27"/>
      <c r="AE110" s="27"/>
      <c r="AF110" s="28">
        <f>510</f>
        <v>510</v>
      </c>
      <c r="AG110" s="28"/>
      <c r="AH110" s="28"/>
      <c r="AI110" s="27"/>
      <c r="AJ110" s="27"/>
      <c r="AK110" s="27"/>
      <c r="AL110" s="27"/>
      <c r="AM110" s="27"/>
      <c r="AN110" s="29">
        <f>G110+SUM(I110:AM110)-SUM(I111:AM111)</f>
        <v>310</v>
      </c>
      <c r="AO110" s="236">
        <f>ROUNDDOWN((AN110/E110)/$H$4,1)</f>
        <v>10.3</v>
      </c>
      <c r="AP110" s="236">
        <f>$M$3+AO110</f>
        <v>955.3</v>
      </c>
    </row>
    <row r="111">
      <c r="A111" s="70"/>
      <c r="B111" s="17"/>
      <c r="C111" s="17"/>
      <c r="D111" s="17"/>
      <c r="E111" s="17"/>
      <c r="F111" s="18"/>
      <c r="G111" s="26"/>
      <c r="H111" s="7" t="s">
        <v>23</v>
      </c>
      <c r="I111" s="7"/>
      <c r="J111" s="7">
        <v>100.0</v>
      </c>
      <c r="K111" s="26"/>
      <c r="L111" s="7"/>
      <c r="M111" s="7">
        <v>100.0</v>
      </c>
      <c r="N111" s="26"/>
      <c r="O111" s="7"/>
      <c r="P111" s="26"/>
      <c r="Q111" s="7">
        <v>100.0</v>
      </c>
      <c r="R111" s="28"/>
      <c r="S111" s="27"/>
      <c r="T111" s="28">
        <v>100.0</v>
      </c>
      <c r="U111" s="28"/>
      <c r="V111" s="27"/>
      <c r="W111" s="28">
        <v>100.0</v>
      </c>
      <c r="X111" s="28"/>
      <c r="Y111" s="27"/>
      <c r="Z111" s="28">
        <v>100.0</v>
      </c>
      <c r="AA111" s="28"/>
      <c r="AB111" s="27"/>
      <c r="AC111" s="27"/>
      <c r="AD111" s="28">
        <v>70.0</v>
      </c>
      <c r="AE111" s="28"/>
      <c r="AF111" s="28"/>
      <c r="AG111" s="28">
        <v>100.0</v>
      </c>
      <c r="AH111" s="28"/>
      <c r="AI111" s="28"/>
      <c r="AJ111" s="27"/>
      <c r="AK111" s="28">
        <v>100.0</v>
      </c>
      <c r="AL111" s="27"/>
      <c r="AM111" s="27"/>
      <c r="AN111" s="32"/>
      <c r="AO111" s="32"/>
      <c r="AP111" s="32"/>
    </row>
    <row r="112">
      <c r="A112" s="33"/>
      <c r="B112" s="33"/>
      <c r="C112" s="33"/>
      <c r="D112" s="33"/>
      <c r="E112" s="25"/>
      <c r="F112" s="25"/>
      <c r="G112" s="7"/>
      <c r="H112" s="7"/>
      <c r="I112" s="35"/>
      <c r="J112" s="37"/>
      <c r="K112" s="35"/>
      <c r="L112" s="36"/>
      <c r="M112" s="37"/>
      <c r="N112" s="36"/>
      <c r="O112" s="36"/>
      <c r="P112" s="36"/>
      <c r="Q112" s="37"/>
      <c r="R112" s="10"/>
      <c r="S112" s="10"/>
      <c r="T112" s="6"/>
      <c r="U112" s="27"/>
      <c r="V112" s="10"/>
      <c r="W112" s="6"/>
      <c r="X112" s="10"/>
      <c r="Y112" s="10"/>
      <c r="Z112" s="6"/>
      <c r="AA112" s="10"/>
      <c r="AB112" s="27"/>
      <c r="AC112" s="10"/>
      <c r="AD112" s="6"/>
      <c r="AE112" s="10"/>
      <c r="AF112" s="10"/>
      <c r="AG112" s="6"/>
      <c r="AH112" s="38"/>
      <c r="AI112" s="27"/>
      <c r="AJ112" s="10"/>
      <c r="AK112" s="6"/>
      <c r="AL112" s="10"/>
      <c r="AM112" s="10"/>
      <c r="AN112" s="39"/>
      <c r="AO112" s="237"/>
      <c r="AP112" s="237"/>
    </row>
    <row r="113">
      <c r="A113" s="24" t="s">
        <v>61</v>
      </c>
      <c r="B113" s="17"/>
      <c r="C113" s="17"/>
      <c r="D113" s="18"/>
      <c r="E113" s="25">
        <v>1.0</v>
      </c>
      <c r="F113" s="25" t="s">
        <v>21</v>
      </c>
      <c r="G113" s="7">
        <v>552.0</v>
      </c>
      <c r="H113" s="7" t="s">
        <v>22</v>
      </c>
      <c r="I113" s="7"/>
      <c r="J113" s="26"/>
      <c r="K113" s="7"/>
      <c r="L113" s="7">
        <v>258.0</v>
      </c>
      <c r="M113" s="26"/>
      <c r="N113" s="26"/>
      <c r="O113" s="26"/>
      <c r="P113" s="26"/>
      <c r="Q113" s="26"/>
      <c r="R113" s="27"/>
      <c r="S113" s="27"/>
      <c r="T113" s="27"/>
      <c r="U113" s="27"/>
      <c r="V113" s="27"/>
      <c r="W113" s="27"/>
      <c r="X113" s="28"/>
      <c r="Y113" s="27"/>
      <c r="Z113" s="27"/>
      <c r="AA113" s="27"/>
      <c r="AB113" s="27"/>
      <c r="AC113" s="27"/>
      <c r="AD113" s="27"/>
      <c r="AE113" s="27"/>
      <c r="AF113" s="28">
        <f>510</f>
        <v>510</v>
      </c>
      <c r="AG113" s="28"/>
      <c r="AH113" s="28"/>
      <c r="AI113" s="27"/>
      <c r="AJ113" s="27"/>
      <c r="AK113" s="27"/>
      <c r="AL113" s="27"/>
      <c r="AM113" s="27"/>
      <c r="AN113" s="29">
        <f>G113+SUM(I113:AM113)-SUM(I114:AM114)</f>
        <v>828</v>
      </c>
      <c r="AO113" s="236">
        <f>ROUNDDOWN((AN113/E113)/$H$4,1)</f>
        <v>27.6</v>
      </c>
      <c r="AP113" s="236">
        <f>M6+AO113</f>
        <v>27.6</v>
      </c>
    </row>
    <row r="114">
      <c r="A114" s="31"/>
      <c r="B114" s="17"/>
      <c r="C114" s="17"/>
      <c r="D114" s="17"/>
      <c r="E114" s="17"/>
      <c r="F114" s="18"/>
      <c r="G114" s="26"/>
      <c r="H114" s="7" t="s">
        <v>23</v>
      </c>
      <c r="I114" s="7">
        <f t="shared" ref="I114:J114" si="4">24+24</f>
        <v>48</v>
      </c>
      <c r="J114" s="7">
        <f t="shared" si="4"/>
        <v>48</v>
      </c>
      <c r="K114" s="7"/>
      <c r="L114" s="7"/>
      <c r="M114" s="7"/>
      <c r="N114" s="7"/>
      <c r="O114" s="7">
        <v>36.0</v>
      </c>
      <c r="P114" s="7">
        <v>24.0</v>
      </c>
      <c r="Q114" s="7">
        <v>36.0</v>
      </c>
      <c r="R114" s="28">
        <v>48.0</v>
      </c>
      <c r="S114" s="28"/>
      <c r="T114" s="28">
        <v>48.0</v>
      </c>
      <c r="U114" s="28"/>
      <c r="V114" s="28"/>
      <c r="W114" s="28">
        <v>48.0</v>
      </c>
      <c r="X114" s="28">
        <v>60.0</v>
      </c>
      <c r="Y114" s="28"/>
      <c r="Z114" s="28"/>
      <c r="AA114" s="28"/>
      <c r="AB114" s="28"/>
      <c r="AC114" s="28">
        <v>48.0</v>
      </c>
      <c r="AD114" s="28">
        <v>48.0</v>
      </c>
      <c r="AE114" s="28"/>
      <c r="AF114" s="28"/>
      <c r="AG114" s="28"/>
      <c r="AH114" s="28"/>
      <c r="AI114" s="28"/>
      <c r="AJ114" s="28"/>
      <c r="AK114" s="27"/>
      <c r="AL114" s="27"/>
      <c r="AM114" s="27"/>
      <c r="AN114" s="32"/>
      <c r="AO114" s="32"/>
      <c r="AP114" s="32"/>
    </row>
    <row r="115">
      <c r="A115" s="72"/>
      <c r="B115" s="72"/>
      <c r="C115" s="72"/>
      <c r="D115" s="72"/>
      <c r="E115" s="72"/>
      <c r="F115" s="72"/>
      <c r="G115" s="69"/>
      <c r="H115" s="48"/>
      <c r="I115" s="6"/>
      <c r="J115" s="6"/>
      <c r="K115" s="10"/>
      <c r="L115" s="36"/>
      <c r="M115" s="10"/>
      <c r="N115" s="10"/>
      <c r="O115" s="6"/>
      <c r="P115" s="6"/>
      <c r="Q115" s="6"/>
      <c r="R115" s="6"/>
      <c r="S115" s="10"/>
      <c r="T115" s="6"/>
      <c r="U115" s="27"/>
      <c r="V115" s="10"/>
      <c r="W115" s="6"/>
      <c r="X115" s="6"/>
      <c r="Y115" s="10"/>
      <c r="Z115" s="10"/>
      <c r="AA115" s="10"/>
      <c r="AB115" s="27"/>
      <c r="AC115" s="6"/>
      <c r="AD115" s="6"/>
      <c r="AE115" s="10"/>
      <c r="AF115" s="10"/>
      <c r="AG115" s="10"/>
      <c r="AH115" s="10"/>
      <c r="AI115" s="27"/>
      <c r="AJ115" s="10"/>
      <c r="AK115" s="10"/>
      <c r="AL115" s="10"/>
      <c r="AM115" s="10"/>
      <c r="AN115" s="48"/>
      <c r="AO115" s="48"/>
      <c r="AP115" s="48"/>
    </row>
    <row r="116">
      <c r="A116" s="73" t="s">
        <v>62</v>
      </c>
      <c r="B116" s="17"/>
      <c r="C116" s="17"/>
      <c r="D116" s="17"/>
      <c r="E116" s="17"/>
      <c r="F116" s="18"/>
      <c r="G116" s="20"/>
      <c r="H116" s="21"/>
      <c r="I116" s="21"/>
      <c r="J116" s="21"/>
      <c r="K116" s="21"/>
      <c r="L116" s="20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</row>
    <row r="117">
      <c r="A117" s="24" t="s">
        <v>131</v>
      </c>
      <c r="B117" s="17"/>
      <c r="C117" s="17"/>
      <c r="D117" s="18"/>
      <c r="E117" s="25">
        <v>8.0</v>
      </c>
      <c r="F117" s="25" t="s">
        <v>21</v>
      </c>
      <c r="G117" s="7">
        <v>4080.0</v>
      </c>
      <c r="H117" s="7" t="s">
        <v>22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7"/>
      <c r="S117" s="27"/>
      <c r="T117" s="27"/>
      <c r="U117" s="27"/>
      <c r="V117" s="27"/>
      <c r="W117" s="27"/>
      <c r="X117" s="27"/>
      <c r="Y117" s="28">
        <v>4080.0</v>
      </c>
      <c r="Z117" s="27"/>
      <c r="AA117" s="27"/>
      <c r="AB117" s="27"/>
      <c r="AC117" s="27"/>
      <c r="AD117" s="27"/>
      <c r="AE117" s="27"/>
      <c r="AF117" s="27"/>
      <c r="AG117" s="27"/>
      <c r="AH117" s="28">
        <v>240.0</v>
      </c>
      <c r="AI117" s="27"/>
      <c r="AJ117" s="27"/>
      <c r="AK117" s="27"/>
      <c r="AL117" s="27"/>
      <c r="AM117" s="27"/>
      <c r="AN117" s="29">
        <f>G117+SUM(I117:AM117)-SUM(I118:AM118)</f>
        <v>1416</v>
      </c>
      <c r="AO117" s="236">
        <f>ROUNDDOWN((AN117/E117)/$H$4,1)</f>
        <v>5.9</v>
      </c>
      <c r="AP117" s="236">
        <f>$M$3+AO117</f>
        <v>950.9</v>
      </c>
    </row>
    <row r="118">
      <c r="A118" s="31"/>
      <c r="B118" s="17"/>
      <c r="C118" s="17"/>
      <c r="D118" s="17"/>
      <c r="E118" s="17"/>
      <c r="F118" s="18"/>
      <c r="G118" s="26"/>
      <c r="H118" s="7" t="s">
        <v>23</v>
      </c>
      <c r="I118" s="7">
        <f>160+120</f>
        <v>280</v>
      </c>
      <c r="J118" s="7">
        <f>240+80+48</f>
        <v>368</v>
      </c>
      <c r="K118" s="7">
        <f>144+48</f>
        <v>192</v>
      </c>
      <c r="L118" s="7">
        <f>120+120</f>
        <v>240</v>
      </c>
      <c r="M118" s="7">
        <f>280+40</f>
        <v>320</v>
      </c>
      <c r="N118" s="7">
        <v>120.0</v>
      </c>
      <c r="O118" s="7">
        <v>120.0</v>
      </c>
      <c r="P118" s="7">
        <v>280.0</v>
      </c>
      <c r="Q118" s="7">
        <v>240.0</v>
      </c>
      <c r="R118" s="28">
        <v>240.0</v>
      </c>
      <c r="S118" s="28">
        <f>280+80</f>
        <v>360</v>
      </c>
      <c r="T118" s="28">
        <v>240.0</v>
      </c>
      <c r="U118" s="27"/>
      <c r="V118" s="28">
        <v>320.0</v>
      </c>
      <c r="W118" s="28">
        <v>320.0</v>
      </c>
      <c r="X118" s="28">
        <v>240.0</v>
      </c>
      <c r="Y118" s="28">
        <f>264+56</f>
        <v>320</v>
      </c>
      <c r="Z118" s="28"/>
      <c r="AA118" s="27">
        <f>240+80+40</f>
        <v>360</v>
      </c>
      <c r="AB118" s="28"/>
      <c r="AC118" s="28">
        <f t="shared" ref="AC118:AE118" si="5">240+80</f>
        <v>320</v>
      </c>
      <c r="AD118" s="27">
        <f t="shared" si="5"/>
        <v>320</v>
      </c>
      <c r="AE118" s="28">
        <f t="shared" si="5"/>
        <v>320</v>
      </c>
      <c r="AF118" s="28"/>
      <c r="AG118" s="28">
        <v>240.0</v>
      </c>
      <c r="AH118" s="28">
        <v>240.0</v>
      </c>
      <c r="AI118" s="27"/>
      <c r="AJ118" s="28">
        <v>240.0</v>
      </c>
      <c r="AK118" s="28">
        <v>240.0</v>
      </c>
      <c r="AL118" s="28">
        <v>264.0</v>
      </c>
      <c r="AM118" s="28">
        <f>208+32</f>
        <v>240</v>
      </c>
      <c r="AN118" s="32"/>
      <c r="AO118" s="32"/>
      <c r="AP118" s="32"/>
    </row>
    <row r="119">
      <c r="A119" s="33"/>
      <c r="B119" s="33"/>
      <c r="C119" s="33"/>
      <c r="D119" s="33"/>
      <c r="E119" s="25"/>
      <c r="F119" s="25"/>
      <c r="G119" s="7"/>
      <c r="H119" s="7"/>
      <c r="I119" s="37"/>
      <c r="J119" s="37"/>
      <c r="K119" s="37"/>
      <c r="L119" s="37"/>
      <c r="M119" s="37"/>
      <c r="N119" s="41"/>
      <c r="O119" s="37"/>
      <c r="P119" s="37"/>
      <c r="Q119" s="37"/>
      <c r="R119" s="6"/>
      <c r="S119" s="6"/>
      <c r="T119" s="6"/>
      <c r="U119" s="27"/>
      <c r="V119" s="6"/>
      <c r="W119" s="6"/>
      <c r="X119" s="6"/>
      <c r="Y119" s="6"/>
      <c r="Z119" s="38"/>
      <c r="AA119" s="6"/>
      <c r="AB119" s="27"/>
      <c r="AC119" s="6"/>
      <c r="AD119" s="6"/>
      <c r="AE119" s="6"/>
      <c r="AF119" s="10"/>
      <c r="AG119" s="6"/>
      <c r="AH119" s="6"/>
      <c r="AI119" s="28"/>
      <c r="AJ119" s="6"/>
      <c r="AK119" s="6"/>
      <c r="AL119" s="6"/>
      <c r="AM119" s="6"/>
      <c r="AN119" s="39"/>
      <c r="AO119" s="237"/>
      <c r="AP119" s="237"/>
    </row>
    <row r="120">
      <c r="A120" s="24" t="s">
        <v>64</v>
      </c>
      <c r="B120" s="17"/>
      <c r="C120" s="17"/>
      <c r="D120" s="18"/>
      <c r="E120" s="25">
        <v>26.0</v>
      </c>
      <c r="F120" s="25" t="s">
        <v>21</v>
      </c>
      <c r="G120" s="252">
        <v>20790.0</v>
      </c>
      <c r="H120" s="7" t="s">
        <v>22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8"/>
      <c r="AC120" s="28">
        <v>13260.0</v>
      </c>
      <c r="AD120" s="27"/>
      <c r="AE120" s="27"/>
      <c r="AF120" s="27"/>
      <c r="AG120" s="27"/>
      <c r="AH120" s="27"/>
      <c r="AI120" s="28"/>
      <c r="AJ120" s="28">
        <f>26520+480</f>
        <v>27000</v>
      </c>
      <c r="AK120" s="28"/>
      <c r="AL120" s="27"/>
      <c r="AM120" s="27"/>
      <c r="AN120" s="29">
        <f>G120+SUM(I120:AM120)-SUM(I121:AM121)</f>
        <v>37668</v>
      </c>
      <c r="AO120" s="236">
        <f>ROUNDDOWN((AN120/E120)/$H$4,1)</f>
        <v>48.2</v>
      </c>
      <c r="AP120" s="236">
        <f>$M$3+AO120</f>
        <v>993.2</v>
      </c>
    </row>
    <row r="121">
      <c r="A121" s="31"/>
      <c r="B121" s="17"/>
      <c r="C121" s="17"/>
      <c r="D121" s="17"/>
      <c r="E121" s="17"/>
      <c r="F121" s="18"/>
      <c r="G121" s="26"/>
      <c r="H121" s="7" t="s">
        <v>23</v>
      </c>
      <c r="I121" s="7">
        <f>710+130</f>
        <v>840</v>
      </c>
      <c r="J121" s="7">
        <v>1040.0</v>
      </c>
      <c r="K121" s="7">
        <v>624.0</v>
      </c>
      <c r="L121" s="7">
        <v>832.0</v>
      </c>
      <c r="M121" s="7">
        <v>936.0</v>
      </c>
      <c r="N121" s="7">
        <v>390.0</v>
      </c>
      <c r="O121" s="7">
        <v>520.0</v>
      </c>
      <c r="P121" s="7">
        <v>910.0</v>
      </c>
      <c r="Q121" s="7">
        <v>780.0</v>
      </c>
      <c r="R121" s="28">
        <v>780.0</v>
      </c>
      <c r="S121" s="28">
        <f>910+260</f>
        <v>1170</v>
      </c>
      <c r="T121" s="28">
        <f>780+260</f>
        <v>1040</v>
      </c>
      <c r="U121" s="28"/>
      <c r="V121" s="28">
        <f>780+260</f>
        <v>1040</v>
      </c>
      <c r="W121" s="28">
        <v>1040.0</v>
      </c>
      <c r="X121" s="28">
        <v>858.0</v>
      </c>
      <c r="Y121" s="28">
        <v>962.0</v>
      </c>
      <c r="Z121" s="28">
        <f>780+156</f>
        <v>936</v>
      </c>
      <c r="AA121" s="28">
        <v>1014.0</v>
      </c>
      <c r="AB121" s="28"/>
      <c r="AC121" s="28">
        <v>1040.0</v>
      </c>
      <c r="AD121" s="28">
        <v>1040.0</v>
      </c>
      <c r="AE121" s="28">
        <v>910.0</v>
      </c>
      <c r="AF121" s="28"/>
      <c r="AG121" s="28">
        <v>780.0</v>
      </c>
      <c r="AH121" s="28">
        <v>780.0</v>
      </c>
      <c r="AI121" s="28"/>
      <c r="AJ121" s="28">
        <v>780.0</v>
      </c>
      <c r="AK121" s="28">
        <v>780.0</v>
      </c>
      <c r="AL121" s="28">
        <v>780.0</v>
      </c>
      <c r="AM121" s="28">
        <v>780.0</v>
      </c>
      <c r="AN121" s="32"/>
      <c r="AO121" s="32"/>
      <c r="AP121" s="32"/>
    </row>
    <row r="122">
      <c r="A122" s="33"/>
      <c r="B122" s="33"/>
      <c r="C122" s="33"/>
      <c r="D122" s="33"/>
      <c r="E122" s="25"/>
      <c r="F122" s="25"/>
      <c r="G122" s="7"/>
      <c r="H122" s="7"/>
      <c r="I122" s="37"/>
      <c r="J122" s="37"/>
      <c r="K122" s="37"/>
      <c r="L122" s="37"/>
      <c r="M122" s="37"/>
      <c r="N122" s="37"/>
      <c r="O122" s="37"/>
      <c r="P122" s="37"/>
      <c r="Q122" s="37"/>
      <c r="R122" s="6"/>
      <c r="S122" s="6"/>
      <c r="T122" s="6"/>
      <c r="U122" s="27"/>
      <c r="V122" s="6"/>
      <c r="W122" s="6"/>
      <c r="X122" s="6"/>
      <c r="Y122" s="6"/>
      <c r="Z122" s="6"/>
      <c r="AA122" s="6"/>
      <c r="AB122" s="27"/>
      <c r="AC122" s="6"/>
      <c r="AD122" s="6"/>
      <c r="AE122" s="6"/>
      <c r="AF122" s="10"/>
      <c r="AG122" s="6"/>
      <c r="AH122" s="6"/>
      <c r="AI122" s="27"/>
      <c r="AJ122" s="6"/>
      <c r="AK122" s="6"/>
      <c r="AL122" s="6"/>
      <c r="AM122" s="6"/>
      <c r="AN122" s="39"/>
      <c r="AO122" s="237"/>
      <c r="AP122" s="237"/>
    </row>
    <row r="123">
      <c r="A123" s="24" t="s">
        <v>65</v>
      </c>
      <c r="B123" s="17"/>
      <c r="C123" s="17"/>
      <c r="D123" s="18"/>
      <c r="E123" s="25">
        <v>2.0</v>
      </c>
      <c r="F123" s="25" t="s">
        <v>21</v>
      </c>
      <c r="G123" s="7">
        <v>44559.0</v>
      </c>
      <c r="H123" s="7" t="s">
        <v>22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8">
        <v>60.0</v>
      </c>
      <c r="AK123" s="27"/>
      <c r="AL123" s="27"/>
      <c r="AM123" s="27"/>
      <c r="AN123" s="29">
        <f>G123+SUM(I123:AM123)-SUM(I124:AM124)</f>
        <v>42825</v>
      </c>
      <c r="AO123" s="236">
        <f>ROUNDDOWN((AN123/E123)/$H$4,1)</f>
        <v>713.7</v>
      </c>
      <c r="AP123" s="236">
        <f>$M$3+AO123</f>
        <v>1658.7</v>
      </c>
    </row>
    <row r="124">
      <c r="A124" s="31"/>
      <c r="B124" s="17"/>
      <c r="C124" s="17"/>
      <c r="D124" s="17"/>
      <c r="E124" s="17"/>
      <c r="F124" s="18"/>
      <c r="G124" s="26"/>
      <c r="H124" s="7" t="s">
        <v>23</v>
      </c>
      <c r="I124" s="7">
        <f>70+10</f>
        <v>80</v>
      </c>
      <c r="J124" s="7">
        <v>80.0</v>
      </c>
      <c r="K124" s="7">
        <v>48.0</v>
      </c>
      <c r="L124" s="7">
        <v>64.0</v>
      </c>
      <c r="M124" s="7">
        <v>72.0</v>
      </c>
      <c r="N124" s="7">
        <v>30.0</v>
      </c>
      <c r="O124" s="7">
        <v>40.0</v>
      </c>
      <c r="P124" s="7">
        <v>70.0</v>
      </c>
      <c r="Q124" s="7">
        <v>60.0</v>
      </c>
      <c r="R124" s="28">
        <v>60.0</v>
      </c>
      <c r="S124" s="28">
        <f>70+20</f>
        <v>90</v>
      </c>
      <c r="T124" s="28">
        <v>60.0</v>
      </c>
      <c r="U124" s="28"/>
      <c r="V124" s="28">
        <f>60+20</f>
        <v>80</v>
      </c>
      <c r="W124" s="28">
        <v>80.0</v>
      </c>
      <c r="X124" s="28">
        <v>66.0</v>
      </c>
      <c r="Y124" s="28">
        <v>74.0</v>
      </c>
      <c r="Z124" s="28">
        <f>60+12</f>
        <v>72</v>
      </c>
      <c r="AA124" s="28">
        <v>78.0</v>
      </c>
      <c r="AB124" s="28"/>
      <c r="AC124" s="28">
        <v>80.0</v>
      </c>
      <c r="AD124" s="28">
        <v>80.0</v>
      </c>
      <c r="AE124" s="28">
        <v>70.0</v>
      </c>
      <c r="AF124" s="28"/>
      <c r="AG124" s="28">
        <v>60.0</v>
      </c>
      <c r="AH124" s="28">
        <v>60.0</v>
      </c>
      <c r="AI124" s="28"/>
      <c r="AJ124" s="28">
        <v>60.0</v>
      </c>
      <c r="AK124" s="28">
        <v>60.0</v>
      </c>
      <c r="AL124" s="28">
        <v>60.0</v>
      </c>
      <c r="AM124" s="28">
        <v>60.0</v>
      </c>
      <c r="AN124" s="32"/>
      <c r="AO124" s="32"/>
      <c r="AP124" s="32"/>
    </row>
    <row r="125">
      <c r="A125" s="33"/>
      <c r="B125" s="33"/>
      <c r="C125" s="33"/>
      <c r="D125" s="33"/>
      <c r="E125" s="25"/>
      <c r="F125" s="25"/>
      <c r="G125" s="43"/>
      <c r="H125" s="7"/>
      <c r="I125" s="37"/>
      <c r="J125" s="37"/>
      <c r="K125" s="37"/>
      <c r="L125" s="37"/>
      <c r="M125" s="37"/>
      <c r="N125" s="37"/>
      <c r="O125" s="37"/>
      <c r="P125" s="37"/>
      <c r="Q125" s="37"/>
      <c r="R125" s="6"/>
      <c r="S125" s="6"/>
      <c r="T125" s="6"/>
      <c r="U125" s="27"/>
      <c r="V125" s="6"/>
      <c r="W125" s="6"/>
      <c r="X125" s="6"/>
      <c r="Y125" s="6"/>
      <c r="Z125" s="6"/>
      <c r="AA125" s="6"/>
      <c r="AB125" s="27"/>
      <c r="AC125" s="6"/>
      <c r="AD125" s="6"/>
      <c r="AE125" s="6"/>
      <c r="AF125" s="10"/>
      <c r="AG125" s="6"/>
      <c r="AH125" s="6"/>
      <c r="AI125" s="27"/>
      <c r="AJ125" s="6"/>
      <c r="AK125" s="6"/>
      <c r="AL125" s="6"/>
      <c r="AM125" s="6"/>
      <c r="AN125" s="39"/>
      <c r="AO125" s="237"/>
      <c r="AP125" s="237"/>
    </row>
    <row r="126">
      <c r="A126" s="24" t="s">
        <v>66</v>
      </c>
      <c r="B126" s="17"/>
      <c r="C126" s="17"/>
      <c r="D126" s="18"/>
      <c r="E126" s="25">
        <v>10.0</v>
      </c>
      <c r="F126" s="25" t="s">
        <v>21</v>
      </c>
      <c r="G126" s="43">
        <v>7097.0</v>
      </c>
      <c r="H126" s="7" t="s">
        <v>22</v>
      </c>
      <c r="I126" s="26"/>
      <c r="J126" s="26"/>
      <c r="K126" s="26"/>
      <c r="L126" s="7">
        <v>1200.0</v>
      </c>
      <c r="M126" s="26"/>
      <c r="N126" s="26"/>
      <c r="O126" s="26"/>
      <c r="P126" s="26"/>
      <c r="Q126" s="26"/>
      <c r="R126" s="27"/>
      <c r="S126" s="27"/>
      <c r="T126" s="27"/>
      <c r="U126" s="27"/>
      <c r="V126" s="27"/>
      <c r="W126" s="27"/>
      <c r="X126" s="27"/>
      <c r="Y126" s="28">
        <v>5100.0</v>
      </c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9">
        <f>G126+SUM(I126:AM126)-SUM(I127:AM127)</f>
        <v>4591</v>
      </c>
      <c r="AO126" s="236">
        <f>ROUNDDOWN((AN126/E126)/$H$4,1)</f>
        <v>15.3</v>
      </c>
      <c r="AP126" s="236">
        <f>$M$3+AO126</f>
        <v>960.3</v>
      </c>
    </row>
    <row r="127">
      <c r="A127" s="31"/>
      <c r="B127" s="17"/>
      <c r="C127" s="17"/>
      <c r="D127" s="17"/>
      <c r="E127" s="17"/>
      <c r="F127" s="18"/>
      <c r="G127" s="26"/>
      <c r="H127" s="7" t="s">
        <v>23</v>
      </c>
      <c r="I127" s="7">
        <f>210+30+120</f>
        <v>360</v>
      </c>
      <c r="J127" s="7">
        <f>240+120</f>
        <v>360</v>
      </c>
      <c r="K127" s="7">
        <f>144+160</f>
        <v>304</v>
      </c>
      <c r="L127" s="7">
        <f>192+156</f>
        <v>348</v>
      </c>
      <c r="M127" s="7">
        <f>216+156</f>
        <v>372</v>
      </c>
      <c r="N127" s="7">
        <f>90+60</f>
        <v>150</v>
      </c>
      <c r="O127" s="7">
        <f>120+92</f>
        <v>212</v>
      </c>
      <c r="P127" s="7">
        <f>210+124</f>
        <v>334</v>
      </c>
      <c r="Q127" s="7">
        <f t="shared" ref="Q127:R127" si="6">180+120</f>
        <v>300</v>
      </c>
      <c r="R127" s="28">
        <f t="shared" si="6"/>
        <v>300</v>
      </c>
      <c r="S127" s="28">
        <f>210+60+140</f>
        <v>410</v>
      </c>
      <c r="T127" s="28">
        <f>180+156</f>
        <v>336</v>
      </c>
      <c r="U127" s="28"/>
      <c r="V127" s="28">
        <f>180+60+120+40</f>
        <v>400</v>
      </c>
      <c r="W127" s="28">
        <f>240+160</f>
        <v>400</v>
      </c>
      <c r="X127" s="28">
        <f>198+180</f>
        <v>378</v>
      </c>
      <c r="Y127" s="28">
        <f>222+120+32+16</f>
        <v>390</v>
      </c>
      <c r="Z127" s="28">
        <f>180+120+36</f>
        <v>336</v>
      </c>
      <c r="AA127" s="28">
        <f>234+200</f>
        <v>434</v>
      </c>
      <c r="AB127" s="28"/>
      <c r="AC127" s="28">
        <f>240+120</f>
        <v>360</v>
      </c>
      <c r="AD127" s="28">
        <v>160.0</v>
      </c>
      <c r="AE127" s="28">
        <f>210+160</f>
        <v>370</v>
      </c>
      <c r="AF127" s="28"/>
      <c r="AG127" s="28">
        <f>180+128</f>
        <v>308</v>
      </c>
      <c r="AH127" s="28">
        <f>180+112</f>
        <v>292</v>
      </c>
      <c r="AI127" s="28"/>
      <c r="AJ127" s="28">
        <f t="shared" ref="AJ127:AL127" si="7">180+120</f>
        <v>300</v>
      </c>
      <c r="AK127" s="28">
        <f t="shared" si="7"/>
        <v>300</v>
      </c>
      <c r="AL127" s="28">
        <f t="shared" si="7"/>
        <v>300</v>
      </c>
      <c r="AM127" s="28">
        <f>180+112</f>
        <v>292</v>
      </c>
      <c r="AN127" s="32"/>
      <c r="AO127" s="32"/>
      <c r="AP127" s="32"/>
    </row>
    <row r="128">
      <c r="A128" s="33"/>
      <c r="B128" s="33"/>
      <c r="C128" s="33"/>
      <c r="D128" s="33"/>
      <c r="E128" s="25"/>
      <c r="F128" s="25"/>
      <c r="G128" s="7"/>
      <c r="H128" s="7"/>
      <c r="I128" s="37"/>
      <c r="J128" s="37"/>
      <c r="K128" s="37"/>
      <c r="L128" s="37"/>
      <c r="M128" s="37"/>
      <c r="N128" s="37"/>
      <c r="O128" s="37"/>
      <c r="P128" s="37"/>
      <c r="Q128" s="37"/>
      <c r="R128" s="6"/>
      <c r="S128" s="6"/>
      <c r="T128" s="6"/>
      <c r="U128" s="27"/>
      <c r="V128" s="6"/>
      <c r="W128" s="6"/>
      <c r="X128" s="6"/>
      <c r="Y128" s="6"/>
      <c r="Z128" s="6"/>
      <c r="AA128" s="6"/>
      <c r="AB128" s="27"/>
      <c r="AC128" s="6"/>
      <c r="AD128" s="6"/>
      <c r="AE128" s="6"/>
      <c r="AF128" s="10"/>
      <c r="AG128" s="6"/>
      <c r="AH128" s="6"/>
      <c r="AI128" s="27"/>
      <c r="AJ128" s="6"/>
      <c r="AK128" s="6"/>
      <c r="AL128" s="6"/>
      <c r="AM128" s="6"/>
      <c r="AN128" s="39"/>
      <c r="AO128" s="237"/>
      <c r="AP128" s="237"/>
    </row>
    <row r="129">
      <c r="A129" s="24" t="s">
        <v>67</v>
      </c>
      <c r="B129" s="17"/>
      <c r="C129" s="17"/>
      <c r="D129" s="18"/>
      <c r="E129" s="25">
        <v>6.0</v>
      </c>
      <c r="F129" s="25" t="s">
        <v>21</v>
      </c>
      <c r="G129" s="7">
        <v>63835.0</v>
      </c>
      <c r="H129" s="7" t="s">
        <v>22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9">
        <f>G129+SUM(I129:AM129)-SUM(I130:AM130)</f>
        <v>58429</v>
      </c>
      <c r="AO129" s="236">
        <f>ROUNDDOWN((AN129/E129)/$H$4,1)</f>
        <v>324.6</v>
      </c>
      <c r="AP129" s="236">
        <f>$M$3+AO129</f>
        <v>1269.6</v>
      </c>
    </row>
    <row r="130">
      <c r="A130" s="31"/>
      <c r="B130" s="17"/>
      <c r="C130" s="17"/>
      <c r="D130" s="17"/>
      <c r="E130" s="17"/>
      <c r="F130" s="18"/>
      <c r="G130" s="26"/>
      <c r="H130" s="7" t="s">
        <v>23</v>
      </c>
      <c r="I130" s="7">
        <v>180.0</v>
      </c>
      <c r="J130" s="7">
        <v>180.0</v>
      </c>
      <c r="K130" s="7">
        <v>240.0</v>
      </c>
      <c r="L130" s="7">
        <v>234.0</v>
      </c>
      <c r="M130" s="7">
        <v>234.0</v>
      </c>
      <c r="N130" s="7">
        <v>90.0</v>
      </c>
      <c r="O130" s="7">
        <v>138.0</v>
      </c>
      <c r="P130" s="7">
        <v>186.0</v>
      </c>
      <c r="Q130" s="7">
        <v>180.0</v>
      </c>
      <c r="R130" s="28">
        <v>180.0</v>
      </c>
      <c r="S130" s="28">
        <v>210.0</v>
      </c>
      <c r="T130" s="28">
        <v>234.0</v>
      </c>
      <c r="U130" s="28"/>
      <c r="V130" s="28">
        <f>180+60</f>
        <v>240</v>
      </c>
      <c r="W130" s="28">
        <v>240.0</v>
      </c>
      <c r="X130" s="28">
        <v>180.0</v>
      </c>
      <c r="Y130" s="28">
        <f>180+48+24</f>
        <v>252</v>
      </c>
      <c r="Z130" s="28">
        <f>180</f>
        <v>180</v>
      </c>
      <c r="AA130" s="28">
        <v>300.0</v>
      </c>
      <c r="AB130" s="28"/>
      <c r="AC130" s="28">
        <v>180.0</v>
      </c>
      <c r="AD130" s="28">
        <v>240.0</v>
      </c>
      <c r="AE130" s="28">
        <v>240.0</v>
      </c>
      <c r="AF130" s="28"/>
      <c r="AG130" s="28">
        <v>192.0</v>
      </c>
      <c r="AH130" s="28">
        <v>168.0</v>
      </c>
      <c r="AI130" s="28"/>
      <c r="AJ130" s="28">
        <v>180.0</v>
      </c>
      <c r="AK130" s="28">
        <v>180.0</v>
      </c>
      <c r="AL130" s="28">
        <v>180.0</v>
      </c>
      <c r="AM130" s="28">
        <v>168.0</v>
      </c>
      <c r="AN130" s="32"/>
      <c r="AO130" s="32"/>
      <c r="AP130" s="32"/>
    </row>
    <row r="131">
      <c r="A131" s="33"/>
      <c r="B131" s="33"/>
      <c r="C131" s="33"/>
      <c r="D131" s="33"/>
      <c r="E131" s="25"/>
      <c r="F131" s="25"/>
      <c r="G131" s="7"/>
      <c r="H131" s="7"/>
      <c r="I131" s="37"/>
      <c r="J131" s="37"/>
      <c r="K131" s="37"/>
      <c r="L131" s="37"/>
      <c r="M131" s="37"/>
      <c r="N131" s="37"/>
      <c r="O131" s="37"/>
      <c r="P131" s="37"/>
      <c r="Q131" s="37"/>
      <c r="R131" s="6"/>
      <c r="S131" s="6"/>
      <c r="T131" s="6"/>
      <c r="U131" s="27"/>
      <c r="V131" s="6"/>
      <c r="W131" s="6"/>
      <c r="X131" s="6"/>
      <c r="Y131" s="6"/>
      <c r="Z131" s="6"/>
      <c r="AA131" s="6"/>
      <c r="AB131" s="27"/>
      <c r="AC131" s="6"/>
      <c r="AD131" s="6"/>
      <c r="AE131" s="6"/>
      <c r="AF131" s="10"/>
      <c r="AG131" s="6"/>
      <c r="AH131" s="6"/>
      <c r="AI131" s="28"/>
      <c r="AJ131" s="6"/>
      <c r="AK131" s="6"/>
      <c r="AL131" s="6"/>
      <c r="AM131" s="6"/>
      <c r="AN131" s="39"/>
      <c r="AO131" s="237"/>
      <c r="AP131" s="237"/>
    </row>
    <row r="132">
      <c r="A132" s="24" t="s">
        <v>68</v>
      </c>
      <c r="B132" s="17"/>
      <c r="C132" s="17"/>
      <c r="D132" s="18"/>
      <c r="E132" s="25">
        <v>12.0</v>
      </c>
      <c r="F132" s="25" t="s">
        <v>21</v>
      </c>
      <c r="G132" s="7">
        <v>8145.0</v>
      </c>
      <c r="H132" s="7" t="s">
        <v>22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8"/>
      <c r="AC132" s="28">
        <v>6120.0</v>
      </c>
      <c r="AD132" s="27"/>
      <c r="AE132" s="27"/>
      <c r="AF132" s="27"/>
      <c r="AG132" s="27"/>
      <c r="AH132" s="27"/>
      <c r="AI132" s="28"/>
      <c r="AJ132" s="28">
        <f>12240+180</f>
        <v>12420</v>
      </c>
      <c r="AK132" s="28"/>
      <c r="AL132" s="27"/>
      <c r="AM132" s="27"/>
      <c r="AN132" s="29">
        <f>G132+SUM(I132:AM132)-SUM(I133:AM133)</f>
        <v>16137</v>
      </c>
      <c r="AO132" s="236">
        <f>ROUNDDOWN((AN132/E132)/$H$4,1)</f>
        <v>44.8</v>
      </c>
      <c r="AP132" s="236">
        <f>$M$3+AO132</f>
        <v>989.8</v>
      </c>
    </row>
    <row r="133">
      <c r="A133" s="31"/>
      <c r="B133" s="17"/>
      <c r="C133" s="17"/>
      <c r="D133" s="17"/>
      <c r="E133" s="17"/>
      <c r="F133" s="18"/>
      <c r="G133" s="26"/>
      <c r="H133" s="7" t="s">
        <v>23</v>
      </c>
      <c r="I133" s="7">
        <f>210+30+180</f>
        <v>420</v>
      </c>
      <c r="J133" s="7">
        <f>240+180</f>
        <v>420</v>
      </c>
      <c r="K133" s="7">
        <f>144+240</f>
        <v>384</v>
      </c>
      <c r="L133" s="7">
        <f>192+234</f>
        <v>426</v>
      </c>
      <c r="M133" s="7">
        <f>216+234</f>
        <v>450</v>
      </c>
      <c r="N133" s="7">
        <f>90+90</f>
        <v>180</v>
      </c>
      <c r="O133" s="7">
        <f>120+138</f>
        <v>258</v>
      </c>
      <c r="P133" s="7">
        <f>210+186</f>
        <v>396</v>
      </c>
      <c r="Q133" s="7">
        <f t="shared" ref="Q133:R133" si="8">180+180</f>
        <v>360</v>
      </c>
      <c r="R133" s="28">
        <f t="shared" si="8"/>
        <v>360</v>
      </c>
      <c r="S133" s="28">
        <f>210+60+210</f>
        <v>480</v>
      </c>
      <c r="T133" s="28">
        <f>180+234</f>
        <v>414</v>
      </c>
      <c r="U133" s="28"/>
      <c r="V133" s="28">
        <f>180+60+180+60</f>
        <v>480</v>
      </c>
      <c r="W133" s="28">
        <f>240+240</f>
        <v>480</v>
      </c>
      <c r="X133" s="28">
        <f>198+180</f>
        <v>378</v>
      </c>
      <c r="Y133" s="28">
        <f>222+180+48+24</f>
        <v>474</v>
      </c>
      <c r="Z133" s="28">
        <f>180+180+36</f>
        <v>396</v>
      </c>
      <c r="AA133" s="28">
        <f>234+300</f>
        <v>534</v>
      </c>
      <c r="AB133" s="28"/>
      <c r="AC133" s="28">
        <f>240+180</f>
        <v>420</v>
      </c>
      <c r="AD133" s="28">
        <v>240.0</v>
      </c>
      <c r="AE133" s="28">
        <f>210+240</f>
        <v>450</v>
      </c>
      <c r="AF133" s="28"/>
      <c r="AG133" s="28">
        <f>180+192</f>
        <v>372</v>
      </c>
      <c r="AH133" s="28">
        <f>180+168</f>
        <v>348</v>
      </c>
      <c r="AI133" s="28"/>
      <c r="AJ133" s="28">
        <f t="shared" ref="AJ133:AL133" si="9">180+180</f>
        <v>360</v>
      </c>
      <c r="AK133" s="28">
        <f t="shared" si="9"/>
        <v>360</v>
      </c>
      <c r="AL133" s="28">
        <f t="shared" si="9"/>
        <v>360</v>
      </c>
      <c r="AM133" s="28">
        <f>180+168</f>
        <v>348</v>
      </c>
      <c r="AN133" s="32"/>
      <c r="AO133" s="32"/>
      <c r="AP133" s="32"/>
    </row>
    <row r="134">
      <c r="A134" s="33"/>
      <c r="B134" s="33"/>
      <c r="C134" s="33"/>
      <c r="D134" s="33"/>
      <c r="E134" s="25"/>
      <c r="F134" s="25"/>
      <c r="G134" s="7"/>
      <c r="H134" s="7"/>
      <c r="I134" s="37"/>
      <c r="J134" s="37"/>
      <c r="K134" s="37"/>
      <c r="L134" s="37"/>
      <c r="M134" s="37"/>
      <c r="N134" s="37"/>
      <c r="O134" s="37"/>
      <c r="P134" s="37"/>
      <c r="Q134" s="37"/>
      <c r="R134" s="6"/>
      <c r="S134" s="6"/>
      <c r="T134" s="6"/>
      <c r="U134" s="27"/>
      <c r="V134" s="42"/>
      <c r="W134" s="6"/>
      <c r="X134" s="6"/>
      <c r="Y134" s="6"/>
      <c r="Z134" s="6"/>
      <c r="AA134" s="6"/>
      <c r="AB134" s="27"/>
      <c r="AC134" s="6"/>
      <c r="AD134" s="6"/>
      <c r="AE134" s="6"/>
      <c r="AF134" s="253"/>
      <c r="AG134" s="6"/>
      <c r="AH134" s="6"/>
      <c r="AI134" s="27"/>
      <c r="AJ134" s="6"/>
      <c r="AK134" s="6"/>
      <c r="AL134" s="6"/>
      <c r="AM134" s="6"/>
      <c r="AN134" s="39"/>
      <c r="AO134" s="237"/>
      <c r="AP134" s="237"/>
    </row>
    <row r="135">
      <c r="A135" s="24" t="s">
        <v>132</v>
      </c>
      <c r="B135" s="17"/>
      <c r="C135" s="17"/>
      <c r="D135" s="18"/>
      <c r="E135" s="25">
        <v>6.0</v>
      </c>
      <c r="F135" s="25" t="s">
        <v>21</v>
      </c>
      <c r="G135" s="7">
        <v>54697.0</v>
      </c>
      <c r="H135" s="7" t="s">
        <v>22</v>
      </c>
      <c r="I135" s="26"/>
      <c r="J135" s="26"/>
      <c r="K135" s="26"/>
      <c r="L135" s="26"/>
      <c r="M135" s="26"/>
      <c r="N135" s="26"/>
      <c r="O135" s="26"/>
      <c r="P135" s="26"/>
      <c r="Q135" s="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9">
        <f>G135+SUM(I135:AM135)-SUM(I136:AM136)</f>
        <v>48937</v>
      </c>
      <c r="AO135" s="236">
        <f>ROUNDDOWN((AN135/E135)/$H$4,1)</f>
        <v>271.8</v>
      </c>
      <c r="AP135" s="236">
        <f>$M$3+AO135</f>
        <v>1216.8</v>
      </c>
    </row>
    <row r="136">
      <c r="A136" s="31"/>
      <c r="B136" s="17"/>
      <c r="C136" s="17"/>
      <c r="D136" s="17"/>
      <c r="E136" s="17"/>
      <c r="F136" s="18"/>
      <c r="G136" s="26"/>
      <c r="H136" s="7" t="s">
        <v>23</v>
      </c>
      <c r="I136" s="7">
        <v>180.0</v>
      </c>
      <c r="J136" s="7">
        <v>180.0</v>
      </c>
      <c r="K136" s="7">
        <v>270.0</v>
      </c>
      <c r="L136" s="7">
        <v>180.0</v>
      </c>
      <c r="M136" s="7">
        <v>180.0</v>
      </c>
      <c r="N136" s="7"/>
      <c r="O136" s="7">
        <v>270.0</v>
      </c>
      <c r="P136" s="7">
        <v>180.0</v>
      </c>
      <c r="Q136" s="7">
        <v>270.0</v>
      </c>
      <c r="R136" s="28">
        <v>180.0</v>
      </c>
      <c r="S136" s="28">
        <v>270.0</v>
      </c>
      <c r="T136" s="28">
        <v>270.0</v>
      </c>
      <c r="U136" s="28"/>
      <c r="V136" s="28">
        <v>180.0</v>
      </c>
      <c r="W136" s="28">
        <v>270.0</v>
      </c>
      <c r="X136" s="28">
        <v>270.0</v>
      </c>
      <c r="Y136" s="28">
        <v>270.0</v>
      </c>
      <c r="Z136" s="28">
        <v>270.0</v>
      </c>
      <c r="AA136" s="28">
        <v>270.0</v>
      </c>
      <c r="AB136" s="28"/>
      <c r="AC136" s="28">
        <v>270.0</v>
      </c>
      <c r="AD136" s="28">
        <v>180.0</v>
      </c>
      <c r="AE136" s="28">
        <v>270.0</v>
      </c>
      <c r="AF136" s="28"/>
      <c r="AG136" s="28">
        <v>180.0</v>
      </c>
      <c r="AH136" s="28">
        <v>180.0</v>
      </c>
      <c r="AI136" s="28"/>
      <c r="AJ136" s="28">
        <v>180.0</v>
      </c>
      <c r="AK136" s="28">
        <v>180.0</v>
      </c>
      <c r="AL136" s="28">
        <v>180.0</v>
      </c>
      <c r="AM136" s="28">
        <v>180.0</v>
      </c>
      <c r="AN136" s="32"/>
      <c r="AO136" s="32"/>
      <c r="AP136" s="32"/>
    </row>
    <row r="137">
      <c r="A137" s="33"/>
      <c r="B137" s="33"/>
      <c r="C137" s="33"/>
      <c r="D137" s="33"/>
      <c r="E137" s="25"/>
      <c r="F137" s="25"/>
      <c r="G137" s="7"/>
      <c r="H137" s="7"/>
      <c r="I137" s="37"/>
      <c r="J137" s="37"/>
      <c r="K137" s="37"/>
      <c r="L137" s="37"/>
      <c r="M137" s="37"/>
      <c r="N137" s="36"/>
      <c r="O137" s="37"/>
      <c r="P137" s="37"/>
      <c r="Q137" s="37"/>
      <c r="R137" s="6"/>
      <c r="S137" s="6"/>
      <c r="T137" s="6"/>
      <c r="U137" s="27"/>
      <c r="V137" s="6"/>
      <c r="W137" s="6"/>
      <c r="X137" s="6"/>
      <c r="Y137" s="6"/>
      <c r="Z137" s="6"/>
      <c r="AA137" s="6"/>
      <c r="AB137" s="27"/>
      <c r="AC137" s="6"/>
      <c r="AD137" s="6"/>
      <c r="AE137" s="6"/>
      <c r="AF137" s="10"/>
      <c r="AG137" s="6"/>
      <c r="AH137" s="6"/>
      <c r="AI137" s="27"/>
      <c r="AJ137" s="6"/>
      <c r="AK137" s="6"/>
      <c r="AL137" s="6"/>
      <c r="AM137" s="6"/>
      <c r="AN137" s="39"/>
      <c r="AO137" s="237"/>
      <c r="AP137" s="237"/>
    </row>
    <row r="138">
      <c r="A138" s="24" t="s">
        <v>70</v>
      </c>
      <c r="B138" s="17"/>
      <c r="C138" s="17"/>
      <c r="D138" s="18"/>
      <c r="E138" s="25">
        <v>8.0</v>
      </c>
      <c r="F138" s="25" t="s">
        <v>21</v>
      </c>
      <c r="G138" s="7">
        <v>5028.0</v>
      </c>
      <c r="H138" s="7" t="s">
        <v>22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8"/>
      <c r="AC138" s="28">
        <v>4080.0</v>
      </c>
      <c r="AD138" s="27"/>
      <c r="AE138" s="27"/>
      <c r="AF138" s="27"/>
      <c r="AG138" s="27"/>
      <c r="AH138" s="27"/>
      <c r="AI138" s="27"/>
      <c r="AJ138" s="28">
        <f>8160+180</f>
        <v>8340</v>
      </c>
      <c r="AK138" s="27"/>
      <c r="AL138" s="27"/>
      <c r="AM138" s="27"/>
      <c r="AN138" s="29">
        <f>G138+SUM(I138:AM138)-SUM(I139:AM139)</f>
        <v>9894</v>
      </c>
      <c r="AO138" s="236">
        <f>ROUNDDOWN((AN138/E138)/$H$4,1)</f>
        <v>41.2</v>
      </c>
      <c r="AP138" s="236">
        <f>$M$3+AO138</f>
        <v>986.2</v>
      </c>
    </row>
    <row r="139">
      <c r="A139" s="31"/>
      <c r="B139" s="17"/>
      <c r="C139" s="17"/>
      <c r="D139" s="17"/>
      <c r="E139" s="17"/>
      <c r="F139" s="18"/>
      <c r="G139" s="26"/>
      <c r="H139" s="7" t="s">
        <v>23</v>
      </c>
      <c r="I139" s="7">
        <f>70+10+180</f>
        <v>260</v>
      </c>
      <c r="J139" s="7">
        <f>80+180</f>
        <v>260</v>
      </c>
      <c r="K139" s="7">
        <f>48+270</f>
        <v>318</v>
      </c>
      <c r="L139" s="7">
        <f>64+180</f>
        <v>244</v>
      </c>
      <c r="M139" s="7">
        <f>72+180</f>
        <v>252</v>
      </c>
      <c r="N139" s="7">
        <v>30.0</v>
      </c>
      <c r="O139" s="7">
        <f>40+270</f>
        <v>310</v>
      </c>
      <c r="P139" s="7">
        <f>70+180</f>
        <v>250</v>
      </c>
      <c r="Q139" s="7">
        <f>60+270</f>
        <v>330</v>
      </c>
      <c r="R139" s="28">
        <f>60+180</f>
        <v>240</v>
      </c>
      <c r="S139" s="28">
        <f>70+20+270</f>
        <v>360</v>
      </c>
      <c r="T139" s="28">
        <f>60+270</f>
        <v>330</v>
      </c>
      <c r="U139" s="28"/>
      <c r="V139" s="28">
        <f>60+20+180</f>
        <v>260</v>
      </c>
      <c r="W139" s="28">
        <f>80+270</f>
        <v>350</v>
      </c>
      <c r="X139" s="28">
        <f>66+270</f>
        <v>336</v>
      </c>
      <c r="Y139" s="28">
        <f>74+270</f>
        <v>344</v>
      </c>
      <c r="Z139" s="28">
        <f>60+12+270</f>
        <v>342</v>
      </c>
      <c r="AA139" s="28">
        <f>78+270</f>
        <v>348</v>
      </c>
      <c r="AB139" s="28"/>
      <c r="AC139" s="28">
        <f>80+270</f>
        <v>350</v>
      </c>
      <c r="AD139" s="28">
        <f>80+180</f>
        <v>260</v>
      </c>
      <c r="AE139" s="28">
        <f>70+270</f>
        <v>340</v>
      </c>
      <c r="AF139" s="28"/>
      <c r="AG139" s="28">
        <f t="shared" ref="AG139:AH139" si="10">60+180</f>
        <v>240</v>
      </c>
      <c r="AH139" s="28">
        <f t="shared" si="10"/>
        <v>240</v>
      </c>
      <c r="AI139" s="28"/>
      <c r="AJ139" s="28">
        <f t="shared" ref="AJ139:AM139" si="11">60+180</f>
        <v>240</v>
      </c>
      <c r="AK139" s="28">
        <f t="shared" si="11"/>
        <v>240</v>
      </c>
      <c r="AL139" s="28">
        <f t="shared" si="11"/>
        <v>240</v>
      </c>
      <c r="AM139" s="28">
        <f t="shared" si="11"/>
        <v>240</v>
      </c>
      <c r="AN139" s="32"/>
      <c r="AO139" s="32"/>
      <c r="AP139" s="32"/>
    </row>
    <row r="140">
      <c r="A140" s="33"/>
      <c r="B140" s="33"/>
      <c r="C140" s="33"/>
      <c r="D140" s="33"/>
      <c r="E140" s="25"/>
      <c r="F140" s="25"/>
      <c r="G140" s="7"/>
      <c r="H140" s="7"/>
      <c r="I140" s="37"/>
      <c r="J140" s="37"/>
      <c r="K140" s="37"/>
      <c r="L140" s="37"/>
      <c r="M140" s="37"/>
      <c r="N140" s="37"/>
      <c r="O140" s="37"/>
      <c r="P140" s="37"/>
      <c r="Q140" s="6"/>
      <c r="R140" s="6"/>
      <c r="S140" s="6"/>
      <c r="T140" s="6"/>
      <c r="U140" s="27"/>
      <c r="V140" s="6"/>
      <c r="W140" s="6"/>
      <c r="X140" s="6"/>
      <c r="Y140" s="6"/>
      <c r="Z140" s="6"/>
      <c r="AA140" s="6"/>
      <c r="AB140" s="27"/>
      <c r="AC140" s="6"/>
      <c r="AD140" s="6"/>
      <c r="AE140" s="6"/>
      <c r="AF140" s="10"/>
      <c r="AG140" s="6"/>
      <c r="AH140" s="6"/>
      <c r="AI140" s="28"/>
      <c r="AJ140" s="6"/>
      <c r="AK140" s="6"/>
      <c r="AL140" s="6"/>
      <c r="AM140" s="6"/>
      <c r="AN140" s="39"/>
      <c r="AO140" s="237"/>
      <c r="AP140" s="237"/>
    </row>
    <row r="141">
      <c r="A141" s="24" t="s">
        <v>71</v>
      </c>
      <c r="B141" s="17"/>
      <c r="C141" s="17"/>
      <c r="D141" s="18"/>
      <c r="E141" s="25">
        <v>8.0</v>
      </c>
      <c r="F141" s="25" t="s">
        <v>21</v>
      </c>
      <c r="G141" s="7">
        <v>5174.0</v>
      </c>
      <c r="H141" s="7" t="s">
        <v>22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8"/>
      <c r="AC141" s="28">
        <v>4080.0</v>
      </c>
      <c r="AD141" s="27"/>
      <c r="AE141" s="27"/>
      <c r="AF141" s="27"/>
      <c r="AG141" s="27"/>
      <c r="AH141" s="27"/>
      <c r="AI141" s="28"/>
      <c r="AJ141" s="28">
        <f>8160+180</f>
        <v>8340</v>
      </c>
      <c r="AK141" s="28"/>
      <c r="AL141" s="27"/>
      <c r="AM141" s="27"/>
      <c r="AN141" s="29">
        <f>G141+SUM(I141:AM141)-SUM(I142:AM142)</f>
        <v>9820</v>
      </c>
      <c r="AO141" s="236">
        <f>ROUNDDOWN((AN141/E141)/$H$4,1)</f>
        <v>40.9</v>
      </c>
      <c r="AP141" s="236">
        <f>$M$3+AO141</f>
        <v>985.9</v>
      </c>
    </row>
    <row r="142">
      <c r="A142" s="31"/>
      <c r="B142" s="17"/>
      <c r="C142" s="17"/>
      <c r="D142" s="17"/>
      <c r="E142" s="17"/>
      <c r="F142" s="18"/>
      <c r="G142" s="26"/>
      <c r="H142" s="7" t="s">
        <v>23</v>
      </c>
      <c r="I142" s="7">
        <f>70+10+180</f>
        <v>260</v>
      </c>
      <c r="J142" s="7">
        <f>80+180</f>
        <v>260</v>
      </c>
      <c r="K142" s="7">
        <f>48+270</f>
        <v>318</v>
      </c>
      <c r="L142" s="7">
        <f>64+180</f>
        <v>244</v>
      </c>
      <c r="M142" s="7">
        <f>72+180</f>
        <v>252</v>
      </c>
      <c r="N142" s="7">
        <v>30.0</v>
      </c>
      <c r="O142" s="7">
        <f>40+270</f>
        <v>310</v>
      </c>
      <c r="P142" s="7">
        <f>70+180</f>
        <v>250</v>
      </c>
      <c r="Q142" s="7">
        <f>60+270</f>
        <v>330</v>
      </c>
      <c r="R142" s="28">
        <f>60+180</f>
        <v>240</v>
      </c>
      <c r="S142" s="28">
        <f>70+20+270</f>
        <v>360</v>
      </c>
      <c r="T142" s="28">
        <f>60+270</f>
        <v>330</v>
      </c>
      <c r="U142" s="28"/>
      <c r="V142" s="28">
        <f>360+120</f>
        <v>480</v>
      </c>
      <c r="W142" s="28">
        <f>80+270</f>
        <v>350</v>
      </c>
      <c r="X142" s="28">
        <f>66+270</f>
        <v>336</v>
      </c>
      <c r="Y142" s="28">
        <f>74+270</f>
        <v>344</v>
      </c>
      <c r="Z142" s="28">
        <f>60+12+270</f>
        <v>342</v>
      </c>
      <c r="AA142" s="28">
        <f>78+270</f>
        <v>348</v>
      </c>
      <c r="AB142" s="28"/>
      <c r="AC142" s="28">
        <f>80+270</f>
        <v>350</v>
      </c>
      <c r="AD142" s="28">
        <f>80+180</f>
        <v>260</v>
      </c>
      <c r="AE142" s="28">
        <f>70+270</f>
        <v>340</v>
      </c>
      <c r="AF142" s="28"/>
      <c r="AG142" s="28">
        <f t="shared" ref="AG142:AH142" si="12">60+180</f>
        <v>240</v>
      </c>
      <c r="AH142" s="28">
        <f t="shared" si="12"/>
        <v>240</v>
      </c>
      <c r="AI142" s="28"/>
      <c r="AJ142" s="28">
        <f t="shared" ref="AJ142:AM142" si="13">60+180</f>
        <v>240</v>
      </c>
      <c r="AK142" s="28">
        <f t="shared" si="13"/>
        <v>240</v>
      </c>
      <c r="AL142" s="28">
        <f t="shared" si="13"/>
        <v>240</v>
      </c>
      <c r="AM142" s="28">
        <f t="shared" si="13"/>
        <v>240</v>
      </c>
      <c r="AN142" s="32"/>
      <c r="AO142" s="32"/>
      <c r="AP142" s="32"/>
    </row>
    <row r="143">
      <c r="A143" s="33"/>
      <c r="B143" s="33"/>
      <c r="C143" s="33"/>
      <c r="D143" s="33"/>
      <c r="E143" s="25"/>
      <c r="F143" s="25"/>
      <c r="G143" s="7"/>
      <c r="H143" s="7"/>
      <c r="I143" s="37"/>
      <c r="J143" s="37"/>
      <c r="K143" s="37"/>
      <c r="L143" s="37"/>
      <c r="M143" s="37"/>
      <c r="N143" s="37"/>
      <c r="O143" s="37"/>
      <c r="P143" s="37"/>
      <c r="Q143" s="37"/>
      <c r="R143" s="6"/>
      <c r="S143" s="6"/>
      <c r="T143" s="6"/>
      <c r="U143" s="27"/>
      <c r="V143" s="6"/>
      <c r="W143" s="6"/>
      <c r="X143" s="6"/>
      <c r="Y143" s="6"/>
      <c r="Z143" s="6"/>
      <c r="AA143" s="6"/>
      <c r="AB143" s="27"/>
      <c r="AC143" s="6"/>
      <c r="AD143" s="6"/>
      <c r="AE143" s="6"/>
      <c r="AF143" s="10"/>
      <c r="AG143" s="6"/>
      <c r="AH143" s="6"/>
      <c r="AI143" s="28"/>
      <c r="AJ143" s="6"/>
      <c r="AK143" s="6"/>
      <c r="AL143" s="6"/>
      <c r="AM143" s="6"/>
      <c r="AN143" s="39"/>
      <c r="AO143" s="237"/>
      <c r="AP143" s="237"/>
    </row>
    <row r="144">
      <c r="A144" s="24" t="s">
        <v>72</v>
      </c>
      <c r="B144" s="17"/>
      <c r="C144" s="17"/>
      <c r="D144" s="18"/>
      <c r="E144" s="25">
        <v>12.0</v>
      </c>
      <c r="F144" s="25" t="s">
        <v>21</v>
      </c>
      <c r="G144" s="7">
        <v>8251.0</v>
      </c>
      <c r="H144" s="7" t="s">
        <v>22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8"/>
      <c r="AC144" s="28">
        <v>6120.0</v>
      </c>
      <c r="AD144" s="27"/>
      <c r="AE144" s="27"/>
      <c r="AF144" s="27"/>
      <c r="AG144" s="27"/>
      <c r="AH144" s="27"/>
      <c r="AI144" s="28"/>
      <c r="AJ144" s="28">
        <f>12240+420</f>
        <v>12660</v>
      </c>
      <c r="AK144" s="28"/>
      <c r="AL144" s="27"/>
      <c r="AM144" s="27"/>
      <c r="AN144" s="29">
        <f>G144+SUM(I144:AM144)-SUM(I145:AM145)</f>
        <v>16219</v>
      </c>
      <c r="AO144" s="236">
        <f>ROUNDDOWN((AN144/E144)/$H$4,1)</f>
        <v>45</v>
      </c>
      <c r="AP144" s="236">
        <f>$M$5+AO144</f>
        <v>990</v>
      </c>
    </row>
    <row r="145">
      <c r="A145" s="31"/>
      <c r="B145" s="17"/>
      <c r="C145" s="17"/>
      <c r="D145" s="17"/>
      <c r="E145" s="17"/>
      <c r="F145" s="18"/>
      <c r="G145" s="26"/>
      <c r="H145" s="7" t="s">
        <v>23</v>
      </c>
      <c r="I145" s="7">
        <v>360.0</v>
      </c>
      <c r="J145" s="7">
        <v>360.0</v>
      </c>
      <c r="K145" s="7">
        <v>480.0</v>
      </c>
      <c r="L145" s="7">
        <v>468.0</v>
      </c>
      <c r="M145" s="7">
        <v>468.0</v>
      </c>
      <c r="N145" s="7">
        <v>180.0</v>
      </c>
      <c r="O145" s="7">
        <v>276.0</v>
      </c>
      <c r="P145" s="7">
        <v>372.0</v>
      </c>
      <c r="Q145" s="7">
        <v>360.0</v>
      </c>
      <c r="R145" s="28">
        <v>360.0</v>
      </c>
      <c r="S145" s="28">
        <v>420.0</v>
      </c>
      <c r="T145" s="28">
        <v>468.0</v>
      </c>
      <c r="U145" s="28"/>
      <c r="V145" s="28">
        <f>360+120</f>
        <v>480</v>
      </c>
      <c r="W145" s="28">
        <v>480.0</v>
      </c>
      <c r="X145" s="28">
        <v>360.0</v>
      </c>
      <c r="Y145" s="28">
        <f>360+96+48</f>
        <v>504</v>
      </c>
      <c r="Z145" s="28">
        <v>360.0</v>
      </c>
      <c r="AA145" s="28">
        <v>600.0</v>
      </c>
      <c r="AB145" s="28"/>
      <c r="AC145" s="28">
        <v>360.0</v>
      </c>
      <c r="AD145" s="28">
        <v>480.0</v>
      </c>
      <c r="AE145" s="28">
        <v>480.0</v>
      </c>
      <c r="AF145" s="28"/>
      <c r="AG145" s="28">
        <v>384.0</v>
      </c>
      <c r="AH145" s="28">
        <v>336.0</v>
      </c>
      <c r="AI145" s="28"/>
      <c r="AJ145" s="28">
        <v>360.0</v>
      </c>
      <c r="AK145" s="28">
        <v>360.0</v>
      </c>
      <c r="AL145" s="28">
        <v>360.0</v>
      </c>
      <c r="AM145" s="28">
        <v>336.0</v>
      </c>
      <c r="AN145" s="32"/>
      <c r="AO145" s="32"/>
      <c r="AP145" s="32"/>
    </row>
    <row r="146">
      <c r="A146" s="33"/>
      <c r="B146" s="33"/>
      <c r="C146" s="33"/>
      <c r="D146" s="33"/>
      <c r="E146" s="25"/>
      <c r="F146" s="25"/>
      <c r="G146" s="7"/>
      <c r="H146" s="7"/>
      <c r="I146" s="37"/>
      <c r="J146" s="37"/>
      <c r="K146" s="37"/>
      <c r="L146" s="37"/>
      <c r="M146" s="37"/>
      <c r="N146" s="37"/>
      <c r="O146" s="37"/>
      <c r="P146" s="37"/>
      <c r="Q146" s="37"/>
      <c r="R146" s="6"/>
      <c r="S146" s="6"/>
      <c r="T146" s="6"/>
      <c r="U146" s="27"/>
      <c r="V146" s="6"/>
      <c r="W146" s="6"/>
      <c r="X146" s="6"/>
      <c r="Y146" s="6"/>
      <c r="Z146" s="6"/>
      <c r="AA146" s="6"/>
      <c r="AB146" s="27"/>
      <c r="AC146" s="6"/>
      <c r="AD146" s="6"/>
      <c r="AE146" s="6"/>
      <c r="AF146" s="10"/>
      <c r="AG146" s="6"/>
      <c r="AH146" s="6"/>
      <c r="AI146" s="28"/>
      <c r="AJ146" s="6"/>
      <c r="AK146" s="6"/>
      <c r="AL146" s="6"/>
      <c r="AM146" s="6"/>
      <c r="AN146" s="39"/>
      <c r="AO146" s="237"/>
      <c r="AP146" s="237"/>
    </row>
    <row r="147">
      <c r="A147" s="24" t="s">
        <v>73</v>
      </c>
      <c r="B147" s="17"/>
      <c r="C147" s="17"/>
      <c r="D147" s="18"/>
      <c r="E147" s="25">
        <v>12.0</v>
      </c>
      <c r="F147" s="25" t="s">
        <v>21</v>
      </c>
      <c r="G147" s="7">
        <f>6769</f>
        <v>6769</v>
      </c>
      <c r="H147" s="7" t="s">
        <v>22</v>
      </c>
      <c r="I147" s="26"/>
      <c r="J147" s="26"/>
      <c r="K147" s="26"/>
      <c r="L147" s="26"/>
      <c r="M147" s="26"/>
      <c r="N147" s="26"/>
      <c r="O147" s="26"/>
      <c r="P147" s="26"/>
      <c r="Q147" s="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8"/>
      <c r="AC147" s="28">
        <v>6120.0</v>
      </c>
      <c r="AD147" s="27"/>
      <c r="AE147" s="27"/>
      <c r="AF147" s="27"/>
      <c r="AG147" s="27"/>
      <c r="AH147" s="27"/>
      <c r="AI147" s="28"/>
      <c r="AJ147" s="28">
        <f>12240+420</f>
        <v>12660</v>
      </c>
      <c r="AK147" s="28"/>
      <c r="AL147" s="27"/>
      <c r="AM147" s="27"/>
      <c r="AN147" s="29">
        <f>G147+SUM(I147:AM147)-SUM(I148:AM148)</f>
        <v>14737</v>
      </c>
      <c r="AO147" s="236">
        <f>ROUNDDOWN((AN147/E147)/$H$4,1)</f>
        <v>40.9</v>
      </c>
      <c r="AP147" s="236">
        <f>$M$5+AO147</f>
        <v>985.9</v>
      </c>
    </row>
    <row r="148">
      <c r="A148" s="31"/>
      <c r="B148" s="17"/>
      <c r="C148" s="17"/>
      <c r="D148" s="17"/>
      <c r="E148" s="17"/>
      <c r="F148" s="18"/>
      <c r="G148" s="26"/>
      <c r="H148" s="7" t="s">
        <v>23</v>
      </c>
      <c r="I148" s="7">
        <v>360.0</v>
      </c>
      <c r="J148" s="7">
        <v>360.0</v>
      </c>
      <c r="K148" s="7">
        <v>480.0</v>
      </c>
      <c r="L148" s="7">
        <v>468.0</v>
      </c>
      <c r="M148" s="7">
        <v>468.0</v>
      </c>
      <c r="N148" s="7">
        <v>180.0</v>
      </c>
      <c r="O148" s="7">
        <v>276.0</v>
      </c>
      <c r="P148" s="7">
        <v>372.0</v>
      </c>
      <c r="Q148" s="7">
        <v>360.0</v>
      </c>
      <c r="R148" s="28">
        <v>360.0</v>
      </c>
      <c r="S148" s="28">
        <v>420.0</v>
      </c>
      <c r="T148" s="28">
        <v>468.0</v>
      </c>
      <c r="U148" s="28"/>
      <c r="V148" s="28">
        <f>360+120</f>
        <v>480</v>
      </c>
      <c r="W148" s="28">
        <v>480.0</v>
      </c>
      <c r="X148" s="28">
        <v>360.0</v>
      </c>
      <c r="Y148" s="28">
        <f>360+96+48</f>
        <v>504</v>
      </c>
      <c r="Z148" s="28">
        <v>360.0</v>
      </c>
      <c r="AA148" s="28">
        <v>600.0</v>
      </c>
      <c r="AB148" s="28"/>
      <c r="AC148" s="28">
        <v>360.0</v>
      </c>
      <c r="AD148" s="28">
        <v>480.0</v>
      </c>
      <c r="AE148" s="28">
        <v>480.0</v>
      </c>
      <c r="AF148" s="28"/>
      <c r="AG148" s="28">
        <v>384.0</v>
      </c>
      <c r="AH148" s="28">
        <v>336.0</v>
      </c>
      <c r="AI148" s="28"/>
      <c r="AJ148" s="28">
        <v>360.0</v>
      </c>
      <c r="AK148" s="28">
        <v>360.0</v>
      </c>
      <c r="AL148" s="28">
        <v>360.0</v>
      </c>
      <c r="AM148" s="28">
        <v>336.0</v>
      </c>
      <c r="AN148" s="32"/>
      <c r="AO148" s="32"/>
      <c r="AP148" s="32"/>
    </row>
    <row r="149">
      <c r="A149" s="33"/>
      <c r="B149" s="33"/>
      <c r="C149" s="33"/>
      <c r="D149" s="33"/>
      <c r="E149" s="25"/>
      <c r="F149" s="25"/>
      <c r="G149" s="7"/>
      <c r="H149" s="7"/>
      <c r="I149" s="37"/>
      <c r="J149" s="37"/>
      <c r="K149" s="37"/>
      <c r="L149" s="37"/>
      <c r="M149" s="37"/>
      <c r="N149" s="37"/>
      <c r="O149" s="37"/>
      <c r="P149" s="37"/>
      <c r="Q149" s="37"/>
      <c r="R149" s="6"/>
      <c r="S149" s="6"/>
      <c r="T149" s="6"/>
      <c r="U149" s="27"/>
      <c r="V149" s="6"/>
      <c r="W149" s="6"/>
      <c r="X149" s="6"/>
      <c r="Y149" s="6"/>
      <c r="Z149" s="6"/>
      <c r="AA149" s="6"/>
      <c r="AB149" s="27"/>
      <c r="AC149" s="6"/>
      <c r="AD149" s="6"/>
      <c r="AE149" s="6"/>
      <c r="AF149" s="10"/>
      <c r="AG149" s="6"/>
      <c r="AH149" s="6"/>
      <c r="AI149" s="27"/>
      <c r="AJ149" s="6"/>
      <c r="AK149" s="6"/>
      <c r="AL149" s="6"/>
      <c r="AM149" s="6"/>
      <c r="AN149" s="39"/>
      <c r="AO149" s="237"/>
      <c r="AP149" s="237"/>
    </row>
    <row r="150">
      <c r="A150" s="24" t="s">
        <v>176</v>
      </c>
      <c r="B150" s="17"/>
      <c r="C150" s="17"/>
      <c r="D150" s="18"/>
      <c r="E150" s="25">
        <v>18.0</v>
      </c>
      <c r="F150" s="25" t="s">
        <v>21</v>
      </c>
      <c r="G150" s="7">
        <f>10050</f>
        <v>10050</v>
      </c>
      <c r="H150" s="7" t="s">
        <v>22</v>
      </c>
      <c r="I150" s="26"/>
      <c r="J150" s="26"/>
      <c r="K150" s="26"/>
      <c r="L150" s="26"/>
      <c r="M150" s="26"/>
      <c r="N150" s="26"/>
      <c r="O150" s="26"/>
      <c r="P150" s="7"/>
      <c r="Q150" s="26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8"/>
      <c r="AC150" s="28">
        <v>9180.0</v>
      </c>
      <c r="AD150" s="27"/>
      <c r="AE150" s="27"/>
      <c r="AF150" s="27"/>
      <c r="AG150" s="27"/>
      <c r="AH150" s="27"/>
      <c r="AI150" s="27"/>
      <c r="AJ150" s="28">
        <v>18360.0</v>
      </c>
      <c r="AK150" s="28"/>
      <c r="AL150" s="27"/>
      <c r="AM150" s="27"/>
      <c r="AN150" s="29">
        <f>G150+SUM(I150:AM150)-SUM(I151:AM151)</f>
        <v>21264</v>
      </c>
      <c r="AO150" s="236">
        <f>ROUNDDOWN((AN150/E150)/$H$4,1)</f>
        <v>39.3</v>
      </c>
      <c r="AP150" s="236">
        <f>$M$5+AO150</f>
        <v>984.3</v>
      </c>
    </row>
    <row r="151">
      <c r="A151" s="31"/>
      <c r="B151" s="17"/>
      <c r="C151" s="17"/>
      <c r="D151" s="17"/>
      <c r="E151" s="17"/>
      <c r="F151" s="18"/>
      <c r="G151" s="26"/>
      <c r="H151" s="7" t="s">
        <v>23</v>
      </c>
      <c r="I151" s="7">
        <f>630+90</f>
        <v>720</v>
      </c>
      <c r="J151" s="7">
        <v>720.0</v>
      </c>
      <c r="K151" s="7">
        <v>432.0</v>
      </c>
      <c r="L151" s="7">
        <v>576.0</v>
      </c>
      <c r="M151" s="7">
        <v>648.0</v>
      </c>
      <c r="N151" s="7">
        <v>270.0</v>
      </c>
      <c r="O151" s="7">
        <v>360.0</v>
      </c>
      <c r="P151" s="7">
        <v>630.0</v>
      </c>
      <c r="Q151" s="7">
        <v>540.0</v>
      </c>
      <c r="R151" s="28">
        <v>540.0</v>
      </c>
      <c r="S151" s="28">
        <f>630+180</f>
        <v>810</v>
      </c>
      <c r="T151" s="28">
        <f>540+180</f>
        <v>720</v>
      </c>
      <c r="U151" s="28"/>
      <c r="V151" s="28">
        <f>540+180</f>
        <v>720</v>
      </c>
      <c r="W151" s="28">
        <v>720.0</v>
      </c>
      <c r="X151" s="28">
        <v>594.0</v>
      </c>
      <c r="Y151" s="28">
        <v>666.0</v>
      </c>
      <c r="Z151" s="28">
        <f>540+108</f>
        <v>648</v>
      </c>
      <c r="AA151" s="28">
        <v>702.0</v>
      </c>
      <c r="AB151" s="28"/>
      <c r="AC151" s="28">
        <v>720.0</v>
      </c>
      <c r="AD151" s="28">
        <v>720.0</v>
      </c>
      <c r="AE151" s="28">
        <v>630.0</v>
      </c>
      <c r="AF151" s="28"/>
      <c r="AG151" s="28">
        <v>540.0</v>
      </c>
      <c r="AH151" s="28">
        <v>540.0</v>
      </c>
      <c r="AI151" s="28"/>
      <c r="AJ151" s="28">
        <v>540.0</v>
      </c>
      <c r="AK151" s="28">
        <v>540.0</v>
      </c>
      <c r="AL151" s="28">
        <v>540.0</v>
      </c>
      <c r="AM151" s="28">
        <v>540.0</v>
      </c>
      <c r="AN151" s="32"/>
      <c r="AO151" s="32"/>
      <c r="AP151" s="32"/>
    </row>
    <row r="152">
      <c r="A152" s="33"/>
      <c r="B152" s="33"/>
      <c r="C152" s="33"/>
      <c r="D152" s="33"/>
      <c r="E152" s="25"/>
      <c r="F152" s="25"/>
      <c r="G152" s="7"/>
      <c r="H152" s="7"/>
      <c r="I152" s="37"/>
      <c r="J152" s="37"/>
      <c r="K152" s="37"/>
      <c r="L152" s="37"/>
      <c r="M152" s="37"/>
      <c r="N152" s="37"/>
      <c r="O152" s="37"/>
      <c r="P152" s="37"/>
      <c r="Q152" s="37"/>
      <c r="R152" s="6"/>
      <c r="S152" s="6"/>
      <c r="T152" s="6"/>
      <c r="U152" s="27"/>
      <c r="V152" s="6"/>
      <c r="W152" s="6"/>
      <c r="X152" s="6"/>
      <c r="Y152" s="6"/>
      <c r="Z152" s="6"/>
      <c r="AA152" s="6"/>
      <c r="AB152" s="27"/>
      <c r="AC152" s="6"/>
      <c r="AD152" s="6"/>
      <c r="AE152" s="6"/>
      <c r="AF152" s="10"/>
      <c r="AG152" s="6"/>
      <c r="AH152" s="6"/>
      <c r="AI152" s="27"/>
      <c r="AJ152" s="6"/>
      <c r="AK152" s="6"/>
      <c r="AL152" s="6"/>
      <c r="AM152" s="6"/>
      <c r="AN152" s="39"/>
      <c r="AO152" s="237"/>
      <c r="AP152" s="237"/>
    </row>
    <row r="153">
      <c r="A153" s="24" t="s">
        <v>75</v>
      </c>
      <c r="B153" s="17"/>
      <c r="C153" s="17"/>
      <c r="D153" s="18"/>
      <c r="E153" s="25">
        <v>12.0</v>
      </c>
      <c r="F153" s="25" t="s">
        <v>21</v>
      </c>
      <c r="G153" s="7">
        <v>15090.0</v>
      </c>
      <c r="H153" s="7" t="s">
        <v>22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8">
        <v>12000.0</v>
      </c>
      <c r="AL153" s="27"/>
      <c r="AM153" s="27"/>
      <c r="AN153" s="29">
        <f>G153+SUM(I153:AM153)-SUM(I154:AM154)</f>
        <v>16260</v>
      </c>
      <c r="AO153" s="236">
        <f>ROUNDDOWN((AN153/E153)/$H$4,1)</f>
        <v>45.1</v>
      </c>
      <c r="AP153" s="236">
        <f>$M$4+AO153</f>
        <v>993.1</v>
      </c>
    </row>
    <row r="154">
      <c r="A154" s="31"/>
      <c r="B154" s="17"/>
      <c r="C154" s="17"/>
      <c r="D154" s="17"/>
      <c r="E154" s="17"/>
      <c r="F154" s="18"/>
      <c r="G154" s="26"/>
      <c r="H154" s="7" t="s">
        <v>23</v>
      </c>
      <c r="I154" s="7">
        <f>270+270+120</f>
        <v>660</v>
      </c>
      <c r="J154" s="7">
        <v>270.0</v>
      </c>
      <c r="K154" s="7">
        <f>120+270+270</f>
        <v>660</v>
      </c>
      <c r="L154" s="7">
        <f>120+270</f>
        <v>390</v>
      </c>
      <c r="M154" s="7">
        <v>270.0</v>
      </c>
      <c r="N154" s="7"/>
      <c r="O154" s="7">
        <f>60+270+270</f>
        <v>600</v>
      </c>
      <c r="P154" s="7">
        <f>120+270</f>
        <v>390</v>
      </c>
      <c r="Q154" s="7">
        <v>270.0</v>
      </c>
      <c r="R154" s="28">
        <f>120+270+320</f>
        <v>710</v>
      </c>
      <c r="S154" s="28">
        <f>270+120</f>
        <v>390</v>
      </c>
      <c r="T154" s="28">
        <v>270.0</v>
      </c>
      <c r="U154" s="28"/>
      <c r="V154" s="28">
        <f>120+270</f>
        <v>390</v>
      </c>
      <c r="W154" s="28">
        <v>540.0</v>
      </c>
      <c r="X154" s="28">
        <f>120+540</f>
        <v>660</v>
      </c>
      <c r="Y154" s="28">
        <v>120.0</v>
      </c>
      <c r="Z154" s="28">
        <v>540.0</v>
      </c>
      <c r="AA154" s="28">
        <f>540+400</f>
        <v>940</v>
      </c>
      <c r="AB154" s="28"/>
      <c r="AC154" s="28">
        <v>120.0</v>
      </c>
      <c r="AD154" s="28">
        <v>270.0</v>
      </c>
      <c r="AE154" s="28">
        <f>120+270</f>
        <v>390</v>
      </c>
      <c r="AF154" s="28"/>
      <c r="AG154" s="28">
        <v>270.0</v>
      </c>
      <c r="AH154" s="28">
        <f>120+540</f>
        <v>660</v>
      </c>
      <c r="AI154" s="28"/>
      <c r="AJ154" s="28">
        <v>120.0</v>
      </c>
      <c r="AK154" s="28">
        <v>270.0</v>
      </c>
      <c r="AL154" s="28">
        <f>120+540</f>
        <v>660</v>
      </c>
      <c r="AM154" s="28"/>
      <c r="AN154" s="32"/>
      <c r="AO154" s="32"/>
      <c r="AP154" s="32"/>
    </row>
    <row r="155">
      <c r="A155" s="33"/>
      <c r="B155" s="33"/>
      <c r="C155" s="33"/>
      <c r="D155" s="33"/>
      <c r="E155" s="25"/>
      <c r="F155" s="25"/>
      <c r="G155" s="7"/>
      <c r="H155" s="7"/>
      <c r="I155" s="37"/>
      <c r="J155" s="37"/>
      <c r="K155" s="37"/>
      <c r="L155" s="37"/>
      <c r="M155" s="37"/>
      <c r="N155" s="36"/>
      <c r="O155" s="37"/>
      <c r="P155" s="37"/>
      <c r="Q155" s="37"/>
      <c r="R155" s="6"/>
      <c r="S155" s="6"/>
      <c r="T155" s="6"/>
      <c r="U155" s="27"/>
      <c r="V155" s="6"/>
      <c r="W155" s="6"/>
      <c r="X155" s="6"/>
      <c r="Y155" s="6"/>
      <c r="Z155" s="6"/>
      <c r="AA155" s="6"/>
      <c r="AB155" s="27"/>
      <c r="AC155" s="6"/>
      <c r="AD155" s="6"/>
      <c r="AE155" s="6"/>
      <c r="AF155" s="10"/>
      <c r="AG155" s="6"/>
      <c r="AH155" s="6"/>
      <c r="AI155" s="27"/>
      <c r="AJ155" s="6"/>
      <c r="AK155" s="6"/>
      <c r="AL155" s="6"/>
      <c r="AM155" s="10"/>
      <c r="AN155" s="39"/>
      <c r="AO155" s="237"/>
      <c r="AP155" s="237"/>
    </row>
    <row r="156">
      <c r="A156" s="24" t="s">
        <v>76</v>
      </c>
      <c r="B156" s="17"/>
      <c r="C156" s="17"/>
      <c r="D156" s="18"/>
      <c r="E156" s="25">
        <v>1.0</v>
      </c>
      <c r="F156" s="25" t="s">
        <v>21</v>
      </c>
      <c r="G156" s="7">
        <v>787.0</v>
      </c>
      <c r="H156" s="7" t="s">
        <v>22</v>
      </c>
      <c r="I156" s="26"/>
      <c r="J156" s="26"/>
      <c r="K156" s="26"/>
      <c r="L156" s="26"/>
      <c r="M156" s="26"/>
      <c r="N156" s="26"/>
      <c r="O156" s="26"/>
      <c r="P156" s="26"/>
      <c r="Q156" s="7">
        <v>500.0</v>
      </c>
      <c r="R156" s="28"/>
      <c r="S156" s="27"/>
      <c r="T156" s="27"/>
      <c r="U156" s="27"/>
      <c r="V156" s="27"/>
      <c r="W156" s="27"/>
      <c r="X156" s="28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8">
        <v>1000.0</v>
      </c>
      <c r="AL156" s="27"/>
      <c r="AM156" s="27"/>
      <c r="AN156" s="29">
        <f>G156+SUM(I156:AM156)-SUM(I157:AM157)</f>
        <v>1387</v>
      </c>
      <c r="AO156" s="236">
        <f>ROUNDDOWN((AN156/E156)/$H$4,1)</f>
        <v>46.2</v>
      </c>
      <c r="AP156" s="236">
        <f>$M$4+AO156</f>
        <v>994.2</v>
      </c>
    </row>
    <row r="157">
      <c r="A157" s="31"/>
      <c r="B157" s="17"/>
      <c r="C157" s="17"/>
      <c r="D157" s="17"/>
      <c r="E157" s="17"/>
      <c r="F157" s="18"/>
      <c r="G157" s="26"/>
      <c r="H157" s="7" t="s">
        <v>23</v>
      </c>
      <c r="I157" s="7">
        <v>90.0</v>
      </c>
      <c r="J157" s="26"/>
      <c r="K157" s="7"/>
      <c r="L157" s="7">
        <v>90.0</v>
      </c>
      <c r="M157" s="7">
        <v>90.0</v>
      </c>
      <c r="N157" s="7"/>
      <c r="O157" s="7"/>
      <c r="P157" s="26"/>
      <c r="Q157" s="7">
        <v>90.0</v>
      </c>
      <c r="R157" s="28"/>
      <c r="S157" s="28"/>
      <c r="T157" s="28">
        <v>90.0</v>
      </c>
      <c r="U157" s="27"/>
      <c r="V157" s="28"/>
      <c r="W157" s="28">
        <v>90.0</v>
      </c>
      <c r="X157" s="28"/>
      <c r="Y157" s="28">
        <v>90.0</v>
      </c>
      <c r="Z157" s="28"/>
      <c r="AA157" s="28">
        <v>90.0</v>
      </c>
      <c r="AB157" s="28"/>
      <c r="AC157" s="28"/>
      <c r="AD157" s="28"/>
      <c r="AE157" s="27"/>
      <c r="AF157" s="28"/>
      <c r="AG157" s="28">
        <v>90.0</v>
      </c>
      <c r="AH157" s="28"/>
      <c r="AI157" s="28"/>
      <c r="AJ157" s="27"/>
      <c r="AK157" s="28">
        <v>90.0</v>
      </c>
      <c r="AL157" s="27"/>
      <c r="AM157" s="27"/>
      <c r="AN157" s="32"/>
      <c r="AO157" s="32"/>
      <c r="AP157" s="32"/>
    </row>
    <row r="158">
      <c r="A158" s="33"/>
      <c r="B158" s="33"/>
      <c r="C158" s="33"/>
      <c r="D158" s="33"/>
      <c r="E158" s="25"/>
      <c r="F158" s="25"/>
      <c r="G158" s="7"/>
      <c r="H158" s="7"/>
      <c r="I158" s="37"/>
      <c r="J158" s="36"/>
      <c r="K158" s="36"/>
      <c r="L158" s="37"/>
      <c r="M158" s="37"/>
      <c r="N158" s="36"/>
      <c r="O158" s="36"/>
      <c r="P158" s="36"/>
      <c r="Q158" s="37"/>
      <c r="R158" s="10"/>
      <c r="S158" s="10"/>
      <c r="T158" s="6"/>
      <c r="U158" s="27"/>
      <c r="V158" s="10"/>
      <c r="W158" s="6"/>
      <c r="X158" s="10"/>
      <c r="Y158" s="6"/>
      <c r="Z158" s="10"/>
      <c r="AA158" s="6"/>
      <c r="AB158" s="27"/>
      <c r="AC158" s="10"/>
      <c r="AD158" s="10"/>
      <c r="AE158" s="10"/>
      <c r="AF158" s="10"/>
      <c r="AG158" s="6"/>
      <c r="AH158" s="10"/>
      <c r="AI158" s="27"/>
      <c r="AJ158" s="10"/>
      <c r="AK158" s="6"/>
      <c r="AL158" s="10"/>
      <c r="AM158" s="10"/>
      <c r="AN158" s="39"/>
      <c r="AO158" s="237"/>
      <c r="AP158" s="237"/>
    </row>
    <row r="159">
      <c r="A159" s="24" t="s">
        <v>77</v>
      </c>
      <c r="B159" s="17"/>
      <c r="C159" s="17"/>
      <c r="D159" s="18"/>
      <c r="E159" s="25">
        <v>8.0</v>
      </c>
      <c r="F159" s="25" t="s">
        <v>21</v>
      </c>
      <c r="G159" s="7">
        <v>6698.0</v>
      </c>
      <c r="H159" s="7" t="s">
        <v>22</v>
      </c>
      <c r="I159" s="26"/>
      <c r="J159" s="26"/>
      <c r="K159" s="26"/>
      <c r="L159" s="26"/>
      <c r="M159" s="26"/>
      <c r="N159" s="26"/>
      <c r="O159" s="26"/>
      <c r="P159" s="7">
        <v>320.0</v>
      </c>
      <c r="Q159" s="7">
        <v>4000.0</v>
      </c>
      <c r="R159" s="28"/>
      <c r="S159" s="27"/>
      <c r="T159" s="27"/>
      <c r="U159" s="27"/>
      <c r="V159" s="27"/>
      <c r="W159" s="27"/>
      <c r="X159" s="28"/>
      <c r="Y159" s="27"/>
      <c r="Z159" s="27"/>
      <c r="AA159" s="27"/>
      <c r="AB159" s="27"/>
      <c r="AC159" s="27"/>
      <c r="AD159" s="28"/>
      <c r="AE159" s="27"/>
      <c r="AF159" s="27"/>
      <c r="AG159" s="27"/>
      <c r="AH159" s="27"/>
      <c r="AI159" s="27"/>
      <c r="AJ159" s="27"/>
      <c r="AK159" s="27"/>
      <c r="AL159" s="27"/>
      <c r="AM159" s="27"/>
      <c r="AN159" s="29">
        <f>G159+SUM(I159:AM159)-SUM(I160:AM160)</f>
        <v>3338</v>
      </c>
      <c r="AO159" s="236">
        <f>ROUNDDOWN((AN159/E159)/$H$4,1)</f>
        <v>13.9</v>
      </c>
      <c r="AP159" s="236">
        <f>$M$4+AO159</f>
        <v>961.9</v>
      </c>
    </row>
    <row r="160">
      <c r="A160" s="31"/>
      <c r="B160" s="17"/>
      <c r="C160" s="17"/>
      <c r="D160" s="17"/>
      <c r="E160" s="17"/>
      <c r="F160" s="18"/>
      <c r="G160" s="26"/>
      <c r="H160" s="7" t="s">
        <v>23</v>
      </c>
      <c r="I160" s="7">
        <v>480.0</v>
      </c>
      <c r="J160" s="7">
        <v>480.0</v>
      </c>
      <c r="K160" s="7"/>
      <c r="L160" s="7">
        <v>480.0</v>
      </c>
      <c r="M160" s="7"/>
      <c r="N160" s="7"/>
      <c r="O160" s="7">
        <v>240.0</v>
      </c>
      <c r="P160" s="7">
        <v>240.0</v>
      </c>
      <c r="Q160" s="7">
        <v>480.0</v>
      </c>
      <c r="R160" s="28">
        <v>480.0</v>
      </c>
      <c r="S160" s="27"/>
      <c r="T160" s="28">
        <v>480.0</v>
      </c>
      <c r="U160" s="28"/>
      <c r="V160" s="28">
        <v>480.0</v>
      </c>
      <c r="W160" s="27"/>
      <c r="X160" s="28">
        <v>480.0</v>
      </c>
      <c r="Y160" s="28">
        <v>480.0</v>
      </c>
      <c r="Z160" s="28"/>
      <c r="AA160" s="28">
        <v>480.0</v>
      </c>
      <c r="AB160" s="28"/>
      <c r="AC160" s="28">
        <v>480.0</v>
      </c>
      <c r="AD160" s="28"/>
      <c r="AE160" s="28">
        <v>480.0</v>
      </c>
      <c r="AF160" s="28"/>
      <c r="AG160" s="28"/>
      <c r="AH160" s="28"/>
      <c r="AI160" s="27"/>
      <c r="AJ160" s="28">
        <v>480.0</v>
      </c>
      <c r="AK160" s="28">
        <v>480.0</v>
      </c>
      <c r="AL160" s="28"/>
      <c r="AM160" s="28">
        <v>480.0</v>
      </c>
      <c r="AN160" s="32"/>
      <c r="AO160" s="32"/>
      <c r="AP160" s="32"/>
    </row>
    <row r="161">
      <c r="A161" s="33"/>
      <c r="B161" s="33"/>
      <c r="C161" s="33"/>
      <c r="D161" s="33"/>
      <c r="E161" s="25"/>
      <c r="F161" s="25"/>
      <c r="G161" s="7"/>
      <c r="H161" s="7"/>
      <c r="I161" s="37"/>
      <c r="J161" s="37"/>
      <c r="K161" s="36"/>
      <c r="L161" s="37"/>
      <c r="M161" s="36"/>
      <c r="N161" s="36"/>
      <c r="O161" s="37"/>
      <c r="P161" s="37"/>
      <c r="Q161" s="37"/>
      <c r="R161" s="6"/>
      <c r="S161" s="10"/>
      <c r="T161" s="6"/>
      <c r="U161" s="27"/>
      <c r="V161" s="6"/>
      <c r="W161" s="10"/>
      <c r="X161" s="6"/>
      <c r="Y161" s="6"/>
      <c r="Z161" s="10"/>
      <c r="AA161" s="6"/>
      <c r="AB161" s="27"/>
      <c r="AC161" s="6"/>
      <c r="AD161" s="10"/>
      <c r="AE161" s="6"/>
      <c r="AF161" s="10"/>
      <c r="AG161" s="10"/>
      <c r="AH161" s="10"/>
      <c r="AI161" s="27"/>
      <c r="AJ161" s="6"/>
      <c r="AK161" s="6"/>
      <c r="AL161" s="10"/>
      <c r="AM161" s="6"/>
      <c r="AN161" s="39"/>
      <c r="AO161" s="237"/>
      <c r="AP161" s="237"/>
    </row>
    <row r="162">
      <c r="A162" s="24" t="s">
        <v>78</v>
      </c>
      <c r="B162" s="17"/>
      <c r="C162" s="17"/>
      <c r="D162" s="18"/>
      <c r="E162" s="25">
        <v>6.0</v>
      </c>
      <c r="F162" s="25" t="s">
        <v>21</v>
      </c>
      <c r="G162" s="7">
        <v>8090.0</v>
      </c>
      <c r="H162" s="7" t="s">
        <v>22</v>
      </c>
      <c r="I162" s="26"/>
      <c r="J162" s="26"/>
      <c r="K162" s="26"/>
      <c r="L162" s="26"/>
      <c r="M162" s="26"/>
      <c r="N162" s="26"/>
      <c r="O162" s="26"/>
      <c r="P162" s="26"/>
      <c r="Q162" s="7">
        <v>4000.0</v>
      </c>
      <c r="R162" s="28"/>
      <c r="S162" s="27"/>
      <c r="T162" s="27"/>
      <c r="U162" s="27"/>
      <c r="V162" s="27"/>
      <c r="W162" s="27"/>
      <c r="X162" s="28"/>
      <c r="Y162" s="27"/>
      <c r="Z162" s="27"/>
      <c r="AA162" s="27"/>
      <c r="AB162" s="27"/>
      <c r="AC162" s="27"/>
      <c r="AD162" s="27"/>
      <c r="AE162" s="85"/>
      <c r="AF162" s="85"/>
      <c r="AG162" s="85"/>
      <c r="AH162" s="85"/>
      <c r="AI162" s="85"/>
      <c r="AJ162" s="85"/>
      <c r="AK162" s="89">
        <v>6000.0</v>
      </c>
      <c r="AL162" s="85"/>
      <c r="AM162" s="85"/>
      <c r="AN162" s="29">
        <f>G162+SUM(I162:AM162)-SUM(I163:AM163)</f>
        <v>12330</v>
      </c>
      <c r="AO162" s="236">
        <f>ROUNDDOWN((AN162/E162)/$H$4,1)</f>
        <v>68.5</v>
      </c>
      <c r="AP162" s="236">
        <f>$M$3+AO162</f>
        <v>1013.5</v>
      </c>
    </row>
    <row r="163">
      <c r="A163" s="31"/>
      <c r="B163" s="17"/>
      <c r="C163" s="17"/>
      <c r="D163" s="17"/>
      <c r="E163" s="17"/>
      <c r="F163" s="18"/>
      <c r="G163" s="26"/>
      <c r="H163" s="7" t="s">
        <v>23</v>
      </c>
      <c r="I163" s="7">
        <v>180.0</v>
      </c>
      <c r="J163" s="7">
        <v>180.0</v>
      </c>
      <c r="K163" s="7">
        <v>270.0</v>
      </c>
      <c r="L163" s="7">
        <v>180.0</v>
      </c>
      <c r="M163" s="7">
        <v>180.0</v>
      </c>
      <c r="N163" s="7"/>
      <c r="O163" s="7">
        <v>270.0</v>
      </c>
      <c r="P163" s="7">
        <v>180.0</v>
      </c>
      <c r="Q163" s="7">
        <v>270.0</v>
      </c>
      <c r="R163" s="28">
        <v>180.0</v>
      </c>
      <c r="S163" s="28">
        <v>270.0</v>
      </c>
      <c r="T163" s="28">
        <v>270.0</v>
      </c>
      <c r="U163" s="28"/>
      <c r="V163" s="28">
        <v>180.0</v>
      </c>
      <c r="W163" s="28">
        <v>270.0</v>
      </c>
      <c r="X163" s="28">
        <v>270.0</v>
      </c>
      <c r="Y163" s="28">
        <v>270.0</v>
      </c>
      <c r="Z163" s="28">
        <v>270.0</v>
      </c>
      <c r="AA163" s="28">
        <v>270.0</v>
      </c>
      <c r="AB163" s="28"/>
      <c r="AC163" s="28">
        <v>270.0</v>
      </c>
      <c r="AD163" s="28">
        <v>180.0</v>
      </c>
      <c r="AE163" s="89">
        <v>270.0</v>
      </c>
      <c r="AF163" s="87"/>
      <c r="AG163" s="89">
        <v>180.0</v>
      </c>
      <c r="AH163" s="89">
        <v>180.0</v>
      </c>
      <c r="AI163" s="87"/>
      <c r="AJ163" s="89">
        <v>180.0</v>
      </c>
      <c r="AK163" s="89">
        <v>180.0</v>
      </c>
      <c r="AL163" s="89">
        <v>180.0</v>
      </c>
      <c r="AM163" s="89">
        <v>180.0</v>
      </c>
      <c r="AN163" s="32"/>
      <c r="AO163" s="32"/>
      <c r="AP163" s="32"/>
    </row>
    <row r="164">
      <c r="A164" s="33"/>
      <c r="B164" s="33"/>
      <c r="C164" s="33"/>
      <c r="D164" s="33"/>
      <c r="E164" s="25"/>
      <c r="F164" s="25"/>
      <c r="G164" s="7"/>
      <c r="H164" s="7"/>
      <c r="I164" s="37"/>
      <c r="J164" s="37"/>
      <c r="K164" s="37"/>
      <c r="L164" s="37"/>
      <c r="M164" s="37"/>
      <c r="N164" s="36"/>
      <c r="O164" s="37"/>
      <c r="P164" s="37"/>
      <c r="Q164" s="37"/>
      <c r="R164" s="6"/>
      <c r="S164" s="6"/>
      <c r="T164" s="6"/>
      <c r="U164" s="27"/>
      <c r="V164" s="6"/>
      <c r="W164" s="6"/>
      <c r="X164" s="6"/>
      <c r="Y164" s="6"/>
      <c r="Z164" s="6"/>
      <c r="AA164" s="6"/>
      <c r="AB164" s="27"/>
      <c r="AC164" s="6"/>
      <c r="AD164" s="6"/>
      <c r="AE164" s="6"/>
      <c r="AF164" s="10"/>
      <c r="AG164" s="6"/>
      <c r="AH164" s="6"/>
      <c r="AI164" s="28"/>
      <c r="AJ164" s="6"/>
      <c r="AK164" s="6"/>
      <c r="AL164" s="6"/>
      <c r="AM164" s="6"/>
      <c r="AN164" s="39"/>
      <c r="AO164" s="237"/>
      <c r="AP164" s="237"/>
    </row>
    <row r="165">
      <c r="A165" s="24" t="s">
        <v>79</v>
      </c>
      <c r="B165" s="17"/>
      <c r="C165" s="17"/>
      <c r="D165" s="18"/>
      <c r="E165" s="25">
        <v>12.0</v>
      </c>
      <c r="F165" s="25" t="s">
        <v>21</v>
      </c>
      <c r="G165" s="7">
        <v>7891.0</v>
      </c>
      <c r="H165" s="7" t="s">
        <v>22</v>
      </c>
      <c r="I165" s="26"/>
      <c r="J165" s="26"/>
      <c r="K165" s="26"/>
      <c r="L165" s="26"/>
      <c r="M165" s="26"/>
      <c r="N165" s="26"/>
      <c r="O165" s="26"/>
      <c r="P165" s="26"/>
      <c r="Q165" s="26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8"/>
      <c r="AC165" s="28">
        <v>6120.0</v>
      </c>
      <c r="AD165" s="27"/>
      <c r="AE165" s="27"/>
      <c r="AF165" s="27"/>
      <c r="AG165" s="27"/>
      <c r="AH165" s="28">
        <v>240.0</v>
      </c>
      <c r="AI165" s="28"/>
      <c r="AJ165" s="28">
        <f>12240+180</f>
        <v>12420</v>
      </c>
      <c r="AK165" s="28"/>
      <c r="AL165" s="27"/>
      <c r="AM165" s="27"/>
      <c r="AN165" s="29">
        <f>G165+SUM(I165:AM165)-SUM(I166:AM166)</f>
        <v>15859</v>
      </c>
      <c r="AO165" s="236">
        <f>ROUNDDOWN((AN165/E165)/$H$4,1)</f>
        <v>44</v>
      </c>
      <c r="AP165" s="236">
        <f>M5+AO165</f>
        <v>989</v>
      </c>
    </row>
    <row r="166">
      <c r="A166" s="31"/>
      <c r="B166" s="17"/>
      <c r="C166" s="17"/>
      <c r="D166" s="17"/>
      <c r="E166" s="17"/>
      <c r="F166" s="18"/>
      <c r="G166" s="26"/>
      <c r="H166" s="7" t="s">
        <v>23</v>
      </c>
      <c r="I166" s="7">
        <v>360.0</v>
      </c>
      <c r="J166" s="7">
        <v>360.0</v>
      </c>
      <c r="K166" s="7">
        <v>480.0</v>
      </c>
      <c r="L166" s="7">
        <v>468.0</v>
      </c>
      <c r="M166" s="7">
        <v>468.0</v>
      </c>
      <c r="N166" s="7">
        <v>180.0</v>
      </c>
      <c r="O166" s="7">
        <v>276.0</v>
      </c>
      <c r="P166" s="7">
        <v>372.0</v>
      </c>
      <c r="Q166" s="7">
        <v>360.0</v>
      </c>
      <c r="R166" s="28">
        <v>360.0</v>
      </c>
      <c r="S166" s="28">
        <v>420.0</v>
      </c>
      <c r="T166" s="28">
        <v>468.0</v>
      </c>
      <c r="U166" s="28"/>
      <c r="V166" s="28">
        <f>360+120</f>
        <v>480</v>
      </c>
      <c r="W166" s="28">
        <v>480.0</v>
      </c>
      <c r="X166" s="28">
        <v>360.0</v>
      </c>
      <c r="Y166" s="28">
        <f>360+96+48</f>
        <v>504</v>
      </c>
      <c r="Z166" s="28">
        <v>360.0</v>
      </c>
      <c r="AA166" s="28">
        <v>600.0</v>
      </c>
      <c r="AB166" s="28"/>
      <c r="AC166" s="28">
        <v>360.0</v>
      </c>
      <c r="AD166" s="28">
        <v>480.0</v>
      </c>
      <c r="AE166" s="28">
        <v>480.0</v>
      </c>
      <c r="AF166" s="28"/>
      <c r="AG166" s="28">
        <v>384.0</v>
      </c>
      <c r="AH166" s="28">
        <v>336.0</v>
      </c>
      <c r="AI166" s="28"/>
      <c r="AJ166" s="28">
        <v>360.0</v>
      </c>
      <c r="AK166" s="28">
        <v>360.0</v>
      </c>
      <c r="AL166" s="28">
        <v>360.0</v>
      </c>
      <c r="AM166" s="28">
        <v>336.0</v>
      </c>
      <c r="AN166" s="32"/>
      <c r="AO166" s="32"/>
      <c r="AP166" s="32"/>
    </row>
    <row r="167">
      <c r="A167" s="33"/>
      <c r="B167" s="33"/>
      <c r="C167" s="33"/>
      <c r="D167" s="33"/>
      <c r="E167" s="25"/>
      <c r="F167" s="25"/>
      <c r="G167" s="7"/>
      <c r="H167" s="7"/>
      <c r="I167" s="37"/>
      <c r="J167" s="37"/>
      <c r="K167" s="37"/>
      <c r="L167" s="37"/>
      <c r="M167" s="37"/>
      <c r="N167" s="37"/>
      <c r="O167" s="37"/>
      <c r="P167" s="37"/>
      <c r="Q167" s="37"/>
      <c r="R167" s="6"/>
      <c r="S167" s="6"/>
      <c r="T167" s="6"/>
      <c r="U167" s="27"/>
      <c r="V167" s="42"/>
      <c r="W167" s="6"/>
      <c r="X167" s="6"/>
      <c r="Y167" s="6"/>
      <c r="Z167" s="6"/>
      <c r="AA167" s="6"/>
      <c r="AB167" s="27"/>
      <c r="AC167" s="6"/>
      <c r="AD167" s="6"/>
      <c r="AE167" s="6"/>
      <c r="AF167" s="10"/>
      <c r="AG167" s="6"/>
      <c r="AH167" s="6"/>
      <c r="AI167" s="28"/>
      <c r="AJ167" s="6"/>
      <c r="AK167" s="6"/>
      <c r="AL167" s="6"/>
      <c r="AM167" s="6"/>
      <c r="AN167" s="39"/>
      <c r="AO167" s="237"/>
      <c r="AP167" s="237"/>
    </row>
    <row r="168">
      <c r="A168" s="24" t="s">
        <v>80</v>
      </c>
      <c r="B168" s="17"/>
      <c r="C168" s="17"/>
      <c r="D168" s="18"/>
      <c r="E168" s="25">
        <v>6.0</v>
      </c>
      <c r="F168" s="25" t="s">
        <v>21</v>
      </c>
      <c r="G168" s="7">
        <f>3160</f>
        <v>3160</v>
      </c>
      <c r="H168" s="7" t="s">
        <v>22</v>
      </c>
      <c r="I168" s="26"/>
      <c r="J168" s="26"/>
      <c r="K168" s="7"/>
      <c r="L168" s="26"/>
      <c r="M168" s="26"/>
      <c r="N168" s="26"/>
      <c r="O168" s="26"/>
      <c r="P168" s="26"/>
      <c r="Q168" s="26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8"/>
      <c r="AC168" s="28">
        <v>3060.0</v>
      </c>
      <c r="AD168" s="27"/>
      <c r="AE168" s="27"/>
      <c r="AF168" s="27"/>
      <c r="AG168" s="27"/>
      <c r="AH168" s="27"/>
      <c r="AI168" s="28"/>
      <c r="AJ168" s="28">
        <f>6120+180</f>
        <v>6300</v>
      </c>
      <c r="AK168" s="28"/>
      <c r="AL168" s="27"/>
      <c r="AM168" s="27"/>
      <c r="AN168" s="29">
        <f>G168+SUM(I168:AM168)-SUM(I169:AM169)</f>
        <v>7468</v>
      </c>
      <c r="AO168" s="236">
        <f>ROUNDDOWN((AN168/E168)/$H$4,1)</f>
        <v>41.4</v>
      </c>
      <c r="AP168" s="236">
        <f>$M$3+AO168</f>
        <v>986.4</v>
      </c>
    </row>
    <row r="169">
      <c r="A169" s="31"/>
      <c r="B169" s="17"/>
      <c r="C169" s="17"/>
      <c r="D169" s="17"/>
      <c r="E169" s="17"/>
      <c r="F169" s="18"/>
      <c r="G169" s="26"/>
      <c r="H169" s="7" t="s">
        <v>23</v>
      </c>
      <c r="I169" s="7">
        <f>210+30</f>
        <v>240</v>
      </c>
      <c r="J169" s="7">
        <v>240.0</v>
      </c>
      <c r="K169" s="7">
        <v>144.0</v>
      </c>
      <c r="L169" s="7">
        <v>192.0</v>
      </c>
      <c r="M169" s="7">
        <v>216.0</v>
      </c>
      <c r="N169" s="7"/>
      <c r="O169" s="7">
        <v>120.0</v>
      </c>
      <c r="P169" s="7">
        <v>210.0</v>
      </c>
      <c r="Q169" s="7">
        <v>180.0</v>
      </c>
      <c r="R169" s="28">
        <v>180.0</v>
      </c>
      <c r="S169" s="28">
        <f>210+60</f>
        <v>270</v>
      </c>
      <c r="T169" s="28">
        <v>180.0</v>
      </c>
      <c r="U169" s="28"/>
      <c r="V169" s="28">
        <f>180+60</f>
        <v>240</v>
      </c>
      <c r="W169" s="28">
        <v>240.0</v>
      </c>
      <c r="X169" s="28">
        <v>198.0</v>
      </c>
      <c r="Y169" s="28">
        <v>222.0</v>
      </c>
      <c r="Z169" s="28">
        <f>180+36</f>
        <v>216</v>
      </c>
      <c r="AA169" s="28">
        <v>234.0</v>
      </c>
      <c r="AB169" s="28"/>
      <c r="AC169" s="28">
        <v>240.0</v>
      </c>
      <c r="AD169" s="27"/>
      <c r="AE169" s="28">
        <v>210.0</v>
      </c>
      <c r="AF169" s="28"/>
      <c r="AG169" s="28">
        <v>180.0</v>
      </c>
      <c r="AH169" s="28">
        <v>180.0</v>
      </c>
      <c r="AI169" s="28"/>
      <c r="AJ169" s="28">
        <v>180.0</v>
      </c>
      <c r="AK169" s="28">
        <v>180.0</v>
      </c>
      <c r="AL169" s="28">
        <v>180.0</v>
      </c>
      <c r="AM169" s="28">
        <v>180.0</v>
      </c>
      <c r="AN169" s="32"/>
      <c r="AO169" s="32"/>
      <c r="AP169" s="32"/>
    </row>
    <row r="170">
      <c r="A170" s="33"/>
      <c r="B170" s="33"/>
      <c r="C170" s="33"/>
      <c r="D170" s="33"/>
      <c r="E170" s="25"/>
      <c r="F170" s="25"/>
      <c r="G170" s="7"/>
      <c r="H170" s="7"/>
      <c r="I170" s="37"/>
      <c r="J170" s="37"/>
      <c r="K170" s="37"/>
      <c r="L170" s="37"/>
      <c r="M170" s="37"/>
      <c r="N170" s="36"/>
      <c r="O170" s="37"/>
      <c r="P170" s="37"/>
      <c r="Q170" s="37"/>
      <c r="R170" s="6"/>
      <c r="S170" s="6"/>
      <c r="T170" s="6"/>
      <c r="U170" s="27"/>
      <c r="V170" s="6"/>
      <c r="W170" s="6"/>
      <c r="X170" s="6"/>
      <c r="Y170" s="6"/>
      <c r="Z170" s="6"/>
      <c r="AA170" s="6"/>
      <c r="AB170" s="27"/>
      <c r="AC170" s="6"/>
      <c r="AD170" s="10"/>
      <c r="AE170" s="6"/>
      <c r="AF170" s="10"/>
      <c r="AG170" s="6"/>
      <c r="AH170" s="6"/>
      <c r="AI170" s="28"/>
      <c r="AJ170" s="6"/>
      <c r="AK170" s="6"/>
      <c r="AL170" s="6"/>
      <c r="AM170" s="6"/>
      <c r="AN170" s="39"/>
      <c r="AO170" s="237"/>
      <c r="AP170" s="237"/>
    </row>
    <row r="171">
      <c r="A171" s="24" t="s">
        <v>81</v>
      </c>
      <c r="B171" s="17"/>
      <c r="C171" s="17"/>
      <c r="D171" s="18"/>
      <c r="E171" s="25">
        <v>6.0</v>
      </c>
      <c r="F171" s="25" t="s">
        <v>21</v>
      </c>
      <c r="G171" s="7">
        <v>4950.0</v>
      </c>
      <c r="H171" s="7" t="s">
        <v>22</v>
      </c>
      <c r="I171" s="26"/>
      <c r="J171" s="26"/>
      <c r="K171" s="26"/>
      <c r="L171" s="26"/>
      <c r="M171" s="26"/>
      <c r="N171" s="26"/>
      <c r="O171" s="26"/>
      <c r="P171" s="26"/>
      <c r="Q171" s="26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8"/>
      <c r="AC171" s="28">
        <v>3060.0</v>
      </c>
      <c r="AD171" s="27"/>
      <c r="AE171" s="27"/>
      <c r="AF171" s="27"/>
      <c r="AG171" s="27"/>
      <c r="AH171" s="27"/>
      <c r="AI171" s="28"/>
      <c r="AJ171" s="28">
        <f>6120+60</f>
        <v>6180</v>
      </c>
      <c r="AK171" s="28"/>
      <c r="AL171" s="27"/>
      <c r="AM171" s="27"/>
      <c r="AN171" s="29">
        <f>G171+SUM(I171:AM171)-SUM(I172:AM172)</f>
        <v>8784</v>
      </c>
      <c r="AO171" s="236">
        <f>ROUNDDOWN((AN171/E171)/$H$4,1)</f>
        <v>48.8</v>
      </c>
      <c r="AP171" s="236">
        <f>$M$5+AO171</f>
        <v>993.8</v>
      </c>
    </row>
    <row r="172">
      <c r="A172" s="31"/>
      <c r="B172" s="17"/>
      <c r="C172" s="17"/>
      <c r="D172" s="17"/>
      <c r="E172" s="17"/>
      <c r="F172" s="18"/>
      <c r="G172" s="26"/>
      <c r="H172" s="7" t="s">
        <v>23</v>
      </c>
      <c r="I172" s="7">
        <v>180.0</v>
      </c>
      <c r="J172" s="7">
        <v>180.0</v>
      </c>
      <c r="K172" s="7">
        <v>240.0</v>
      </c>
      <c r="L172" s="7">
        <v>234.0</v>
      </c>
      <c r="M172" s="7">
        <v>234.0</v>
      </c>
      <c r="N172" s="7">
        <v>90.0</v>
      </c>
      <c r="O172" s="7">
        <v>138.0</v>
      </c>
      <c r="P172" s="7">
        <v>186.0</v>
      </c>
      <c r="Q172" s="7">
        <v>180.0</v>
      </c>
      <c r="R172" s="28">
        <v>180.0</v>
      </c>
      <c r="S172" s="28">
        <v>210.0</v>
      </c>
      <c r="T172" s="28">
        <v>234.0</v>
      </c>
      <c r="U172" s="28"/>
      <c r="V172" s="28">
        <f>180+60</f>
        <v>240</v>
      </c>
      <c r="W172" s="28">
        <v>240.0</v>
      </c>
      <c r="X172" s="28">
        <v>180.0</v>
      </c>
      <c r="Y172" s="28">
        <f>180+48+24</f>
        <v>252</v>
      </c>
      <c r="Z172" s="28">
        <v>180.0</v>
      </c>
      <c r="AA172" s="28">
        <v>300.0</v>
      </c>
      <c r="AB172" s="28"/>
      <c r="AC172" s="28">
        <v>180.0</v>
      </c>
      <c r="AD172" s="28">
        <v>240.0</v>
      </c>
      <c r="AE172" s="28">
        <v>240.0</v>
      </c>
      <c r="AF172" s="28"/>
      <c r="AG172" s="28">
        <v>192.0</v>
      </c>
      <c r="AH172" s="28">
        <v>168.0</v>
      </c>
      <c r="AI172" s="28"/>
      <c r="AJ172" s="28">
        <v>180.0</v>
      </c>
      <c r="AK172" s="28">
        <v>180.0</v>
      </c>
      <c r="AL172" s="28">
        <v>180.0</v>
      </c>
      <c r="AM172" s="28">
        <v>168.0</v>
      </c>
      <c r="AN172" s="32"/>
      <c r="AO172" s="32"/>
      <c r="AP172" s="32"/>
    </row>
    <row r="173">
      <c r="A173" s="33"/>
      <c r="B173" s="33"/>
      <c r="C173" s="33"/>
      <c r="D173" s="33"/>
      <c r="E173" s="25"/>
      <c r="F173" s="25"/>
      <c r="G173" s="7"/>
      <c r="H173" s="7"/>
      <c r="I173" s="37"/>
      <c r="J173" s="37"/>
      <c r="K173" s="37"/>
      <c r="L173" s="37"/>
      <c r="M173" s="37"/>
      <c r="N173" s="37"/>
      <c r="O173" s="37"/>
      <c r="P173" s="37"/>
      <c r="Q173" s="37"/>
      <c r="R173" s="6"/>
      <c r="S173" s="6"/>
      <c r="T173" s="6"/>
      <c r="U173" s="27"/>
      <c r="V173" s="6"/>
      <c r="W173" s="6"/>
      <c r="X173" s="6"/>
      <c r="Y173" s="6"/>
      <c r="Z173" s="6"/>
      <c r="AA173" s="6"/>
      <c r="AB173" s="27"/>
      <c r="AC173" s="6"/>
      <c r="AD173" s="6"/>
      <c r="AE173" s="6"/>
      <c r="AF173" s="10"/>
      <c r="AG173" s="6"/>
      <c r="AH173" s="6"/>
      <c r="AI173" s="28"/>
      <c r="AJ173" s="6"/>
      <c r="AK173" s="6"/>
      <c r="AL173" s="6"/>
      <c r="AM173" s="6"/>
      <c r="AN173" s="39"/>
      <c r="AO173" s="237"/>
      <c r="AP173" s="237"/>
    </row>
    <row r="174">
      <c r="A174" s="24" t="s">
        <v>82</v>
      </c>
      <c r="B174" s="17"/>
      <c r="C174" s="17"/>
      <c r="D174" s="18"/>
      <c r="E174" s="25">
        <v>2.0</v>
      </c>
      <c r="F174" s="25" t="s">
        <v>21</v>
      </c>
      <c r="G174" s="7">
        <v>1642.0</v>
      </c>
      <c r="H174" s="7" t="s">
        <v>22</v>
      </c>
      <c r="I174" s="26"/>
      <c r="J174" s="26"/>
      <c r="K174" s="26"/>
      <c r="L174" s="26"/>
      <c r="M174" s="26"/>
      <c r="N174" s="26"/>
      <c r="O174" s="7"/>
      <c r="P174" s="26"/>
      <c r="Q174" s="26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8"/>
      <c r="AC174" s="28">
        <v>1020.0</v>
      </c>
      <c r="AD174" s="27"/>
      <c r="AE174" s="27"/>
      <c r="AF174" s="27"/>
      <c r="AG174" s="27"/>
      <c r="AH174" s="27"/>
      <c r="AI174" s="28"/>
      <c r="AJ174" s="28">
        <f>2040+60</f>
        <v>2100</v>
      </c>
      <c r="AK174" s="27"/>
      <c r="AL174" s="27"/>
      <c r="AM174" s="27"/>
      <c r="AN174" s="29">
        <f>G174+SUM(I174:AM174)-SUM(I175:AM175)</f>
        <v>3001</v>
      </c>
      <c r="AO174" s="236">
        <f>ROUNDDOWN((AN174/E174)/$H$4,1)</f>
        <v>50</v>
      </c>
      <c r="AP174" s="236">
        <f>$M$3+AO174</f>
        <v>995</v>
      </c>
    </row>
    <row r="175">
      <c r="A175" s="31"/>
      <c r="B175" s="17"/>
      <c r="C175" s="17"/>
      <c r="D175" s="17"/>
      <c r="E175" s="17"/>
      <c r="F175" s="18"/>
      <c r="G175" s="26"/>
      <c r="H175" s="7" t="s">
        <v>23</v>
      </c>
      <c r="I175" s="7">
        <f>40+30</f>
        <v>70</v>
      </c>
      <c r="J175" s="7">
        <f>60+20+12</f>
        <v>92</v>
      </c>
      <c r="K175" s="7">
        <f>36+12</f>
        <v>48</v>
      </c>
      <c r="L175" s="7">
        <f>30+30</f>
        <v>60</v>
      </c>
      <c r="M175" s="7">
        <f>70+5</f>
        <v>75</v>
      </c>
      <c r="N175" s="7">
        <v>30.0</v>
      </c>
      <c r="O175" s="7">
        <f>30+20</f>
        <v>50</v>
      </c>
      <c r="P175" s="7">
        <v>70.0</v>
      </c>
      <c r="Q175" s="7">
        <v>60.0</v>
      </c>
      <c r="R175" s="28">
        <v>60.0</v>
      </c>
      <c r="S175" s="28">
        <f>70+20</f>
        <v>90</v>
      </c>
      <c r="T175" s="28">
        <v>60.0</v>
      </c>
      <c r="U175" s="27"/>
      <c r="V175" s="28">
        <v>80.0</v>
      </c>
      <c r="W175" s="28">
        <v>80.0</v>
      </c>
      <c r="X175" s="28">
        <v>60.0</v>
      </c>
      <c r="Y175" s="28">
        <f>66+14</f>
        <v>80</v>
      </c>
      <c r="Z175" s="28"/>
      <c r="AA175" s="27">
        <f>60+20+10</f>
        <v>90</v>
      </c>
      <c r="AB175" s="28"/>
      <c r="AC175" s="28">
        <f t="shared" ref="AC175:AE175" si="14">60+20</f>
        <v>80</v>
      </c>
      <c r="AD175" s="27">
        <f t="shared" si="14"/>
        <v>80</v>
      </c>
      <c r="AE175" s="28">
        <f t="shared" si="14"/>
        <v>80</v>
      </c>
      <c r="AF175" s="28"/>
      <c r="AG175" s="28">
        <v>60.0</v>
      </c>
      <c r="AH175" s="28">
        <v>60.0</v>
      </c>
      <c r="AI175" s="27"/>
      <c r="AJ175" s="28">
        <v>60.0</v>
      </c>
      <c r="AK175" s="28">
        <v>60.0</v>
      </c>
      <c r="AL175" s="28">
        <v>66.0</v>
      </c>
      <c r="AM175" s="28">
        <f>52+8</f>
        <v>60</v>
      </c>
      <c r="AN175" s="32"/>
      <c r="AO175" s="32"/>
      <c r="AP175" s="32"/>
    </row>
    <row r="176">
      <c r="A176" s="33"/>
      <c r="B176" s="33"/>
      <c r="C176" s="33"/>
      <c r="D176" s="33"/>
      <c r="E176" s="25"/>
      <c r="F176" s="25"/>
      <c r="G176" s="43"/>
      <c r="H176" s="7"/>
      <c r="I176" s="37"/>
      <c r="J176" s="37"/>
      <c r="K176" s="37"/>
      <c r="L176" s="37"/>
      <c r="M176" s="37"/>
      <c r="N176" s="37"/>
      <c r="O176" s="37"/>
      <c r="P176" s="37"/>
      <c r="Q176" s="37"/>
      <c r="R176" s="6"/>
      <c r="S176" s="6"/>
      <c r="T176" s="6"/>
      <c r="U176" s="27"/>
      <c r="V176" s="6"/>
      <c r="W176" s="6"/>
      <c r="X176" s="6"/>
      <c r="Y176" s="6"/>
      <c r="Z176" s="10"/>
      <c r="AA176" s="6"/>
      <c r="AB176" s="27"/>
      <c r="AC176" s="6"/>
      <c r="AD176" s="6"/>
      <c r="AE176" s="6"/>
      <c r="AF176" s="10"/>
      <c r="AG176" s="6"/>
      <c r="AH176" s="6"/>
      <c r="AI176" s="27"/>
      <c r="AJ176" s="6"/>
      <c r="AK176" s="6"/>
      <c r="AL176" s="6"/>
      <c r="AM176" s="6"/>
      <c r="AN176" s="39"/>
      <c r="AO176" s="237"/>
      <c r="AP176" s="237"/>
    </row>
    <row r="177">
      <c r="A177" s="24" t="s">
        <v>83</v>
      </c>
      <c r="B177" s="17"/>
      <c r="C177" s="17"/>
      <c r="D177" s="18"/>
      <c r="E177" s="25">
        <v>8.0</v>
      </c>
      <c r="F177" s="25" t="s">
        <v>21</v>
      </c>
      <c r="G177" s="43">
        <v>7289.0</v>
      </c>
      <c r="H177" s="7" t="s">
        <v>22</v>
      </c>
      <c r="I177" s="26"/>
      <c r="J177" s="26"/>
      <c r="K177" s="7"/>
      <c r="L177" s="26"/>
      <c r="M177" s="7"/>
      <c r="N177" s="26"/>
      <c r="O177" s="7">
        <v>1800.0</v>
      </c>
      <c r="P177" s="26"/>
      <c r="Q177" s="26"/>
      <c r="R177" s="28"/>
      <c r="S177" s="27"/>
      <c r="T177" s="28">
        <v>1440.0</v>
      </c>
      <c r="U177" s="28"/>
      <c r="V177" s="27"/>
      <c r="W177" s="28"/>
      <c r="X177" s="27"/>
      <c r="Y177" s="28">
        <v>1800.0</v>
      </c>
      <c r="Z177" s="27"/>
      <c r="AA177" s="28"/>
      <c r="AB177" s="27"/>
      <c r="AC177" s="28"/>
      <c r="AD177" s="28">
        <v>2520.0</v>
      </c>
      <c r="AE177" s="27"/>
      <c r="AF177" s="27"/>
      <c r="AG177" s="28"/>
      <c r="AH177" s="27"/>
      <c r="AI177" s="28"/>
      <c r="AJ177" s="27"/>
      <c r="AK177" s="28"/>
      <c r="AL177" s="28"/>
      <c r="AM177" s="28"/>
      <c r="AN177" s="29">
        <f>G177+SUM(I177:AM177)-SUM(I178:AM178)</f>
        <v>4157</v>
      </c>
      <c r="AO177" s="236">
        <f>ROUNDDOWN((AN177/E177)/$H$4,1)</f>
        <v>17.3</v>
      </c>
      <c r="AP177" s="236">
        <f>$M$5+AO177</f>
        <v>962.3</v>
      </c>
    </row>
    <row r="178">
      <c r="A178" s="31"/>
      <c r="B178" s="17"/>
      <c r="C178" s="17"/>
      <c r="D178" s="17"/>
      <c r="E178" s="17"/>
      <c r="F178" s="18"/>
      <c r="G178" s="26"/>
      <c r="H178" s="7" t="s">
        <v>23</v>
      </c>
      <c r="I178" s="7">
        <v>360.0</v>
      </c>
      <c r="J178" s="7">
        <v>360.0</v>
      </c>
      <c r="K178" s="7">
        <v>480.0</v>
      </c>
      <c r="L178" s="7">
        <v>468.0</v>
      </c>
      <c r="M178" s="7">
        <v>468.0</v>
      </c>
      <c r="N178" s="7">
        <v>180.0</v>
      </c>
      <c r="O178" s="7">
        <v>276.0</v>
      </c>
      <c r="P178" s="7">
        <v>372.0</v>
      </c>
      <c r="Q178" s="7">
        <v>360.0</v>
      </c>
      <c r="R178" s="28">
        <v>360.0</v>
      </c>
      <c r="S178" s="28">
        <v>420.0</v>
      </c>
      <c r="T178" s="28">
        <v>468.0</v>
      </c>
      <c r="U178" s="28"/>
      <c r="V178" s="28">
        <v>360.0</v>
      </c>
      <c r="W178" s="28">
        <v>480.0</v>
      </c>
      <c r="X178" s="28">
        <v>360.0</v>
      </c>
      <c r="Y178" s="28">
        <f>360+96+48</f>
        <v>504</v>
      </c>
      <c r="Z178" s="28">
        <v>360.0</v>
      </c>
      <c r="AA178" s="28">
        <v>600.0</v>
      </c>
      <c r="AB178" s="28"/>
      <c r="AC178" s="28">
        <v>360.0</v>
      </c>
      <c r="AD178" s="28">
        <v>480.0</v>
      </c>
      <c r="AE178" s="28">
        <v>480.0</v>
      </c>
      <c r="AF178" s="28"/>
      <c r="AG178" s="28">
        <v>384.0</v>
      </c>
      <c r="AH178" s="28">
        <v>336.0</v>
      </c>
      <c r="AI178" s="28"/>
      <c r="AJ178" s="28">
        <v>360.0</v>
      </c>
      <c r="AK178" s="28">
        <v>360.0</v>
      </c>
      <c r="AL178" s="28">
        <v>360.0</v>
      </c>
      <c r="AM178" s="28">
        <v>336.0</v>
      </c>
      <c r="AN178" s="32"/>
      <c r="AO178" s="32"/>
      <c r="AP178" s="32"/>
    </row>
    <row r="179">
      <c r="A179" s="33"/>
      <c r="B179" s="33"/>
      <c r="C179" s="33"/>
      <c r="D179" s="33"/>
      <c r="E179" s="25"/>
      <c r="F179" s="25"/>
      <c r="G179" s="7"/>
      <c r="H179" s="7"/>
      <c r="I179" s="37"/>
      <c r="J179" s="37"/>
      <c r="K179" s="37"/>
      <c r="L179" s="37"/>
      <c r="M179" s="37"/>
      <c r="N179" s="37"/>
      <c r="O179" s="37"/>
      <c r="P179" s="37"/>
      <c r="Q179" s="37"/>
      <c r="R179" s="6"/>
      <c r="S179" s="6"/>
      <c r="T179" s="6"/>
      <c r="U179" s="27"/>
      <c r="V179" s="6"/>
      <c r="W179" s="6"/>
      <c r="X179" s="6"/>
      <c r="Y179" s="6"/>
      <c r="Z179" s="6"/>
      <c r="AA179" s="6"/>
      <c r="AB179" s="27"/>
      <c r="AC179" s="6"/>
      <c r="AD179" s="6"/>
      <c r="AE179" s="6"/>
      <c r="AF179" s="10"/>
      <c r="AG179" s="6"/>
      <c r="AH179" s="6"/>
      <c r="AI179" s="28"/>
      <c r="AJ179" s="6"/>
      <c r="AK179" s="6"/>
      <c r="AL179" s="6"/>
      <c r="AM179" s="6"/>
      <c r="AN179" s="39"/>
      <c r="AO179" s="237"/>
      <c r="AP179" s="237"/>
    </row>
    <row r="180">
      <c r="A180" s="24" t="s">
        <v>84</v>
      </c>
      <c r="B180" s="17"/>
      <c r="C180" s="17"/>
      <c r="D180" s="18"/>
      <c r="E180" s="25">
        <v>2.0</v>
      </c>
      <c r="F180" s="25" t="s">
        <v>21</v>
      </c>
      <c r="G180" s="7">
        <v>1274.0</v>
      </c>
      <c r="H180" s="7" t="s">
        <v>22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8"/>
      <c r="AC180" s="28">
        <v>1020.0</v>
      </c>
      <c r="AD180" s="27"/>
      <c r="AE180" s="27"/>
      <c r="AF180" s="27"/>
      <c r="AG180" s="27"/>
      <c r="AH180" s="27"/>
      <c r="AI180" s="28"/>
      <c r="AJ180" s="28">
        <v>2040.0</v>
      </c>
      <c r="AK180" s="28"/>
      <c r="AL180" s="27"/>
      <c r="AM180" s="27"/>
      <c r="AN180" s="29">
        <f>G180+SUM(I180:AM180)-SUM(I181:AM181)</f>
        <v>2540</v>
      </c>
      <c r="AO180" s="236">
        <f>ROUNDDOWN((AN180/E180)/$H$4,1)</f>
        <v>42.3</v>
      </c>
      <c r="AP180" s="236">
        <f>$M$3+AO180</f>
        <v>987.3</v>
      </c>
    </row>
    <row r="181">
      <c r="A181" s="31"/>
      <c r="B181" s="17"/>
      <c r="C181" s="17"/>
      <c r="D181" s="17"/>
      <c r="E181" s="17"/>
      <c r="F181" s="18"/>
      <c r="G181" s="26"/>
      <c r="H181" s="7" t="s">
        <v>23</v>
      </c>
      <c r="I181" s="7">
        <v>60.0</v>
      </c>
      <c r="J181" s="7">
        <v>60.0</v>
      </c>
      <c r="K181" s="7">
        <v>80.0</v>
      </c>
      <c r="L181" s="7">
        <v>78.0</v>
      </c>
      <c r="M181" s="7">
        <v>78.0</v>
      </c>
      <c r="N181" s="7">
        <v>30.0</v>
      </c>
      <c r="O181" s="7">
        <v>46.0</v>
      </c>
      <c r="P181" s="7">
        <v>62.0</v>
      </c>
      <c r="Q181" s="7">
        <v>60.0</v>
      </c>
      <c r="R181" s="28">
        <v>60.0</v>
      </c>
      <c r="S181" s="28">
        <v>70.0</v>
      </c>
      <c r="T181" s="28">
        <v>78.0</v>
      </c>
      <c r="U181" s="28"/>
      <c r="V181" s="28">
        <f>60+20</f>
        <v>80</v>
      </c>
      <c r="W181" s="28">
        <v>80.0</v>
      </c>
      <c r="X181" s="28">
        <v>60.0</v>
      </c>
      <c r="Y181" s="28">
        <f>60+16</f>
        <v>76</v>
      </c>
      <c r="Z181" s="28">
        <v>60.0</v>
      </c>
      <c r="AA181" s="28">
        <v>100.0</v>
      </c>
      <c r="AB181" s="28"/>
      <c r="AC181" s="28">
        <v>60.0</v>
      </c>
      <c r="AD181" s="28">
        <v>80.0</v>
      </c>
      <c r="AE181" s="28">
        <v>80.0</v>
      </c>
      <c r="AF181" s="28"/>
      <c r="AG181" s="28">
        <v>64.0</v>
      </c>
      <c r="AH181" s="28">
        <v>56.0</v>
      </c>
      <c r="AI181" s="28"/>
      <c r="AJ181" s="28">
        <v>60.0</v>
      </c>
      <c r="AK181" s="28">
        <v>60.0</v>
      </c>
      <c r="AL181" s="28">
        <v>60.0</v>
      </c>
      <c r="AM181" s="28">
        <v>56.0</v>
      </c>
      <c r="AN181" s="32"/>
      <c r="AO181" s="32"/>
      <c r="AP181" s="32"/>
    </row>
    <row r="182">
      <c r="A182" s="33"/>
      <c r="B182" s="33"/>
      <c r="C182" s="33"/>
      <c r="D182" s="33"/>
      <c r="E182" s="25"/>
      <c r="F182" s="25"/>
      <c r="G182" s="7"/>
      <c r="H182" s="7"/>
      <c r="I182" s="37"/>
      <c r="J182" s="37"/>
      <c r="K182" s="37"/>
      <c r="L182" s="37"/>
      <c r="M182" s="37"/>
      <c r="N182" s="37"/>
      <c r="O182" s="37"/>
      <c r="P182" s="37"/>
      <c r="Q182" s="37"/>
      <c r="R182" s="6"/>
      <c r="S182" s="6"/>
      <c r="T182" s="6"/>
      <c r="U182" s="27"/>
      <c r="V182" s="6"/>
      <c r="W182" s="6"/>
      <c r="X182" s="6"/>
      <c r="Y182" s="6"/>
      <c r="Z182" s="6"/>
      <c r="AA182" s="6"/>
      <c r="AB182" s="27"/>
      <c r="AC182" s="6"/>
      <c r="AD182" s="6"/>
      <c r="AE182" s="6"/>
      <c r="AF182" s="10"/>
      <c r="AG182" s="6"/>
      <c r="AH182" s="6"/>
      <c r="AI182" s="28"/>
      <c r="AJ182" s="6"/>
      <c r="AK182" s="6"/>
      <c r="AL182" s="6"/>
      <c r="AM182" s="6"/>
      <c r="AN182" s="39"/>
      <c r="AO182" s="237"/>
      <c r="AP182" s="237"/>
    </row>
    <row r="183">
      <c r="A183" s="24" t="s">
        <v>85</v>
      </c>
      <c r="B183" s="17"/>
      <c r="C183" s="17"/>
      <c r="D183" s="18"/>
      <c r="E183" s="25">
        <v>6.0</v>
      </c>
      <c r="F183" s="25" t="s">
        <v>21</v>
      </c>
      <c r="G183" s="7">
        <v>3872.0</v>
      </c>
      <c r="H183" s="7" t="s">
        <v>22</v>
      </c>
      <c r="I183" s="7"/>
      <c r="J183" s="26"/>
      <c r="K183" s="26"/>
      <c r="L183" s="26"/>
      <c r="M183" s="26"/>
      <c r="N183" s="26"/>
      <c r="O183" s="26"/>
      <c r="P183" s="26"/>
      <c r="Q183" s="26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8"/>
      <c r="AC183" s="28">
        <v>3060.0</v>
      </c>
      <c r="AD183" s="27"/>
      <c r="AE183" s="27"/>
      <c r="AF183" s="27"/>
      <c r="AG183" s="27"/>
      <c r="AH183" s="27"/>
      <c r="AI183" s="28"/>
      <c r="AJ183" s="28">
        <v>6120.0</v>
      </c>
      <c r="AK183" s="28"/>
      <c r="AL183" s="27"/>
      <c r="AM183" s="27"/>
      <c r="AN183" s="29">
        <f>G183+SUM(I183:AM183)-SUM(I184:AM184)</f>
        <v>7670</v>
      </c>
      <c r="AO183" s="236">
        <f>ROUNDDOWN((AN183/E183)/$H$4,1)</f>
        <v>42.6</v>
      </c>
      <c r="AP183" s="236">
        <f>$M$3+AO183</f>
        <v>987.6</v>
      </c>
    </row>
    <row r="184">
      <c r="A184" s="31"/>
      <c r="B184" s="17"/>
      <c r="C184" s="17"/>
      <c r="D184" s="17"/>
      <c r="E184" s="17"/>
      <c r="F184" s="18"/>
      <c r="G184" s="26"/>
      <c r="H184" s="7" t="s">
        <v>23</v>
      </c>
      <c r="I184" s="7">
        <f>210+30</f>
        <v>240</v>
      </c>
      <c r="J184" s="7">
        <v>240.0</v>
      </c>
      <c r="K184" s="7">
        <v>144.0</v>
      </c>
      <c r="L184" s="7">
        <v>192.0</v>
      </c>
      <c r="M184" s="7">
        <v>216.0</v>
      </c>
      <c r="N184" s="7">
        <v>90.0</v>
      </c>
      <c r="O184" s="7">
        <v>120.0</v>
      </c>
      <c r="P184" s="7">
        <v>210.0</v>
      </c>
      <c r="Q184" s="7">
        <v>180.0</v>
      </c>
      <c r="R184" s="28">
        <v>180.0</v>
      </c>
      <c r="S184" s="28">
        <f>210+60</f>
        <v>270</v>
      </c>
      <c r="T184" s="28">
        <v>180.0</v>
      </c>
      <c r="U184" s="28"/>
      <c r="V184" s="28">
        <f>180+60</f>
        <v>240</v>
      </c>
      <c r="W184" s="28">
        <v>240.0</v>
      </c>
      <c r="X184" s="28">
        <v>198.0</v>
      </c>
      <c r="Y184" s="28">
        <v>222.0</v>
      </c>
      <c r="Z184" s="28">
        <f>180+36</f>
        <v>216</v>
      </c>
      <c r="AA184" s="28">
        <v>234.0</v>
      </c>
      <c r="AB184" s="28"/>
      <c r="AC184" s="28">
        <v>240.0</v>
      </c>
      <c r="AD184" s="28">
        <v>240.0</v>
      </c>
      <c r="AE184" s="28">
        <v>210.0</v>
      </c>
      <c r="AF184" s="28"/>
      <c r="AG184" s="28">
        <v>180.0</v>
      </c>
      <c r="AH184" s="28">
        <v>180.0</v>
      </c>
      <c r="AI184" s="28"/>
      <c r="AJ184" s="28">
        <v>180.0</v>
      </c>
      <c r="AK184" s="28">
        <v>180.0</v>
      </c>
      <c r="AL184" s="28">
        <v>180.0</v>
      </c>
      <c r="AM184" s="28">
        <v>180.0</v>
      </c>
      <c r="AN184" s="32"/>
      <c r="AO184" s="32"/>
      <c r="AP184" s="32"/>
    </row>
    <row r="185">
      <c r="A185" s="33"/>
      <c r="B185" s="33"/>
      <c r="C185" s="33"/>
      <c r="D185" s="33"/>
      <c r="E185" s="25"/>
      <c r="F185" s="25"/>
      <c r="G185" s="7"/>
      <c r="H185" s="7"/>
      <c r="I185" s="37"/>
      <c r="J185" s="37"/>
      <c r="K185" s="37"/>
      <c r="L185" s="37"/>
      <c r="M185" s="37"/>
      <c r="N185" s="37"/>
      <c r="O185" s="37"/>
      <c r="P185" s="37"/>
      <c r="Q185" s="37"/>
      <c r="R185" s="6"/>
      <c r="S185" s="6"/>
      <c r="T185" s="6"/>
      <c r="U185" s="27"/>
      <c r="V185" s="6"/>
      <c r="W185" s="6"/>
      <c r="X185" s="6"/>
      <c r="Y185" s="6"/>
      <c r="Z185" s="6"/>
      <c r="AA185" s="6"/>
      <c r="AB185" s="27"/>
      <c r="AC185" s="6"/>
      <c r="AD185" s="6"/>
      <c r="AE185" s="6"/>
      <c r="AF185" s="10"/>
      <c r="AG185" s="6"/>
      <c r="AH185" s="6"/>
      <c r="AI185" s="28"/>
      <c r="AJ185" s="6"/>
      <c r="AK185" s="6"/>
      <c r="AL185" s="6"/>
      <c r="AM185" s="6"/>
      <c r="AN185" s="39"/>
      <c r="AO185" s="237"/>
      <c r="AP185" s="237"/>
    </row>
    <row r="186">
      <c r="A186" s="24" t="s">
        <v>86</v>
      </c>
      <c r="B186" s="17"/>
      <c r="C186" s="17"/>
      <c r="D186" s="18"/>
      <c r="E186" s="25">
        <v>4.0</v>
      </c>
      <c r="F186" s="25" t="s">
        <v>21</v>
      </c>
      <c r="G186" s="7">
        <v>2453.0</v>
      </c>
      <c r="H186" s="7" t="s">
        <v>22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8"/>
      <c r="AC186" s="28">
        <v>2040.0</v>
      </c>
      <c r="AD186" s="27"/>
      <c r="AE186" s="27"/>
      <c r="AF186" s="27"/>
      <c r="AG186" s="27"/>
      <c r="AH186" s="27"/>
      <c r="AI186" s="28"/>
      <c r="AJ186" s="28">
        <v>4080.0</v>
      </c>
      <c r="AK186" s="28"/>
      <c r="AL186" s="27"/>
      <c r="AM186" s="27"/>
      <c r="AN186" s="29">
        <f>G186+SUM(I186:AM186)-SUM(I187:AM187)</f>
        <v>4985</v>
      </c>
      <c r="AO186" s="236">
        <f>ROUNDDOWN((AN186/E186)/$H$4,1)</f>
        <v>41.5</v>
      </c>
      <c r="AP186" s="236">
        <f>$M$3+AO186</f>
        <v>986.5</v>
      </c>
    </row>
    <row r="187">
      <c r="A187" s="57"/>
      <c r="B187" s="57"/>
      <c r="C187" s="57"/>
      <c r="D187" s="57"/>
      <c r="E187" s="57"/>
      <c r="F187" s="26"/>
      <c r="G187" s="26"/>
      <c r="H187" s="7" t="s">
        <v>23</v>
      </c>
      <c r="I187" s="7">
        <f>140+20</f>
        <v>160</v>
      </c>
      <c r="J187" s="7">
        <v>160.0</v>
      </c>
      <c r="K187" s="7">
        <v>96.0</v>
      </c>
      <c r="L187" s="7">
        <v>128.0</v>
      </c>
      <c r="M187" s="7">
        <v>144.0</v>
      </c>
      <c r="N187" s="7">
        <v>60.0</v>
      </c>
      <c r="O187" s="7">
        <v>80.0</v>
      </c>
      <c r="P187" s="7">
        <v>140.0</v>
      </c>
      <c r="Q187" s="7">
        <v>120.0</v>
      </c>
      <c r="R187" s="28">
        <v>120.0</v>
      </c>
      <c r="S187" s="28">
        <f>140+40</f>
        <v>180</v>
      </c>
      <c r="T187" s="28">
        <v>120.0</v>
      </c>
      <c r="U187" s="28"/>
      <c r="V187" s="28">
        <f>120+40</f>
        <v>160</v>
      </c>
      <c r="W187" s="28">
        <v>160.0</v>
      </c>
      <c r="X187" s="28">
        <v>132.0</v>
      </c>
      <c r="Y187" s="28">
        <v>148.0</v>
      </c>
      <c r="Z187" s="28">
        <f>120+24</f>
        <v>144</v>
      </c>
      <c r="AA187" s="28">
        <v>156.0</v>
      </c>
      <c r="AB187" s="28"/>
      <c r="AC187" s="28">
        <v>160.0</v>
      </c>
      <c r="AD187" s="28">
        <v>160.0</v>
      </c>
      <c r="AE187" s="28">
        <v>140.0</v>
      </c>
      <c r="AF187" s="28"/>
      <c r="AG187" s="28">
        <v>120.0</v>
      </c>
      <c r="AH187" s="28">
        <v>120.0</v>
      </c>
      <c r="AI187" s="28"/>
      <c r="AJ187" s="28">
        <v>120.0</v>
      </c>
      <c r="AK187" s="28">
        <v>120.0</v>
      </c>
      <c r="AL187" s="28">
        <v>120.0</v>
      </c>
      <c r="AM187" s="28">
        <v>120.0</v>
      </c>
      <c r="AN187" s="32"/>
      <c r="AO187" s="32"/>
      <c r="AP187" s="32"/>
    </row>
    <row r="188">
      <c r="A188" s="74"/>
      <c r="B188" s="74"/>
      <c r="C188" s="74"/>
      <c r="D188" s="74"/>
      <c r="E188" s="74"/>
      <c r="F188" s="74"/>
      <c r="G188" s="26"/>
      <c r="H188" s="69"/>
      <c r="I188" s="37"/>
      <c r="J188" s="37"/>
      <c r="K188" s="37"/>
      <c r="L188" s="37"/>
      <c r="M188" s="37"/>
      <c r="N188" s="37"/>
      <c r="O188" s="37"/>
      <c r="P188" s="37"/>
      <c r="Q188" s="37"/>
      <c r="R188" s="6"/>
      <c r="S188" s="6"/>
      <c r="T188" s="6"/>
      <c r="U188" s="27"/>
      <c r="V188" s="6"/>
      <c r="W188" s="6"/>
      <c r="X188" s="6"/>
      <c r="Y188" s="6"/>
      <c r="Z188" s="6"/>
      <c r="AA188" s="6"/>
      <c r="AB188" s="27"/>
      <c r="AC188" s="6"/>
      <c r="AD188" s="6"/>
      <c r="AE188" s="6"/>
      <c r="AF188" s="10"/>
      <c r="AG188" s="6"/>
      <c r="AH188" s="6"/>
      <c r="AI188" s="27"/>
      <c r="AJ188" s="6"/>
      <c r="AK188" s="6"/>
      <c r="AL188" s="6"/>
      <c r="AM188" s="6"/>
      <c r="AN188" s="48"/>
      <c r="AO188" s="48"/>
      <c r="AP188" s="48"/>
    </row>
    <row r="189">
      <c r="A189" s="76" t="s">
        <v>87</v>
      </c>
      <c r="B189" s="17"/>
      <c r="C189" s="17"/>
      <c r="D189" s="17"/>
      <c r="E189" s="17"/>
      <c r="F189" s="18"/>
      <c r="G189" s="77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</row>
    <row r="190">
      <c r="A190" s="24" t="s">
        <v>88</v>
      </c>
      <c r="B190" s="17"/>
      <c r="C190" s="17"/>
      <c r="D190" s="18"/>
      <c r="E190" s="25">
        <v>1.39</v>
      </c>
      <c r="F190" s="25" t="s">
        <v>89</v>
      </c>
      <c r="G190" s="78">
        <v>1921.0</v>
      </c>
      <c r="H190" s="7" t="s">
        <v>22</v>
      </c>
      <c r="I190" s="26"/>
      <c r="J190" s="7"/>
      <c r="K190" s="26"/>
      <c r="L190" s="26"/>
      <c r="M190" s="7">
        <v>300.0</v>
      </c>
      <c r="N190" s="26"/>
      <c r="O190" s="7"/>
      <c r="P190" s="26"/>
      <c r="Q190" s="26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8">
        <v>380.0</v>
      </c>
      <c r="AF190" s="27"/>
      <c r="AG190" s="28"/>
      <c r="AH190" s="28"/>
      <c r="AI190" s="28"/>
      <c r="AJ190" s="27"/>
      <c r="AK190" s="27"/>
      <c r="AL190" s="27"/>
      <c r="AM190" s="27"/>
      <c r="AN190" s="29">
        <f>G190+SUM(I190:AM190)-SUM(I191:AM191)</f>
        <v>1565</v>
      </c>
      <c r="AO190" s="236">
        <f>ROUNDDOWN((AN190/E190)/$H$4,1)</f>
        <v>37.5</v>
      </c>
      <c r="AP190" s="236">
        <f>$M$3+AO190</f>
        <v>982.5</v>
      </c>
    </row>
    <row r="191">
      <c r="A191" s="31"/>
      <c r="B191" s="17"/>
      <c r="C191" s="17"/>
      <c r="D191" s="17"/>
      <c r="E191" s="17"/>
      <c r="F191" s="18"/>
      <c r="G191" s="27"/>
      <c r="H191" s="7" t="s">
        <v>23</v>
      </c>
      <c r="I191" s="7">
        <f>11+2+38</f>
        <v>51</v>
      </c>
      <c r="J191" s="7">
        <f>11+1</f>
        <v>12</v>
      </c>
      <c r="K191" s="7">
        <f>8+38+2</f>
        <v>48</v>
      </c>
      <c r="L191" s="7">
        <f>12+2+38</f>
        <v>52</v>
      </c>
      <c r="M191" s="7">
        <f>12+2</f>
        <v>14</v>
      </c>
      <c r="N191" s="7">
        <f>4+1</f>
        <v>5</v>
      </c>
      <c r="O191" s="7">
        <f>6+2+38</f>
        <v>46</v>
      </c>
      <c r="P191" s="7">
        <f>11+2+40</f>
        <v>53</v>
      </c>
      <c r="Q191" s="7">
        <f>9+2</f>
        <v>11</v>
      </c>
      <c r="R191" s="28">
        <f>9+40+2</f>
        <v>51</v>
      </c>
      <c r="S191" s="28">
        <f>11+2+40</f>
        <v>53</v>
      </c>
      <c r="T191" s="28">
        <f>9+3</f>
        <v>12</v>
      </c>
      <c r="U191" s="28"/>
      <c r="V191" s="28">
        <f>10+3+2+40</f>
        <v>55</v>
      </c>
      <c r="W191" s="28">
        <f>13+2</f>
        <v>15</v>
      </c>
      <c r="X191" s="28">
        <f>9+2+40</f>
        <v>51</v>
      </c>
      <c r="Y191" s="28">
        <f>9+2+140</f>
        <v>151</v>
      </c>
      <c r="Z191" s="28">
        <f>9+1+40</f>
        <v>50</v>
      </c>
      <c r="AA191" s="28">
        <f>12+3</f>
        <v>15</v>
      </c>
      <c r="AB191" s="28"/>
      <c r="AC191" s="28">
        <f>12+38</f>
        <v>50</v>
      </c>
      <c r="AD191" s="28">
        <f>12+1</f>
        <v>13</v>
      </c>
      <c r="AE191" s="28">
        <f>11+1+40</f>
        <v>52</v>
      </c>
      <c r="AF191" s="28"/>
      <c r="AG191" s="28">
        <v>9.0</v>
      </c>
      <c r="AH191" s="28">
        <f>9+1+38</f>
        <v>48</v>
      </c>
      <c r="AI191" s="28"/>
      <c r="AJ191" s="28">
        <f>9+1+40</f>
        <v>50</v>
      </c>
      <c r="AK191" s="28">
        <v>9.0</v>
      </c>
      <c r="AL191" s="28">
        <f>9+1+40</f>
        <v>50</v>
      </c>
      <c r="AM191" s="28">
        <f>9+1</f>
        <v>10</v>
      </c>
      <c r="AN191" s="32"/>
      <c r="AO191" s="32"/>
      <c r="AP191" s="32"/>
    </row>
    <row r="192">
      <c r="A192" s="33"/>
      <c r="B192" s="33"/>
      <c r="C192" s="33"/>
      <c r="D192" s="33"/>
      <c r="E192" s="25"/>
      <c r="F192" s="25"/>
      <c r="G192" s="78"/>
      <c r="H192" s="7"/>
      <c r="I192" s="41"/>
      <c r="J192" s="37"/>
      <c r="K192" s="37"/>
      <c r="L192" s="41"/>
      <c r="M192" s="37"/>
      <c r="N192" s="37"/>
      <c r="O192" s="37"/>
      <c r="P192" s="37"/>
      <c r="Q192" s="37"/>
      <c r="R192" s="6"/>
      <c r="S192" s="6"/>
      <c r="T192" s="6"/>
      <c r="U192" s="27"/>
      <c r="V192" s="6"/>
      <c r="W192" s="6"/>
      <c r="X192" s="6"/>
      <c r="Y192" s="6"/>
      <c r="Z192" s="6"/>
      <c r="AA192" s="6"/>
      <c r="AB192" s="27"/>
      <c r="AC192" s="6"/>
      <c r="AD192" s="6"/>
      <c r="AE192" s="6"/>
      <c r="AF192" s="10"/>
      <c r="AG192" s="6"/>
      <c r="AH192" s="6"/>
      <c r="AI192" s="27"/>
      <c r="AJ192" s="6"/>
      <c r="AK192" s="6"/>
      <c r="AL192" s="6"/>
      <c r="AM192" s="6"/>
      <c r="AN192" s="39"/>
      <c r="AO192" s="237"/>
      <c r="AP192" s="237"/>
    </row>
    <row r="193">
      <c r="A193" s="24" t="s">
        <v>90</v>
      </c>
      <c r="B193" s="17"/>
      <c r="C193" s="17"/>
      <c r="D193" s="18"/>
      <c r="E193" s="25">
        <v>0.4</v>
      </c>
      <c r="F193" s="25" t="s">
        <v>21</v>
      </c>
      <c r="G193" s="78">
        <v>93.0</v>
      </c>
      <c r="H193" s="7" t="s">
        <v>22</v>
      </c>
      <c r="I193" s="26"/>
      <c r="J193" s="26"/>
      <c r="K193" s="26"/>
      <c r="L193" s="7"/>
      <c r="M193" s="7">
        <v>137.0</v>
      </c>
      <c r="N193" s="26"/>
      <c r="O193" s="26"/>
      <c r="P193" s="7">
        <v>16.0</v>
      </c>
      <c r="Q193" s="26"/>
      <c r="R193" s="27"/>
      <c r="S193" s="27"/>
      <c r="T193" s="27"/>
      <c r="U193" s="27"/>
      <c r="V193" s="27"/>
      <c r="W193" s="27"/>
      <c r="X193" s="27"/>
      <c r="Y193" s="28">
        <v>144.0</v>
      </c>
      <c r="Z193" s="27"/>
      <c r="AA193" s="27"/>
      <c r="AB193" s="28"/>
      <c r="AC193" s="28"/>
      <c r="AD193" s="27"/>
      <c r="AE193" s="27"/>
      <c r="AF193" s="27"/>
      <c r="AG193" s="27"/>
      <c r="AH193" s="27"/>
      <c r="AI193" s="27"/>
      <c r="AJ193" s="28">
        <v>90.0</v>
      </c>
      <c r="AK193" s="27"/>
      <c r="AL193" s="27"/>
      <c r="AM193" s="28">
        <v>216.0</v>
      </c>
      <c r="AN193" s="29">
        <f>G193+SUM(I193:AM193)-SUM(I194:AM194)</f>
        <v>433</v>
      </c>
      <c r="AO193" s="236">
        <f>ROUNDDOWN((AN193/E193)/$H$4,1)</f>
        <v>36</v>
      </c>
      <c r="AP193" s="236">
        <f>M5+AO193</f>
        <v>981</v>
      </c>
    </row>
    <row r="194">
      <c r="A194" s="31"/>
      <c r="B194" s="17"/>
      <c r="C194" s="17"/>
      <c r="D194" s="17"/>
      <c r="E194" s="17"/>
      <c r="F194" s="18"/>
      <c r="G194" s="27"/>
      <c r="H194" s="7" t="s">
        <v>23</v>
      </c>
      <c r="I194" s="7">
        <v>9.0</v>
      </c>
      <c r="J194" s="7">
        <v>9.0</v>
      </c>
      <c r="K194" s="7">
        <v>12.0</v>
      </c>
      <c r="L194" s="7">
        <v>12.0</v>
      </c>
      <c r="M194" s="7">
        <v>11.0</v>
      </c>
      <c r="N194" s="7">
        <v>5.0</v>
      </c>
      <c r="O194" s="7">
        <v>7.0</v>
      </c>
      <c r="P194" s="7">
        <v>9.0</v>
      </c>
      <c r="Q194" s="7">
        <v>9.0</v>
      </c>
      <c r="R194" s="28">
        <v>9.0</v>
      </c>
      <c r="S194" s="28">
        <v>12.0</v>
      </c>
      <c r="T194" s="28">
        <v>13.0</v>
      </c>
      <c r="U194" s="28"/>
      <c r="V194" s="28">
        <v>9.0</v>
      </c>
      <c r="W194" s="28">
        <v>9.0</v>
      </c>
      <c r="X194" s="28">
        <v>9.0</v>
      </c>
      <c r="Y194" s="28">
        <f>9+3</f>
        <v>12</v>
      </c>
      <c r="Z194" s="28">
        <v>9.0</v>
      </c>
      <c r="AA194" s="28">
        <v>13.0</v>
      </c>
      <c r="AB194" s="28"/>
      <c r="AC194" s="28">
        <v>9.0</v>
      </c>
      <c r="AD194" s="28">
        <v>12.0</v>
      </c>
      <c r="AE194" s="28">
        <v>12.0</v>
      </c>
      <c r="AF194" s="28"/>
      <c r="AG194" s="28">
        <v>9.0</v>
      </c>
      <c r="AH194" s="28">
        <v>8.0</v>
      </c>
      <c r="AI194" s="28"/>
      <c r="AJ194" s="28">
        <v>9.0</v>
      </c>
      <c r="AK194" s="28">
        <v>9.0</v>
      </c>
      <c r="AL194" s="28">
        <v>9.0</v>
      </c>
      <c r="AM194" s="28">
        <v>8.0</v>
      </c>
      <c r="AN194" s="32"/>
      <c r="AO194" s="32"/>
      <c r="AP194" s="32"/>
    </row>
    <row r="195">
      <c r="A195" s="33"/>
      <c r="B195" s="33"/>
      <c r="C195" s="33"/>
      <c r="D195" s="33"/>
      <c r="E195" s="25"/>
      <c r="F195" s="25"/>
      <c r="G195" s="78"/>
      <c r="H195" s="7"/>
      <c r="I195" s="37"/>
      <c r="J195" s="37"/>
      <c r="K195" s="37"/>
      <c r="L195" s="37"/>
      <c r="M195" s="37"/>
      <c r="N195" s="37"/>
      <c r="O195" s="41"/>
      <c r="P195" s="37"/>
      <c r="Q195" s="37"/>
      <c r="R195" s="6"/>
      <c r="S195" s="6"/>
      <c r="T195" s="6"/>
      <c r="U195" s="27"/>
      <c r="V195" s="6"/>
      <c r="W195" s="6"/>
      <c r="X195" s="6"/>
      <c r="Y195" s="42"/>
      <c r="Z195" s="6"/>
      <c r="AA195" s="6"/>
      <c r="AB195" s="27"/>
      <c r="AC195" s="6"/>
      <c r="AD195" s="6"/>
      <c r="AE195" s="6"/>
      <c r="AF195" s="10"/>
      <c r="AG195" s="6"/>
      <c r="AH195" s="6"/>
      <c r="AI195" s="27"/>
      <c r="AJ195" s="6"/>
      <c r="AK195" s="6"/>
      <c r="AL195" s="6"/>
      <c r="AM195" s="6"/>
      <c r="AN195" s="39"/>
      <c r="AO195" s="237"/>
      <c r="AP195" s="237"/>
    </row>
    <row r="196">
      <c r="A196" s="24" t="s">
        <v>91</v>
      </c>
      <c r="B196" s="17"/>
      <c r="C196" s="17"/>
      <c r="D196" s="18"/>
      <c r="E196" s="25">
        <v>0.24</v>
      </c>
      <c r="F196" s="25" t="s">
        <v>92</v>
      </c>
      <c r="G196" s="78">
        <v>38.0</v>
      </c>
      <c r="H196" s="7" t="s">
        <v>22</v>
      </c>
      <c r="I196" s="26"/>
      <c r="J196" s="26"/>
      <c r="K196" s="26"/>
      <c r="L196" s="26"/>
      <c r="M196" s="26"/>
      <c r="N196" s="26"/>
      <c r="O196" s="7"/>
      <c r="P196" s="26"/>
      <c r="Q196" s="26"/>
      <c r="R196" s="28">
        <v>61.0</v>
      </c>
      <c r="S196" s="27"/>
      <c r="T196" s="27"/>
      <c r="U196" s="27"/>
      <c r="V196" s="27"/>
      <c r="W196" s="28"/>
      <c r="X196" s="27"/>
      <c r="Y196" s="28"/>
      <c r="Z196" s="27"/>
      <c r="AA196" s="28"/>
      <c r="AB196" s="27"/>
      <c r="AC196" s="27"/>
      <c r="AD196" s="28"/>
      <c r="AE196" s="27"/>
      <c r="AF196" s="27"/>
      <c r="AG196" s="27"/>
      <c r="AH196" s="27"/>
      <c r="AI196" s="27"/>
      <c r="AJ196" s="28">
        <v>61.0</v>
      </c>
      <c r="AK196" s="27"/>
      <c r="AL196" s="27"/>
      <c r="AM196" s="27"/>
      <c r="AN196" s="29">
        <f>G196+SUM(I196:AM196)-SUM(I197:AM197)</f>
        <v>13</v>
      </c>
      <c r="AO196" s="236">
        <f>ROUNDDOWN((AN196/E196)/$H$4,1)</f>
        <v>1.8</v>
      </c>
      <c r="AP196" s="236">
        <f>M3+AO196</f>
        <v>946.8</v>
      </c>
    </row>
    <row r="197">
      <c r="A197" s="31"/>
      <c r="B197" s="17"/>
      <c r="C197" s="17"/>
      <c r="D197" s="17"/>
      <c r="E197" s="17"/>
      <c r="F197" s="18"/>
      <c r="G197" s="27"/>
      <c r="H197" s="7" t="s">
        <v>23</v>
      </c>
      <c r="I197" s="7">
        <f>6+3</f>
        <v>9</v>
      </c>
      <c r="J197" s="7">
        <f>5+2+1</f>
        <v>8</v>
      </c>
      <c r="K197" s="7">
        <f>3+1</f>
        <v>4</v>
      </c>
      <c r="L197" s="7">
        <f>3+2</f>
        <v>5</v>
      </c>
      <c r="M197" s="7">
        <f>6+2</f>
        <v>8</v>
      </c>
      <c r="N197" s="7">
        <v>1.0</v>
      </c>
      <c r="O197" s="7">
        <v>2.0</v>
      </c>
      <c r="P197" s="7">
        <v>6.0</v>
      </c>
      <c r="Q197" s="7">
        <v>5.0</v>
      </c>
      <c r="R197" s="28">
        <v>5.0</v>
      </c>
      <c r="S197" s="28">
        <f>6+2</f>
        <v>8</v>
      </c>
      <c r="T197" s="28">
        <v>5.0</v>
      </c>
      <c r="U197" s="28"/>
      <c r="V197" s="28">
        <v>7.0</v>
      </c>
      <c r="W197" s="28">
        <v>7.0</v>
      </c>
      <c r="X197" s="28">
        <v>5.0</v>
      </c>
      <c r="Y197" s="28">
        <f>5+1</f>
        <v>6</v>
      </c>
      <c r="Z197" s="28">
        <v>5.0</v>
      </c>
      <c r="AA197" s="28">
        <f>5+1+1</f>
        <v>7</v>
      </c>
      <c r="AB197" s="28"/>
      <c r="AC197" s="28">
        <f>5+2</f>
        <v>7</v>
      </c>
      <c r="AD197" s="27"/>
      <c r="AE197" s="28">
        <f>5+2</f>
        <v>7</v>
      </c>
      <c r="AF197" s="28"/>
      <c r="AG197" s="28">
        <v>5.0</v>
      </c>
      <c r="AH197" s="28">
        <v>5.0</v>
      </c>
      <c r="AI197" s="28"/>
      <c r="AJ197" s="28">
        <v>5.0</v>
      </c>
      <c r="AK197" s="28">
        <v>5.0</v>
      </c>
      <c r="AL197" s="28">
        <v>5.0</v>
      </c>
      <c r="AM197" s="28">
        <f>4+1</f>
        <v>5</v>
      </c>
      <c r="AN197" s="32"/>
      <c r="AO197" s="32"/>
      <c r="AP197" s="32"/>
    </row>
    <row r="198">
      <c r="A198" s="33"/>
      <c r="B198" s="33"/>
      <c r="C198" s="33"/>
      <c r="D198" s="33"/>
      <c r="E198" s="57"/>
      <c r="F198" s="57"/>
      <c r="G198" s="78"/>
      <c r="H198" s="7"/>
      <c r="I198" s="37"/>
      <c r="J198" s="37"/>
      <c r="K198" s="37"/>
      <c r="L198" s="37"/>
      <c r="M198" s="37"/>
      <c r="N198" s="37"/>
      <c r="O198" s="37"/>
      <c r="P198" s="37"/>
      <c r="Q198" s="37"/>
      <c r="R198" s="6"/>
      <c r="S198" s="6"/>
      <c r="T198" s="6"/>
      <c r="U198" s="27"/>
      <c r="V198" s="6"/>
      <c r="W198" s="6"/>
      <c r="X198" s="6"/>
      <c r="Y198" s="6"/>
      <c r="Z198" s="6"/>
      <c r="AA198" s="42"/>
      <c r="AB198" s="28"/>
      <c r="AC198" s="42"/>
      <c r="AD198" s="10"/>
      <c r="AE198" s="6"/>
      <c r="AF198" s="10"/>
      <c r="AG198" s="6"/>
      <c r="AH198" s="6"/>
      <c r="AI198" s="27"/>
      <c r="AJ198" s="6"/>
      <c r="AK198" s="6"/>
      <c r="AL198" s="6"/>
      <c r="AM198" s="6"/>
      <c r="AN198" s="39"/>
      <c r="AO198" s="237"/>
      <c r="AP198" s="237"/>
    </row>
    <row r="199">
      <c r="A199" s="24" t="s">
        <v>93</v>
      </c>
      <c r="B199" s="17"/>
      <c r="C199" s="17"/>
      <c r="D199" s="18"/>
      <c r="E199" s="25">
        <v>1.0</v>
      </c>
      <c r="F199" s="25" t="s">
        <v>177</v>
      </c>
      <c r="G199" s="78">
        <v>100.0</v>
      </c>
      <c r="H199" s="7" t="s">
        <v>22</v>
      </c>
      <c r="I199" s="26"/>
      <c r="J199" s="26"/>
      <c r="K199" s="26"/>
      <c r="L199" s="26"/>
      <c r="M199" s="7">
        <v>350.0</v>
      </c>
      <c r="N199" s="26"/>
      <c r="O199" s="26"/>
      <c r="P199" s="26"/>
      <c r="Q199" s="26"/>
      <c r="R199" s="27"/>
      <c r="S199" s="27"/>
      <c r="T199" s="27"/>
      <c r="U199" s="28"/>
      <c r="V199" s="27"/>
      <c r="W199" s="27"/>
      <c r="X199" s="27"/>
      <c r="Y199" s="27"/>
      <c r="Z199" s="27"/>
      <c r="AA199" s="28">
        <v>100.0</v>
      </c>
      <c r="AB199" s="28"/>
      <c r="AC199" s="28">
        <v>250.0</v>
      </c>
      <c r="AD199" s="27"/>
      <c r="AE199" s="27"/>
      <c r="AF199" s="27"/>
      <c r="AG199" s="28"/>
      <c r="AH199" s="27"/>
      <c r="AI199" s="27"/>
      <c r="AJ199" s="27"/>
      <c r="AK199" s="27"/>
      <c r="AL199" s="27"/>
      <c r="AM199" s="27"/>
      <c r="AN199" s="29">
        <f>G199+SUM(I199:AM199)-SUM(I200:AM200)</f>
        <v>50</v>
      </c>
      <c r="AO199" s="236"/>
      <c r="AP199" s="236"/>
    </row>
    <row r="200">
      <c r="A200" s="31"/>
      <c r="B200" s="17"/>
      <c r="C200" s="17"/>
      <c r="D200" s="17"/>
      <c r="E200" s="17"/>
      <c r="F200" s="18"/>
      <c r="G200" s="27"/>
      <c r="H200" s="7" t="s">
        <v>23</v>
      </c>
      <c r="I200" s="7"/>
      <c r="J200" s="7">
        <v>100.0</v>
      </c>
      <c r="K200" s="7"/>
      <c r="L200" s="7"/>
      <c r="M200" s="7">
        <v>50.0</v>
      </c>
      <c r="N200" s="7"/>
      <c r="O200" s="7">
        <v>25.0</v>
      </c>
      <c r="P200" s="7"/>
      <c r="Q200" s="7">
        <v>75.0</v>
      </c>
      <c r="R200" s="28"/>
      <c r="S200" s="28">
        <v>25.0</v>
      </c>
      <c r="T200" s="28"/>
      <c r="U200" s="28"/>
      <c r="V200" s="28">
        <v>25.0</v>
      </c>
      <c r="W200" s="28">
        <v>25.0</v>
      </c>
      <c r="X200" s="28">
        <v>100.0</v>
      </c>
      <c r="Y200" s="28">
        <v>25.0</v>
      </c>
      <c r="Z200" s="28"/>
      <c r="AA200" s="28">
        <v>100.0</v>
      </c>
      <c r="AB200" s="28"/>
      <c r="AC200" s="28">
        <v>50.0</v>
      </c>
      <c r="AD200" s="28">
        <v>50.0</v>
      </c>
      <c r="AE200" s="28"/>
      <c r="AF200" s="28"/>
      <c r="AG200" s="28">
        <v>50.0</v>
      </c>
      <c r="AH200" s="28"/>
      <c r="AI200" s="28"/>
      <c r="AJ200" s="28">
        <v>50.0</v>
      </c>
      <c r="AK200" s="28"/>
      <c r="AL200" s="28"/>
      <c r="AM200" s="28"/>
      <c r="AN200" s="32"/>
      <c r="AO200" s="32"/>
      <c r="AP200" s="32"/>
    </row>
    <row r="201">
      <c r="A201" s="33"/>
      <c r="B201" s="33"/>
      <c r="C201" s="33"/>
      <c r="D201" s="33"/>
      <c r="E201" s="57"/>
      <c r="F201" s="57"/>
      <c r="G201" s="78"/>
      <c r="H201" s="7"/>
      <c r="I201" s="36"/>
      <c r="J201" s="37"/>
      <c r="K201" s="36"/>
      <c r="L201" s="36"/>
      <c r="M201" s="37"/>
      <c r="N201" s="36"/>
      <c r="O201" s="37"/>
      <c r="P201" s="36"/>
      <c r="Q201" s="37"/>
      <c r="R201" s="10"/>
      <c r="S201" s="6"/>
      <c r="T201" s="10"/>
      <c r="U201" s="27"/>
      <c r="V201" s="6"/>
      <c r="W201" s="6"/>
      <c r="X201" s="6"/>
      <c r="Y201" s="6"/>
      <c r="Z201" s="10"/>
      <c r="AA201" s="6"/>
      <c r="AB201" s="28"/>
      <c r="AC201" s="42"/>
      <c r="AD201" s="6"/>
      <c r="AE201" s="10"/>
      <c r="AF201" s="10"/>
      <c r="AG201" s="6"/>
      <c r="AH201" s="10"/>
      <c r="AI201" s="27"/>
      <c r="AJ201" s="6"/>
      <c r="AK201" s="10"/>
      <c r="AL201" s="10"/>
      <c r="AM201" s="10"/>
      <c r="AN201" s="39"/>
      <c r="AO201" s="237"/>
      <c r="AP201" s="237"/>
    </row>
    <row r="202">
      <c r="A202" s="24" t="s">
        <v>94</v>
      </c>
      <c r="B202" s="17"/>
      <c r="C202" s="17"/>
      <c r="D202" s="18"/>
      <c r="E202" s="25">
        <v>2.1</v>
      </c>
      <c r="F202" s="25" t="s">
        <v>177</v>
      </c>
      <c r="G202" s="78">
        <v>75.0</v>
      </c>
      <c r="H202" s="7" t="s">
        <v>22</v>
      </c>
      <c r="I202" s="26"/>
      <c r="J202" s="26"/>
      <c r="K202" s="26"/>
      <c r="L202" s="26"/>
      <c r="M202" s="7">
        <v>25.0</v>
      </c>
      <c r="N202" s="26"/>
      <c r="O202" s="26"/>
      <c r="P202" s="26"/>
      <c r="Q202" s="26"/>
      <c r="R202" s="27"/>
      <c r="S202" s="27"/>
      <c r="T202" s="27"/>
      <c r="U202" s="28"/>
      <c r="V202" s="27"/>
      <c r="W202" s="27"/>
      <c r="X202" s="27"/>
      <c r="Y202" s="27"/>
      <c r="Z202" s="27"/>
      <c r="AA202" s="27"/>
      <c r="AB202" s="28"/>
      <c r="AC202" s="28">
        <v>125.0</v>
      </c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9">
        <f>G202+SUM(I202:AM202)-SUM(I203:AM203)</f>
        <v>50</v>
      </c>
      <c r="AO202" s="236"/>
      <c r="AP202" s="236"/>
    </row>
    <row r="203">
      <c r="A203" s="31"/>
      <c r="B203" s="17"/>
      <c r="C203" s="17"/>
      <c r="D203" s="17"/>
      <c r="E203" s="17"/>
      <c r="F203" s="18"/>
      <c r="G203" s="27"/>
      <c r="H203" s="7" t="s">
        <v>23</v>
      </c>
      <c r="I203" s="7">
        <v>25.0</v>
      </c>
      <c r="J203" s="7"/>
      <c r="K203" s="7">
        <v>25.0</v>
      </c>
      <c r="L203" s="26"/>
      <c r="M203" s="7"/>
      <c r="N203" s="7"/>
      <c r="O203" s="26"/>
      <c r="P203" s="7"/>
      <c r="Q203" s="7"/>
      <c r="R203" s="27"/>
      <c r="S203" s="28">
        <v>25.0</v>
      </c>
      <c r="T203" s="28"/>
      <c r="U203" s="27"/>
      <c r="V203" s="28">
        <v>25.0</v>
      </c>
      <c r="W203" s="28"/>
      <c r="X203" s="28"/>
      <c r="Y203" s="28"/>
      <c r="Z203" s="28"/>
      <c r="AA203" s="28"/>
      <c r="AB203" s="27"/>
      <c r="AC203" s="27"/>
      <c r="AD203" s="28">
        <v>50.0</v>
      </c>
      <c r="AE203" s="27"/>
      <c r="AF203" s="28"/>
      <c r="AG203" s="28"/>
      <c r="AH203" s="27"/>
      <c r="AI203" s="27"/>
      <c r="AJ203" s="28">
        <v>25.0</v>
      </c>
      <c r="AK203" s="27"/>
      <c r="AL203" s="27"/>
      <c r="AM203" s="27"/>
      <c r="AN203" s="32"/>
      <c r="AO203" s="32"/>
      <c r="AP203" s="32"/>
    </row>
    <row r="204">
      <c r="A204" s="33"/>
      <c r="B204" s="33"/>
      <c r="C204" s="33"/>
      <c r="D204" s="33"/>
      <c r="E204" s="57"/>
      <c r="F204" s="57"/>
      <c r="G204" s="78"/>
      <c r="H204" s="7"/>
      <c r="I204" s="37"/>
      <c r="J204" s="36"/>
      <c r="K204" s="37"/>
      <c r="L204" s="36"/>
      <c r="M204" s="36"/>
      <c r="N204" s="36"/>
      <c r="O204" s="36"/>
      <c r="P204" s="36"/>
      <c r="Q204" s="36"/>
      <c r="R204" s="10"/>
      <c r="S204" s="6"/>
      <c r="T204" s="10"/>
      <c r="U204" s="27"/>
      <c r="V204" s="6"/>
      <c r="W204" s="10"/>
      <c r="X204" s="10"/>
      <c r="Y204" s="10"/>
      <c r="Z204" s="10"/>
      <c r="AA204" s="10"/>
      <c r="AB204" s="28"/>
      <c r="AC204" s="38"/>
      <c r="AD204" s="6"/>
      <c r="AE204" s="10"/>
      <c r="AF204" s="10"/>
      <c r="AG204" s="10"/>
      <c r="AH204" s="10"/>
      <c r="AI204" s="27"/>
      <c r="AJ204" s="6"/>
      <c r="AK204" s="10"/>
      <c r="AL204" s="10"/>
      <c r="AM204" s="10"/>
      <c r="AN204" s="39"/>
      <c r="AO204" s="237"/>
      <c r="AP204" s="237"/>
    </row>
    <row r="205">
      <c r="A205" s="24" t="s">
        <v>95</v>
      </c>
      <c r="B205" s="17"/>
      <c r="C205" s="17"/>
      <c r="D205" s="18"/>
      <c r="E205" s="25">
        <v>1.3</v>
      </c>
      <c r="F205" s="25" t="s">
        <v>177</v>
      </c>
      <c r="G205" s="78">
        <f>40+100</f>
        <v>140</v>
      </c>
      <c r="H205" s="7" t="s">
        <v>22</v>
      </c>
      <c r="I205" s="26"/>
      <c r="J205" s="26"/>
      <c r="K205" s="26"/>
      <c r="L205" s="26"/>
      <c r="M205" s="7">
        <v>100.0</v>
      </c>
      <c r="N205" s="26"/>
      <c r="O205" s="26"/>
      <c r="P205" s="26"/>
      <c r="Q205" s="26"/>
      <c r="R205" s="27"/>
      <c r="S205" s="27"/>
      <c r="T205" s="27"/>
      <c r="U205" s="28"/>
      <c r="V205" s="27"/>
      <c r="W205" s="27"/>
      <c r="X205" s="27"/>
      <c r="Y205" s="27"/>
      <c r="Z205" s="27"/>
      <c r="AA205" s="27"/>
      <c r="AB205" s="28"/>
      <c r="AC205" s="28">
        <v>300.0</v>
      </c>
      <c r="AD205" s="27"/>
      <c r="AE205" s="27"/>
      <c r="AF205" s="27"/>
      <c r="AG205" s="28"/>
      <c r="AH205" s="27"/>
      <c r="AI205" s="27"/>
      <c r="AJ205" s="27"/>
      <c r="AK205" s="27"/>
      <c r="AL205" s="27"/>
      <c r="AM205" s="27"/>
      <c r="AN205" s="29">
        <f>G205+SUM(I205:AM205)-SUM(I206:AM206)</f>
        <v>180</v>
      </c>
      <c r="AO205" s="236"/>
      <c r="AP205" s="236"/>
    </row>
    <row r="206">
      <c r="A206" s="31"/>
      <c r="B206" s="17"/>
      <c r="C206" s="17"/>
      <c r="D206" s="17"/>
      <c r="E206" s="17"/>
      <c r="F206" s="18"/>
      <c r="G206" s="27"/>
      <c r="H206" s="7" t="s">
        <v>23</v>
      </c>
      <c r="I206" s="7">
        <v>40.0</v>
      </c>
      <c r="J206" s="26"/>
      <c r="K206" s="7">
        <v>20.0</v>
      </c>
      <c r="L206" s="7">
        <v>20.0</v>
      </c>
      <c r="M206" s="7">
        <v>40.0</v>
      </c>
      <c r="N206" s="26"/>
      <c r="O206" s="26"/>
      <c r="P206" s="7">
        <v>40.0</v>
      </c>
      <c r="Q206" s="7">
        <v>40.0</v>
      </c>
      <c r="R206" s="27"/>
      <c r="S206" s="28"/>
      <c r="T206" s="28"/>
      <c r="U206" s="27"/>
      <c r="V206" s="28">
        <v>20.0</v>
      </c>
      <c r="W206" s="27"/>
      <c r="X206" s="27"/>
      <c r="Y206" s="28"/>
      <c r="Z206" s="28"/>
      <c r="AA206" s="27"/>
      <c r="AB206" s="27"/>
      <c r="AC206" s="28">
        <v>40.0</v>
      </c>
      <c r="AD206" s="28">
        <v>20.0</v>
      </c>
      <c r="AE206" s="27"/>
      <c r="AF206" s="27"/>
      <c r="AG206" s="28">
        <v>40.0</v>
      </c>
      <c r="AH206" s="28"/>
      <c r="AI206" s="27"/>
      <c r="AJ206" s="28">
        <v>40.0</v>
      </c>
      <c r="AK206" s="27"/>
      <c r="AL206" s="27"/>
      <c r="AM206" s="27"/>
      <c r="AN206" s="32"/>
      <c r="AO206" s="32"/>
      <c r="AP206" s="32"/>
    </row>
    <row r="207">
      <c r="A207" s="33"/>
      <c r="B207" s="33"/>
      <c r="C207" s="33"/>
      <c r="D207" s="33"/>
      <c r="E207" s="25"/>
      <c r="F207" s="25"/>
      <c r="G207" s="27"/>
      <c r="H207" s="7"/>
      <c r="I207" s="37"/>
      <c r="J207" s="36"/>
      <c r="K207" s="37"/>
      <c r="L207" s="37"/>
      <c r="M207" s="37"/>
      <c r="N207" s="36"/>
      <c r="O207" s="36"/>
      <c r="P207" s="37"/>
      <c r="Q207" s="37"/>
      <c r="R207" s="10"/>
      <c r="S207" s="10"/>
      <c r="T207" s="10"/>
      <c r="U207" s="27"/>
      <c r="V207" s="6"/>
      <c r="W207" s="10"/>
      <c r="X207" s="10"/>
      <c r="Y207" s="10"/>
      <c r="Z207" s="10"/>
      <c r="AA207" s="10"/>
      <c r="AB207" s="27"/>
      <c r="AC207" s="6"/>
      <c r="AD207" s="6"/>
      <c r="AE207" s="10"/>
      <c r="AF207" s="10"/>
      <c r="AG207" s="6"/>
      <c r="AH207" s="10"/>
      <c r="AI207" s="27"/>
      <c r="AJ207" s="6"/>
      <c r="AK207" s="10"/>
      <c r="AL207" s="10"/>
      <c r="AM207" s="10"/>
      <c r="AN207" s="39"/>
      <c r="AO207" s="237"/>
      <c r="AP207" s="237"/>
    </row>
    <row r="208">
      <c r="A208" s="24" t="s">
        <v>98</v>
      </c>
      <c r="B208" s="17"/>
      <c r="C208" s="17"/>
      <c r="D208" s="18"/>
      <c r="E208" s="25">
        <v>0.03</v>
      </c>
      <c r="F208" s="25" t="s">
        <v>92</v>
      </c>
      <c r="G208" s="78"/>
      <c r="H208" s="7" t="s">
        <v>22</v>
      </c>
      <c r="I208" s="26"/>
      <c r="J208" s="26"/>
      <c r="K208" s="26"/>
      <c r="L208" s="7"/>
      <c r="M208" s="26"/>
      <c r="N208" s="26"/>
      <c r="O208" s="26"/>
      <c r="P208" s="7">
        <v>12.0</v>
      </c>
      <c r="Q208" s="26"/>
      <c r="R208" s="27"/>
      <c r="S208" s="27"/>
      <c r="T208" s="27"/>
      <c r="U208" s="27"/>
      <c r="V208" s="27"/>
      <c r="W208" s="27"/>
      <c r="X208" s="27"/>
      <c r="Y208" s="28">
        <v>12.0</v>
      </c>
      <c r="Z208" s="28"/>
      <c r="AA208" s="27"/>
      <c r="AB208" s="28"/>
      <c r="AC208" s="28"/>
      <c r="AD208" s="27"/>
      <c r="AE208" s="27"/>
      <c r="AF208" s="27"/>
      <c r="AG208" s="27"/>
      <c r="AH208" s="27"/>
      <c r="AI208" s="27"/>
      <c r="AJ208" s="28">
        <v>7.0</v>
      </c>
      <c r="AK208" s="27"/>
      <c r="AL208" s="27"/>
      <c r="AM208" s="28">
        <v>16.0</v>
      </c>
      <c r="AN208" s="29">
        <f>G208+SUM(I208:AM208)-SUM(I209:AM209)</f>
        <v>25</v>
      </c>
      <c r="AO208" s="236">
        <f>ROUNDDOWN((AN208/E208)/$H$4,1)</f>
        <v>27.7</v>
      </c>
      <c r="AP208" s="236">
        <f>$M$4+AO208</f>
        <v>975.7</v>
      </c>
    </row>
    <row r="209">
      <c r="A209" s="31"/>
      <c r="B209" s="17"/>
      <c r="C209" s="17"/>
      <c r="D209" s="17"/>
      <c r="E209" s="17"/>
      <c r="F209" s="18"/>
      <c r="G209" s="27"/>
      <c r="H209" s="7" t="s">
        <v>23</v>
      </c>
      <c r="I209" s="7"/>
      <c r="J209" s="26"/>
      <c r="K209" s="7"/>
      <c r="L209" s="7"/>
      <c r="M209" s="26"/>
      <c r="N209" s="26"/>
      <c r="O209" s="26"/>
      <c r="P209" s="7"/>
      <c r="Q209" s="7"/>
      <c r="R209" s="28">
        <v>6.0</v>
      </c>
      <c r="S209" s="27"/>
      <c r="T209" s="27"/>
      <c r="U209" s="27"/>
      <c r="V209" s="27"/>
      <c r="W209" s="27"/>
      <c r="X209" s="27"/>
      <c r="Y209" s="27"/>
      <c r="Z209" s="28">
        <v>6.0</v>
      </c>
      <c r="AA209" s="28"/>
      <c r="AB209" s="28"/>
      <c r="AC209" s="28"/>
      <c r="AD209" s="28"/>
      <c r="AE209" s="27"/>
      <c r="AF209" s="27"/>
      <c r="AG209" s="27"/>
      <c r="AH209" s="28">
        <v>6.0</v>
      </c>
      <c r="AI209" s="27"/>
      <c r="AJ209" s="27"/>
      <c r="AK209" s="27"/>
      <c r="AL209" s="27"/>
      <c r="AM209" s="28">
        <v>4.0</v>
      </c>
      <c r="AN209" s="32"/>
      <c r="AO209" s="32"/>
      <c r="AP209" s="32"/>
    </row>
    <row r="210">
      <c r="A210" s="33"/>
      <c r="B210" s="33"/>
      <c r="C210" s="33"/>
      <c r="D210" s="33"/>
      <c r="E210" s="25"/>
      <c r="F210" s="25"/>
      <c r="G210" s="78"/>
      <c r="H210" s="7"/>
      <c r="I210" s="36"/>
      <c r="J210" s="36"/>
      <c r="K210" s="36"/>
      <c r="L210" s="36"/>
      <c r="M210" s="36"/>
      <c r="N210" s="36"/>
      <c r="O210" s="36"/>
      <c r="P210" s="36"/>
      <c r="Q210" s="36"/>
      <c r="R210" s="6"/>
      <c r="S210" s="10"/>
      <c r="T210" s="10"/>
      <c r="U210" s="27"/>
      <c r="V210" s="38"/>
      <c r="W210" s="10"/>
      <c r="X210" s="10"/>
      <c r="Y210" s="10"/>
      <c r="Z210" s="6"/>
      <c r="AA210" s="10"/>
      <c r="AB210" s="27"/>
      <c r="AC210" s="10"/>
      <c r="AD210" s="10"/>
      <c r="AE210" s="10"/>
      <c r="AF210" s="10"/>
      <c r="AG210" s="10"/>
      <c r="AH210" s="6"/>
      <c r="AI210" s="27"/>
      <c r="AJ210" s="10"/>
      <c r="AK210" s="10"/>
      <c r="AL210" s="10"/>
      <c r="AM210" s="6"/>
      <c r="AN210" s="39"/>
      <c r="AO210" s="237"/>
      <c r="AP210" s="237"/>
    </row>
    <row r="211">
      <c r="A211" s="24" t="s">
        <v>99</v>
      </c>
      <c r="B211" s="17"/>
      <c r="C211" s="17"/>
      <c r="D211" s="18"/>
      <c r="E211" s="25">
        <v>0.03</v>
      </c>
      <c r="F211" s="25" t="s">
        <v>92</v>
      </c>
      <c r="G211" s="78">
        <v>38.0</v>
      </c>
      <c r="H211" s="7" t="s">
        <v>22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7"/>
      <c r="S211" s="27"/>
      <c r="T211" s="27"/>
      <c r="U211" s="27"/>
      <c r="V211" s="28"/>
      <c r="W211" s="27"/>
      <c r="X211" s="27"/>
      <c r="Y211" s="28">
        <v>3.0</v>
      </c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8">
        <v>1.0</v>
      </c>
      <c r="AK211" s="27"/>
      <c r="AL211" s="27"/>
      <c r="AM211" s="27"/>
      <c r="AN211" s="29">
        <f>G211+SUM(I211:AM211)-SUM(I212:AM212)</f>
        <v>26</v>
      </c>
      <c r="AO211" s="236">
        <f>ROUNDDOWN((AN211/E211)/$H$4,1)</f>
        <v>28.8</v>
      </c>
      <c r="AP211" s="236">
        <f>$M$4+AO211</f>
        <v>976.8</v>
      </c>
    </row>
    <row r="212">
      <c r="A212" s="31"/>
      <c r="B212" s="17"/>
      <c r="C212" s="17"/>
      <c r="D212" s="17"/>
      <c r="E212" s="17"/>
      <c r="F212" s="18"/>
      <c r="G212" s="27"/>
      <c r="H212" s="7" t="s">
        <v>23</v>
      </c>
      <c r="I212" s="26"/>
      <c r="J212" s="26"/>
      <c r="K212" s="7"/>
      <c r="L212" s="26"/>
      <c r="M212" s="7"/>
      <c r="N212" s="26"/>
      <c r="O212" s="26"/>
      <c r="P212" s="7"/>
      <c r="Q212" s="7"/>
      <c r="R212" s="28">
        <v>10.0</v>
      </c>
      <c r="S212" s="27"/>
      <c r="T212" s="27"/>
      <c r="U212" s="28"/>
      <c r="V212" s="27"/>
      <c r="W212" s="27"/>
      <c r="X212" s="27"/>
      <c r="Y212" s="27"/>
      <c r="Z212" s="28">
        <v>6.0</v>
      </c>
      <c r="AA212" s="27"/>
      <c r="AB212" s="27"/>
      <c r="AC212" s="27"/>
      <c r="AD212" s="27"/>
      <c r="AE212" s="27"/>
      <c r="AF212" s="27"/>
      <c r="AG212" s="27"/>
      <c r="AH212" s="28"/>
      <c r="AI212" s="27"/>
      <c r="AJ212" s="27"/>
      <c r="AK212" s="27"/>
      <c r="AL212" s="27"/>
      <c r="AM212" s="27"/>
      <c r="AN212" s="32"/>
      <c r="AO212" s="32"/>
      <c r="AP212" s="32"/>
    </row>
    <row r="213">
      <c r="A213" s="33"/>
      <c r="B213" s="33"/>
      <c r="C213" s="33"/>
      <c r="D213" s="33"/>
      <c r="E213" s="25"/>
      <c r="F213" s="25"/>
      <c r="G213" s="78"/>
      <c r="H213" s="7"/>
      <c r="I213" s="36"/>
      <c r="J213" s="36"/>
      <c r="K213" s="36"/>
      <c r="L213" s="36"/>
      <c r="M213" s="36"/>
      <c r="N213" s="36"/>
      <c r="O213" s="36"/>
      <c r="P213" s="36"/>
      <c r="Q213" s="36"/>
      <c r="R213" s="6"/>
      <c r="S213" s="10"/>
      <c r="T213" s="10"/>
      <c r="U213" s="27"/>
      <c r="V213" s="10"/>
      <c r="W213" s="10"/>
      <c r="X213" s="10"/>
      <c r="Y213" s="10"/>
      <c r="Z213" s="6"/>
      <c r="AA213" s="38"/>
      <c r="AB213" s="27"/>
      <c r="AC213" s="10"/>
      <c r="AD213" s="10"/>
      <c r="AE213" s="10"/>
      <c r="AF213" s="10"/>
      <c r="AG213" s="10"/>
      <c r="AH213" s="10"/>
      <c r="AI213" s="27"/>
      <c r="AJ213" s="10"/>
      <c r="AK213" s="10"/>
      <c r="AL213" s="10"/>
      <c r="AM213" s="10"/>
      <c r="AN213" s="39"/>
      <c r="AO213" s="237"/>
      <c r="AP213" s="237"/>
    </row>
    <row r="214">
      <c r="A214" s="24" t="s">
        <v>100</v>
      </c>
      <c r="B214" s="17"/>
      <c r="C214" s="17"/>
      <c r="D214" s="18"/>
      <c r="E214" s="25">
        <v>0.014</v>
      </c>
      <c r="F214" s="25" t="s">
        <v>101</v>
      </c>
      <c r="G214" s="78">
        <v>25.0</v>
      </c>
      <c r="H214" s="7" t="s">
        <v>22</v>
      </c>
      <c r="I214" s="26"/>
      <c r="J214" s="26"/>
      <c r="K214" s="26"/>
      <c r="L214" s="7">
        <v>6.0</v>
      </c>
      <c r="M214" s="26"/>
      <c r="N214" s="26"/>
      <c r="O214" s="26"/>
      <c r="P214" s="26"/>
      <c r="Q214" s="26"/>
      <c r="R214" s="27"/>
      <c r="S214" s="27"/>
      <c r="T214" s="27"/>
      <c r="U214" s="27"/>
      <c r="V214" s="27"/>
      <c r="W214" s="27"/>
      <c r="X214" s="27"/>
      <c r="Y214" s="27"/>
      <c r="Z214" s="27"/>
      <c r="AA214" s="28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9">
        <f>G214+SUM(I214:AM214)-SUM(I215:AM215)</f>
        <v>16</v>
      </c>
      <c r="AO214" s="236">
        <f>ROUNDDOWN((AN214/E214)/$H$4,1)</f>
        <v>38</v>
      </c>
      <c r="AP214" s="236">
        <f>$M$4+AO214</f>
        <v>986</v>
      </c>
    </row>
    <row r="215">
      <c r="A215" s="57"/>
      <c r="B215" s="57"/>
      <c r="C215" s="57"/>
      <c r="D215" s="57"/>
      <c r="E215" s="57"/>
      <c r="F215" s="27"/>
      <c r="G215" s="27"/>
      <c r="H215" s="7" t="s">
        <v>23</v>
      </c>
      <c r="I215" s="7"/>
      <c r="J215" s="7"/>
      <c r="K215" s="7">
        <v>1.0</v>
      </c>
      <c r="L215" s="7">
        <v>1.0</v>
      </c>
      <c r="M215" s="7"/>
      <c r="N215" s="26"/>
      <c r="O215" s="7">
        <v>2.0</v>
      </c>
      <c r="P215" s="7">
        <v>1.0</v>
      </c>
      <c r="Q215" s="7"/>
      <c r="R215" s="28">
        <v>1.0</v>
      </c>
      <c r="S215" s="28">
        <v>1.0</v>
      </c>
      <c r="T215" s="27"/>
      <c r="U215" s="28"/>
      <c r="V215" s="28">
        <v>1.0</v>
      </c>
      <c r="W215" s="27"/>
      <c r="X215" s="28">
        <v>1.0</v>
      </c>
      <c r="Y215" s="28">
        <v>1.0</v>
      </c>
      <c r="Z215" s="28"/>
      <c r="AA215" s="28"/>
      <c r="AB215" s="28"/>
      <c r="AC215" s="28">
        <v>2.0</v>
      </c>
      <c r="AD215" s="27"/>
      <c r="AE215" s="28"/>
      <c r="AF215" s="28"/>
      <c r="AG215" s="28"/>
      <c r="AH215" s="28">
        <v>1.0</v>
      </c>
      <c r="AI215" s="28"/>
      <c r="AJ215" s="28">
        <v>1.0</v>
      </c>
      <c r="AK215" s="28"/>
      <c r="AL215" s="28">
        <v>1.0</v>
      </c>
      <c r="AM215" s="27"/>
      <c r="AN215" s="32"/>
      <c r="AO215" s="32"/>
      <c r="AP215" s="32"/>
    </row>
    <row r="216">
      <c r="A216" s="33"/>
      <c r="B216" s="33"/>
      <c r="C216" s="33"/>
      <c r="D216" s="33"/>
      <c r="E216" s="25"/>
      <c r="F216" s="25"/>
      <c r="G216" s="78"/>
      <c r="H216" s="7"/>
      <c r="I216" s="36"/>
      <c r="J216" s="36"/>
      <c r="K216" s="37"/>
      <c r="L216" s="37"/>
      <c r="M216" s="36"/>
      <c r="N216" s="36"/>
      <c r="O216" s="37"/>
      <c r="P216" s="37"/>
      <c r="Q216" s="36"/>
      <c r="R216" s="6"/>
      <c r="S216" s="6"/>
      <c r="T216" s="10"/>
      <c r="U216" s="27"/>
      <c r="V216" s="6"/>
      <c r="W216" s="10"/>
      <c r="X216" s="6"/>
      <c r="Y216" s="6"/>
      <c r="Z216" s="10"/>
      <c r="AA216" s="38"/>
      <c r="AB216" s="27"/>
      <c r="AC216" s="6"/>
      <c r="AD216" s="10"/>
      <c r="AE216" s="10"/>
      <c r="AF216" s="10"/>
      <c r="AG216" s="10"/>
      <c r="AH216" s="6"/>
      <c r="AI216" s="27"/>
      <c r="AJ216" s="6"/>
      <c r="AK216" s="10"/>
      <c r="AL216" s="6"/>
      <c r="AM216" s="10"/>
      <c r="AN216" s="39"/>
      <c r="AO216" s="237"/>
      <c r="AP216" s="237"/>
    </row>
    <row r="217">
      <c r="A217" s="16" t="s">
        <v>102</v>
      </c>
      <c r="B217" s="17"/>
      <c r="C217" s="17"/>
      <c r="D217" s="17"/>
      <c r="E217" s="17"/>
      <c r="F217" s="17"/>
      <c r="G217" s="18"/>
      <c r="H217" s="21"/>
      <c r="I217" s="21"/>
      <c r="J217" s="21"/>
      <c r="K217" s="21"/>
      <c r="L217" s="20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</row>
    <row r="218">
      <c r="L218" s="254"/>
    </row>
    <row r="219">
      <c r="A219" s="24" t="s">
        <v>103</v>
      </c>
      <c r="B219" s="17"/>
      <c r="C219" s="17"/>
      <c r="D219" s="18"/>
      <c r="E219" s="25">
        <v>0.2</v>
      </c>
      <c r="F219" s="25" t="s">
        <v>104</v>
      </c>
      <c r="G219" s="78">
        <v>66.0</v>
      </c>
      <c r="H219" s="7" t="s">
        <v>22</v>
      </c>
      <c r="I219" s="26"/>
      <c r="J219" s="26"/>
      <c r="K219" s="7">
        <v>72.0</v>
      </c>
      <c r="L219" s="26"/>
      <c r="M219" s="7"/>
      <c r="N219" s="26"/>
      <c r="O219" s="26"/>
      <c r="P219" s="26"/>
      <c r="Q219" s="26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8">
        <v>59.0</v>
      </c>
      <c r="AE219" s="27"/>
      <c r="AF219" s="27"/>
      <c r="AG219" s="27"/>
      <c r="AH219" s="27"/>
      <c r="AI219" s="27"/>
      <c r="AJ219" s="28">
        <v>126.0</v>
      </c>
      <c r="AK219" s="27"/>
      <c r="AL219" s="27"/>
      <c r="AM219" s="27"/>
      <c r="AN219" s="29">
        <f>G219+SUM(I219:AM219)-SUM(I220:AM220)</f>
        <v>191</v>
      </c>
      <c r="AO219" s="236">
        <f>ROUNDDOWN((AN219/E219)/$H$4,1)</f>
        <v>31.8</v>
      </c>
      <c r="AP219" s="236">
        <f>$M$4+AO219</f>
        <v>979.8</v>
      </c>
    </row>
    <row r="220">
      <c r="A220" s="31"/>
      <c r="B220" s="17"/>
      <c r="C220" s="17"/>
      <c r="D220" s="17"/>
      <c r="E220" s="17"/>
      <c r="F220" s="18"/>
      <c r="G220" s="27"/>
      <c r="H220" s="7" t="s">
        <v>23</v>
      </c>
      <c r="I220" s="7">
        <f>1+1+1</f>
        <v>3</v>
      </c>
      <c r="J220" s="7">
        <f>1+1+1+1+3</f>
        <v>7</v>
      </c>
      <c r="K220" s="26">
        <f>2</f>
        <v>2</v>
      </c>
      <c r="L220" s="7">
        <v>2.0</v>
      </c>
      <c r="M220" s="7">
        <f>1+11++1+1</f>
        <v>14</v>
      </c>
      <c r="N220" s="7"/>
      <c r="O220" s="7">
        <f>2+1+1+1+1</f>
        <v>6</v>
      </c>
      <c r="P220" s="7">
        <f>2+3</f>
        <v>5</v>
      </c>
      <c r="Q220" s="7">
        <f>1+1</f>
        <v>2</v>
      </c>
      <c r="R220" s="28">
        <f>1+1+1+1+5</f>
        <v>9</v>
      </c>
      <c r="S220" s="28">
        <f>2+1+3+1</f>
        <v>7</v>
      </c>
      <c r="T220" s="28">
        <f>2+1</f>
        <v>3</v>
      </c>
      <c r="U220" s="28"/>
      <c r="V220" s="28">
        <f>2+1+1+1</f>
        <v>5</v>
      </c>
      <c r="W220" s="28">
        <f>3+3+1+1</f>
        <v>8</v>
      </c>
      <c r="X220" s="28">
        <f>3+1</f>
        <v>4</v>
      </c>
      <c r="Y220" s="28">
        <f>2+1+1+1+1+1+1</f>
        <v>8</v>
      </c>
      <c r="Z220" s="28"/>
      <c r="AA220" s="28">
        <f>2+3</f>
        <v>5</v>
      </c>
      <c r="AB220" s="28"/>
      <c r="AC220" s="28">
        <v>2.0</v>
      </c>
      <c r="AD220" s="28">
        <f>1+2+1+1</f>
        <v>5</v>
      </c>
      <c r="AE220" s="28">
        <f>2+1</f>
        <v>3</v>
      </c>
      <c r="AF220" s="28"/>
      <c r="AG220" s="28">
        <f>2+2+1+1</f>
        <v>6</v>
      </c>
      <c r="AH220" s="28">
        <f>2+1+5</f>
        <v>8</v>
      </c>
      <c r="AI220" s="28"/>
      <c r="AJ220" s="28">
        <f>3+2+2+1</f>
        <v>8</v>
      </c>
      <c r="AK220" s="28">
        <f>2+1</f>
        <v>3</v>
      </c>
      <c r="AL220" s="28">
        <v>3.0</v>
      </c>
      <c r="AM220" s="28">
        <f>1+1+2</f>
        <v>4</v>
      </c>
      <c r="AN220" s="32"/>
      <c r="AO220" s="32"/>
      <c r="AP220" s="32"/>
    </row>
    <row r="221">
      <c r="A221" s="33"/>
      <c r="B221" s="33"/>
      <c r="C221" s="33"/>
      <c r="D221" s="33"/>
      <c r="E221" s="25"/>
      <c r="F221" s="25"/>
      <c r="G221" s="27"/>
      <c r="H221" s="7"/>
      <c r="I221" s="37"/>
      <c r="J221" s="37"/>
      <c r="K221" s="37"/>
      <c r="L221" s="37"/>
      <c r="M221" s="37"/>
      <c r="N221" s="36"/>
      <c r="O221" s="41"/>
      <c r="P221" s="41"/>
      <c r="Q221" s="37"/>
      <c r="R221" s="42"/>
      <c r="S221" s="42"/>
      <c r="T221" s="6"/>
      <c r="U221" s="28"/>
      <c r="V221" s="6"/>
      <c r="W221" s="6"/>
      <c r="X221" s="6"/>
      <c r="Y221" s="6"/>
      <c r="Z221" s="10"/>
      <c r="AA221" s="6"/>
      <c r="AB221" s="28"/>
      <c r="AC221" s="42"/>
      <c r="AD221" s="6"/>
      <c r="AE221" s="6"/>
      <c r="AF221" s="10"/>
      <c r="AG221" s="42"/>
      <c r="AH221" s="6"/>
      <c r="AI221" s="27"/>
      <c r="AJ221" s="6"/>
      <c r="AK221" s="42"/>
      <c r="AL221" s="6"/>
      <c r="AM221" s="6"/>
      <c r="AN221" s="39"/>
      <c r="AO221" s="237"/>
      <c r="AP221" s="237"/>
    </row>
    <row r="222">
      <c r="A222" s="24" t="s">
        <v>105</v>
      </c>
      <c r="B222" s="17"/>
      <c r="C222" s="17"/>
      <c r="D222" s="18"/>
      <c r="E222" s="25">
        <v>1.1</v>
      </c>
      <c r="F222" s="25" t="s">
        <v>106</v>
      </c>
      <c r="G222" s="28">
        <v>5.0</v>
      </c>
      <c r="H222" s="7" t="s">
        <v>22</v>
      </c>
      <c r="I222" s="7">
        <f>20+10</f>
        <v>30</v>
      </c>
      <c r="J222" s="7"/>
      <c r="K222" s="7">
        <v>30.0</v>
      </c>
      <c r="L222" s="26"/>
      <c r="M222" s="7"/>
      <c r="N222" s="7"/>
      <c r="O222" s="7">
        <v>20.0</v>
      </c>
      <c r="P222" s="7"/>
      <c r="Q222" s="7">
        <v>20.0</v>
      </c>
      <c r="R222" s="28"/>
      <c r="S222" s="28">
        <v>40.0</v>
      </c>
      <c r="T222" s="28">
        <v>20.0</v>
      </c>
      <c r="U222" s="28"/>
      <c r="V222" s="27"/>
      <c r="W222" s="28">
        <v>30.0</v>
      </c>
      <c r="X222" s="28"/>
      <c r="Y222" s="27"/>
      <c r="Z222" s="27"/>
      <c r="AA222" s="28"/>
      <c r="AB222" s="28"/>
      <c r="AC222" s="28"/>
      <c r="AD222" s="28">
        <v>30.0</v>
      </c>
      <c r="AE222" s="28"/>
      <c r="AF222" s="27"/>
      <c r="AG222" s="28">
        <f>28+12+40</f>
        <v>80</v>
      </c>
      <c r="AH222" s="28"/>
      <c r="AI222" s="28"/>
      <c r="AJ222" s="28">
        <v>30.0</v>
      </c>
      <c r="AK222" s="28"/>
      <c r="AL222" s="27"/>
      <c r="AM222" s="28">
        <v>40.0</v>
      </c>
      <c r="AN222" s="29">
        <f>G222+SUM(I222:AM222)-SUM(I223:AM223)</f>
        <v>222</v>
      </c>
      <c r="AO222" s="236">
        <f>ROUNDDOWN((AN222/E222)/$H$4,1)</f>
        <v>6.7</v>
      </c>
      <c r="AP222" s="236">
        <f>$M$4+AO222</f>
        <v>954.7</v>
      </c>
    </row>
    <row r="223">
      <c r="A223" s="31"/>
      <c r="B223" s="17"/>
      <c r="C223" s="17"/>
      <c r="D223" s="17"/>
      <c r="E223" s="17"/>
      <c r="F223" s="18"/>
      <c r="G223" s="27"/>
      <c r="H223" s="7" t="s">
        <v>23</v>
      </c>
      <c r="I223" s="7">
        <f t="shared" ref="I223:J223" si="15">1+1+1+1+1</f>
        <v>5</v>
      </c>
      <c r="J223" s="26">
        <f t="shared" si="15"/>
        <v>5</v>
      </c>
      <c r="K223" s="7">
        <f>1+1+1+1</f>
        <v>4</v>
      </c>
      <c r="L223" s="7">
        <f>1+1</f>
        <v>2</v>
      </c>
      <c r="M223" s="26"/>
      <c r="N223" s="26"/>
      <c r="O223" s="26">
        <f t="shared" ref="O223:Q223" si="16">1+1+1</f>
        <v>3</v>
      </c>
      <c r="P223" s="26">
        <f t="shared" si="16"/>
        <v>3</v>
      </c>
      <c r="Q223" s="7">
        <f t="shared" si="16"/>
        <v>3</v>
      </c>
      <c r="R223" s="28">
        <f>1+1+1+1+1+1+1</f>
        <v>7</v>
      </c>
      <c r="S223" s="28"/>
      <c r="T223" s="27"/>
      <c r="U223" s="27"/>
      <c r="V223" s="27"/>
      <c r="W223" s="28"/>
      <c r="X223" s="28">
        <f>5+11</f>
        <v>16</v>
      </c>
      <c r="Y223" s="28">
        <v>12.0</v>
      </c>
      <c r="Z223" s="28">
        <v>12.0</v>
      </c>
      <c r="AA223" s="28">
        <v>9.0</v>
      </c>
      <c r="AB223" s="28"/>
      <c r="AC223" s="28"/>
      <c r="AD223" s="27"/>
      <c r="AE223" s="28">
        <f>14+6</f>
        <v>20</v>
      </c>
      <c r="AF223" s="28"/>
      <c r="AG223" s="28">
        <v>1.0</v>
      </c>
      <c r="AH223" s="27">
        <f>8</f>
        <v>8</v>
      </c>
      <c r="AI223" s="28">
        <v>1.0</v>
      </c>
      <c r="AJ223" s="28">
        <f>10+1</f>
        <v>11</v>
      </c>
      <c r="AK223" s="27"/>
      <c r="AL223" s="28">
        <f>13+14</f>
        <v>27</v>
      </c>
      <c r="AM223" s="28">
        <f>1+3</f>
        <v>4</v>
      </c>
      <c r="AN223" s="32"/>
      <c r="AO223" s="32"/>
      <c r="AP223" s="32"/>
    </row>
    <row r="224">
      <c r="A224" s="58"/>
      <c r="B224" s="58"/>
      <c r="C224" s="58"/>
      <c r="D224" s="58"/>
      <c r="E224" s="58"/>
      <c r="F224" s="58"/>
      <c r="G224" s="58"/>
      <c r="H224" s="68"/>
      <c r="I224" s="80"/>
      <c r="J224" s="80"/>
      <c r="K224" s="80"/>
      <c r="L224" s="80"/>
      <c r="M224" s="79"/>
      <c r="N224" s="79"/>
      <c r="O224" s="80"/>
      <c r="P224" s="80"/>
      <c r="Q224" s="80"/>
      <c r="R224" s="10"/>
      <c r="S224" s="10"/>
      <c r="T224" s="10"/>
      <c r="U224" s="27"/>
      <c r="V224" s="10"/>
      <c r="W224" s="10"/>
      <c r="X224" s="6"/>
      <c r="Y224" s="6"/>
      <c r="Z224" s="6"/>
      <c r="AA224" s="6"/>
      <c r="AB224" s="27"/>
      <c r="AC224" s="10"/>
      <c r="AD224" s="10"/>
      <c r="AE224" s="6"/>
      <c r="AF224" s="255"/>
      <c r="AG224" s="6"/>
      <c r="AH224" s="10"/>
      <c r="AI224" s="27"/>
      <c r="AJ224" s="6"/>
      <c r="AK224" s="10"/>
      <c r="AL224" s="6"/>
      <c r="AM224" s="6"/>
      <c r="AN224" s="48"/>
      <c r="AO224" s="48"/>
      <c r="AP224" s="48"/>
    </row>
    <row r="225">
      <c r="A225" s="16" t="s">
        <v>109</v>
      </c>
      <c r="B225" s="17"/>
      <c r="C225" s="17"/>
      <c r="D225" s="17"/>
      <c r="E225" s="17"/>
      <c r="F225" s="17"/>
      <c r="G225" s="18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</row>
    <row r="226">
      <c r="A226" s="24" t="s">
        <v>110</v>
      </c>
      <c r="B226" s="17"/>
      <c r="C226" s="17"/>
      <c r="D226" s="18"/>
      <c r="E226" s="25">
        <v>0.3</v>
      </c>
      <c r="F226" s="25" t="s">
        <v>21</v>
      </c>
      <c r="G226" s="78">
        <v>183.0</v>
      </c>
      <c r="H226" s="7" t="s">
        <v>22</v>
      </c>
      <c r="I226" s="26"/>
      <c r="J226" s="26"/>
      <c r="K226" s="26"/>
      <c r="L226" s="7">
        <v>63.0</v>
      </c>
      <c r="M226" s="26"/>
      <c r="N226" s="26"/>
      <c r="O226" s="7"/>
      <c r="P226" s="26"/>
      <c r="Q226" s="26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9">
        <f>G226+SUM(I226:AM226)-SUM(I227:AM227)</f>
        <v>171</v>
      </c>
      <c r="AO226" s="236">
        <f>ROUNDDOWN((AN226/E226)/$H$4,1)</f>
        <v>19</v>
      </c>
      <c r="AP226" s="236">
        <f>$M$4+AO226</f>
        <v>967</v>
      </c>
    </row>
    <row r="227">
      <c r="A227" s="31"/>
      <c r="B227" s="17"/>
      <c r="C227" s="17"/>
      <c r="D227" s="17"/>
      <c r="E227" s="17"/>
      <c r="F227" s="18"/>
      <c r="G227" s="27"/>
      <c r="H227" s="7" t="s">
        <v>23</v>
      </c>
      <c r="I227" s="7">
        <v>25.0</v>
      </c>
      <c r="J227" s="26"/>
      <c r="K227" s="7"/>
      <c r="L227" s="26"/>
      <c r="M227" s="26"/>
      <c r="N227" s="26"/>
      <c r="O227" s="26"/>
      <c r="P227" s="26"/>
      <c r="Q227" s="7"/>
      <c r="R227" s="28">
        <v>25.0</v>
      </c>
      <c r="S227" s="27"/>
      <c r="T227" s="27"/>
      <c r="U227" s="27"/>
      <c r="V227" s="28"/>
      <c r="W227" s="27"/>
      <c r="X227" s="27"/>
      <c r="Y227" s="27"/>
      <c r="Z227" s="28">
        <v>25.0</v>
      </c>
      <c r="AA227" s="28"/>
      <c r="AB227" s="28"/>
      <c r="AC227" s="28"/>
      <c r="AD227" s="27"/>
      <c r="AE227" s="27"/>
      <c r="AF227" s="28"/>
      <c r="AG227" s="28"/>
      <c r="AH227" s="27"/>
      <c r="AI227" s="27"/>
      <c r="AJ227" s="27"/>
      <c r="AK227" s="27"/>
      <c r="AL227" s="27"/>
      <c r="AM227" s="27"/>
      <c r="AN227" s="32"/>
      <c r="AO227" s="32"/>
      <c r="AP227" s="32"/>
    </row>
    <row r="228">
      <c r="A228" s="33"/>
      <c r="B228" s="33"/>
      <c r="C228" s="33"/>
      <c r="D228" s="33"/>
      <c r="E228" s="25"/>
      <c r="F228" s="25"/>
      <c r="G228" s="78"/>
      <c r="H228" s="7"/>
      <c r="I228" s="37"/>
      <c r="J228" s="36"/>
      <c r="K228" s="36"/>
      <c r="L228" s="36"/>
      <c r="M228" s="36"/>
      <c r="N228" s="36"/>
      <c r="O228" s="36"/>
      <c r="P228" s="36"/>
      <c r="Q228" s="36"/>
      <c r="R228" s="6"/>
      <c r="S228" s="10"/>
      <c r="T228" s="10"/>
      <c r="U228" s="27"/>
      <c r="V228" s="10"/>
      <c r="W228" s="10"/>
      <c r="X228" s="10"/>
      <c r="Y228" s="10"/>
      <c r="Z228" s="6"/>
      <c r="AA228" s="10"/>
      <c r="AB228" s="27"/>
      <c r="AC228" s="10"/>
      <c r="AD228" s="10"/>
      <c r="AE228" s="10"/>
      <c r="AF228" s="10"/>
      <c r="AG228" s="10"/>
      <c r="AH228" s="10"/>
      <c r="AI228" s="27"/>
      <c r="AJ228" s="10"/>
      <c r="AK228" s="10"/>
      <c r="AL228" s="10"/>
      <c r="AM228" s="10"/>
      <c r="AN228" s="39"/>
      <c r="AO228" s="237"/>
      <c r="AP228" s="237"/>
    </row>
    <row r="229">
      <c r="A229" s="24" t="s">
        <v>111</v>
      </c>
      <c r="B229" s="17"/>
      <c r="C229" s="17"/>
      <c r="D229" s="18"/>
      <c r="E229" s="25">
        <v>3.0</v>
      </c>
      <c r="F229" s="25" t="s">
        <v>21</v>
      </c>
      <c r="G229" s="78">
        <v>450.0</v>
      </c>
      <c r="H229" s="7" t="s">
        <v>22</v>
      </c>
      <c r="I229" s="26"/>
      <c r="J229" s="26"/>
      <c r="K229" s="26"/>
      <c r="L229" s="7">
        <v>1530.0</v>
      </c>
      <c r="M229" s="26"/>
      <c r="N229" s="26"/>
      <c r="O229" s="7"/>
      <c r="P229" s="7"/>
      <c r="Q229" s="26"/>
      <c r="R229" s="27"/>
      <c r="S229" s="27"/>
      <c r="T229" s="27"/>
      <c r="U229" s="27"/>
      <c r="V229" s="27"/>
      <c r="W229" s="27"/>
      <c r="X229" s="27"/>
      <c r="Y229" s="27"/>
      <c r="Z229" s="28">
        <v>1530.0</v>
      </c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8">
        <v>3060.0</v>
      </c>
      <c r="AN229" s="29">
        <f>G229+SUM(I229:AM229)-SUM(I230:AM230)</f>
        <v>3820</v>
      </c>
      <c r="AO229" s="236">
        <f>ROUNDDOWN((AN229/E229)/$H$4,1)</f>
        <v>42.4</v>
      </c>
      <c r="AP229" s="236">
        <f>$M$4+AO229</f>
        <v>990.4</v>
      </c>
    </row>
    <row r="230">
      <c r="A230" s="31"/>
      <c r="B230" s="17"/>
      <c r="C230" s="17"/>
      <c r="D230" s="17"/>
      <c r="E230" s="17"/>
      <c r="F230" s="18"/>
      <c r="G230" s="27"/>
      <c r="H230" s="7" t="s">
        <v>23</v>
      </c>
      <c r="I230" s="7">
        <v>125.0</v>
      </c>
      <c r="J230" s="7">
        <v>100.0</v>
      </c>
      <c r="K230" s="7">
        <v>125.0</v>
      </c>
      <c r="L230" s="7">
        <v>125.0</v>
      </c>
      <c r="M230" s="7">
        <v>100.0</v>
      </c>
      <c r="N230" s="7">
        <v>75.0</v>
      </c>
      <c r="O230" s="7">
        <v>100.0</v>
      </c>
      <c r="P230" s="7">
        <v>100.0</v>
      </c>
      <c r="Q230" s="7">
        <v>100.0</v>
      </c>
      <c r="R230" s="28">
        <f>100+100</f>
        <v>200</v>
      </c>
      <c r="S230" s="28">
        <v>100.0</v>
      </c>
      <c r="T230" s="28">
        <v>100.0</v>
      </c>
      <c r="U230" s="28"/>
      <c r="V230" s="28">
        <v>100.0</v>
      </c>
      <c r="W230" s="28">
        <v>100.0</v>
      </c>
      <c r="X230" s="28">
        <v>100.0</v>
      </c>
      <c r="Y230" s="28">
        <v>100.0</v>
      </c>
      <c r="Z230" s="28">
        <v>100.0</v>
      </c>
      <c r="AA230" s="28">
        <v>100.0</v>
      </c>
      <c r="AB230" s="28"/>
      <c r="AC230" s="28">
        <v>100.0</v>
      </c>
      <c r="AD230" s="28">
        <v>100.0</v>
      </c>
      <c r="AE230" s="28">
        <v>75.0</v>
      </c>
      <c r="AF230" s="28"/>
      <c r="AG230" s="28">
        <v>75.0</v>
      </c>
      <c r="AH230" s="28">
        <v>75.0</v>
      </c>
      <c r="AI230" s="28"/>
      <c r="AJ230" s="28">
        <v>75.0</v>
      </c>
      <c r="AK230" s="28">
        <v>100.0</v>
      </c>
      <c r="AL230" s="28">
        <v>100.0</v>
      </c>
      <c r="AM230" s="28">
        <v>100.0</v>
      </c>
      <c r="AN230" s="32"/>
      <c r="AO230" s="32"/>
      <c r="AP230" s="32"/>
    </row>
    <row r="231">
      <c r="A231" s="33"/>
      <c r="B231" s="33"/>
      <c r="C231" s="33"/>
      <c r="D231" s="33"/>
      <c r="E231" s="25"/>
      <c r="F231" s="25"/>
      <c r="G231" s="78"/>
      <c r="H231" s="7"/>
      <c r="I231" s="37"/>
      <c r="J231" s="37"/>
      <c r="K231" s="37"/>
      <c r="L231" s="37"/>
      <c r="M231" s="37"/>
      <c r="N231" s="37"/>
      <c r="O231" s="37"/>
      <c r="P231" s="37"/>
      <c r="Q231" s="37"/>
      <c r="R231" s="6"/>
      <c r="S231" s="6"/>
      <c r="T231" s="6"/>
      <c r="U231" s="27"/>
      <c r="V231" s="42"/>
      <c r="W231" s="6"/>
      <c r="X231" s="6"/>
      <c r="Y231" s="6"/>
      <c r="Z231" s="6"/>
      <c r="AA231" s="6"/>
      <c r="AB231" s="27"/>
      <c r="AC231" s="6"/>
      <c r="AD231" s="6"/>
      <c r="AE231" s="6"/>
      <c r="AF231" s="10"/>
      <c r="AG231" s="6"/>
      <c r="AH231" s="6"/>
      <c r="AI231" s="27"/>
      <c r="AJ231" s="6"/>
      <c r="AK231" s="6"/>
      <c r="AL231" s="6"/>
      <c r="AM231" s="6"/>
      <c r="AN231" s="39"/>
      <c r="AO231" s="237"/>
      <c r="AP231" s="237"/>
    </row>
    <row r="232">
      <c r="A232" s="24" t="s">
        <v>112</v>
      </c>
      <c r="B232" s="17"/>
      <c r="C232" s="17"/>
      <c r="D232" s="18"/>
      <c r="E232" s="25">
        <v>1.88</v>
      </c>
      <c r="F232" s="25" t="s">
        <v>21</v>
      </c>
      <c r="G232" s="78">
        <v>101.0</v>
      </c>
      <c r="H232" s="7" t="s">
        <v>22</v>
      </c>
      <c r="I232" s="26"/>
      <c r="J232" s="26"/>
      <c r="K232" s="26"/>
      <c r="L232" s="26"/>
      <c r="M232" s="26"/>
      <c r="N232" s="26"/>
      <c r="O232" s="7">
        <v>125.0</v>
      </c>
      <c r="P232" s="7">
        <v>663.0</v>
      </c>
      <c r="Q232" s="26"/>
      <c r="R232" s="27"/>
      <c r="S232" s="27"/>
      <c r="T232" s="27"/>
      <c r="U232" s="27"/>
      <c r="V232" s="28"/>
      <c r="W232" s="27"/>
      <c r="X232" s="27"/>
      <c r="Y232" s="28">
        <v>663.0</v>
      </c>
      <c r="Z232" s="27"/>
      <c r="AA232" s="27"/>
      <c r="AB232" s="28"/>
      <c r="AC232" s="28"/>
      <c r="AD232" s="28"/>
      <c r="AE232" s="27"/>
      <c r="AF232" s="27"/>
      <c r="AG232" s="27"/>
      <c r="AH232" s="27"/>
      <c r="AI232" s="27"/>
      <c r="AJ232" s="28">
        <v>1326.0</v>
      </c>
      <c r="AK232" s="27"/>
      <c r="AL232" s="27"/>
      <c r="AM232" s="27"/>
      <c r="AN232" s="29">
        <f>G232+SUM(I232:AM232)-SUM(I233:AM233)</f>
        <v>1764</v>
      </c>
      <c r="AO232" s="236">
        <f>ROUNDDOWN((AN232/E232)/$H$4,1)</f>
        <v>31.2</v>
      </c>
      <c r="AP232" s="236">
        <f>$M$4+AO232</f>
        <v>979.2</v>
      </c>
    </row>
    <row r="233">
      <c r="A233" s="56"/>
      <c r="B233" s="56"/>
      <c r="C233" s="56"/>
      <c r="D233" s="56"/>
      <c r="E233" s="57"/>
      <c r="F233" s="57"/>
      <c r="G233" s="78"/>
      <c r="H233" s="7" t="s">
        <v>23</v>
      </c>
      <c r="I233" s="7">
        <v>50.0</v>
      </c>
      <c r="J233" s="7">
        <v>50.0</v>
      </c>
      <c r="K233" s="7"/>
      <c r="L233" s="7"/>
      <c r="M233" s="7"/>
      <c r="N233" s="7"/>
      <c r="O233" s="7">
        <v>50.0</v>
      </c>
      <c r="P233" s="7">
        <v>50.0</v>
      </c>
      <c r="Q233" s="7">
        <v>50.0</v>
      </c>
      <c r="R233" s="28">
        <v>50.0</v>
      </c>
      <c r="S233" s="28">
        <v>50.0</v>
      </c>
      <c r="T233" s="28">
        <v>50.0</v>
      </c>
      <c r="U233" s="28"/>
      <c r="V233" s="28">
        <v>50.0</v>
      </c>
      <c r="W233" s="28">
        <v>50.0</v>
      </c>
      <c r="X233" s="28">
        <v>50.0</v>
      </c>
      <c r="Y233" s="28">
        <v>50.0</v>
      </c>
      <c r="Z233" s="28">
        <v>50.0</v>
      </c>
      <c r="AA233" s="28">
        <v>50.0</v>
      </c>
      <c r="AB233" s="28"/>
      <c r="AC233" s="28">
        <v>50.0</v>
      </c>
      <c r="AD233" s="28">
        <v>50.0</v>
      </c>
      <c r="AE233" s="28">
        <v>50.0</v>
      </c>
      <c r="AF233" s="28"/>
      <c r="AG233" s="28">
        <v>38.0</v>
      </c>
      <c r="AH233" s="28">
        <v>38.0</v>
      </c>
      <c r="AI233" s="28"/>
      <c r="AJ233" s="28">
        <v>38.0</v>
      </c>
      <c r="AK233" s="28">
        <v>50.0</v>
      </c>
      <c r="AL233" s="28">
        <v>50.0</v>
      </c>
      <c r="AM233" s="28">
        <v>50.0</v>
      </c>
      <c r="AN233" s="32"/>
      <c r="AO233" s="32"/>
      <c r="AP233" s="32"/>
    </row>
    <row r="234">
      <c r="A234" s="72"/>
      <c r="B234" s="72"/>
      <c r="C234" s="72"/>
      <c r="D234" s="72"/>
      <c r="E234" s="72"/>
      <c r="F234" s="72"/>
      <c r="G234" s="78"/>
      <c r="H234" s="69"/>
      <c r="I234" s="37"/>
      <c r="J234" s="37"/>
      <c r="K234" s="36"/>
      <c r="L234" s="36"/>
      <c r="M234" s="36"/>
      <c r="N234" s="36"/>
      <c r="O234" s="37"/>
      <c r="P234" s="37"/>
      <c r="Q234" s="37"/>
      <c r="R234" s="6"/>
      <c r="S234" s="6"/>
      <c r="T234" s="6"/>
      <c r="U234" s="27"/>
      <c r="V234" s="6"/>
      <c r="W234" s="6"/>
      <c r="X234" s="6"/>
      <c r="Y234" s="6"/>
      <c r="Z234" s="6"/>
      <c r="AA234" s="6"/>
      <c r="AB234" s="27"/>
      <c r="AC234" s="6"/>
      <c r="AD234" s="6"/>
      <c r="AE234" s="6"/>
      <c r="AF234" s="10"/>
      <c r="AG234" s="6"/>
      <c r="AH234" s="6"/>
      <c r="AI234" s="27"/>
      <c r="AJ234" s="6"/>
      <c r="AK234" s="6"/>
      <c r="AL234" s="6"/>
      <c r="AM234" s="6"/>
      <c r="AN234" s="48"/>
      <c r="AO234" s="48"/>
      <c r="AP234" s="48"/>
    </row>
    <row r="235">
      <c r="A235" s="73" t="s">
        <v>113</v>
      </c>
      <c r="B235" s="17"/>
      <c r="C235" s="17"/>
      <c r="D235" s="17"/>
      <c r="E235" s="17"/>
      <c r="F235" s="17"/>
      <c r="G235" s="18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</row>
    <row r="236">
      <c r="A236" s="24" t="s">
        <v>114</v>
      </c>
      <c r="B236" s="17"/>
      <c r="C236" s="17"/>
      <c r="D236" s="18"/>
      <c r="E236" s="25">
        <v>0.03</v>
      </c>
      <c r="F236" s="25" t="s">
        <v>21</v>
      </c>
      <c r="G236" s="78">
        <v>23.0</v>
      </c>
      <c r="H236" s="7" t="s">
        <v>22</v>
      </c>
      <c r="I236" s="26"/>
      <c r="J236" s="26"/>
      <c r="K236" s="26"/>
      <c r="L236" s="7"/>
      <c r="M236" s="26"/>
      <c r="N236" s="26"/>
      <c r="O236" s="26"/>
      <c r="P236" s="26"/>
      <c r="Q236" s="26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9">
        <f>G236+SUM(I236:AM236)-SUM(I237:AM237)</f>
        <v>22</v>
      </c>
      <c r="AO236" s="236">
        <f>ROUNDDOWN((AN236/E236)/$H$4,1)</f>
        <v>24.4</v>
      </c>
      <c r="AP236" s="236">
        <f>$M$4+AO236</f>
        <v>972.4</v>
      </c>
    </row>
    <row r="237">
      <c r="A237" s="31"/>
      <c r="B237" s="17"/>
      <c r="C237" s="17"/>
      <c r="D237" s="17"/>
      <c r="E237" s="17"/>
      <c r="F237" s="18"/>
      <c r="G237" s="27"/>
      <c r="H237" s="7" t="s">
        <v>23</v>
      </c>
      <c r="I237" s="26"/>
      <c r="J237" s="26"/>
      <c r="K237" s="26"/>
      <c r="L237" s="26"/>
      <c r="M237" s="26"/>
      <c r="N237" s="26"/>
      <c r="O237" s="26"/>
      <c r="P237" s="26"/>
      <c r="Q237" s="26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8">
        <v>1.0</v>
      </c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32"/>
      <c r="AO237" s="32"/>
      <c r="AP237" s="32"/>
    </row>
    <row r="238">
      <c r="A238" s="33"/>
      <c r="B238" s="33"/>
      <c r="C238" s="33"/>
      <c r="D238" s="33"/>
      <c r="E238" s="25"/>
      <c r="F238" s="25"/>
      <c r="G238" s="78"/>
      <c r="H238" s="7"/>
      <c r="I238" s="36"/>
      <c r="J238" s="36"/>
      <c r="K238" s="36"/>
      <c r="L238" s="35"/>
      <c r="M238" s="36"/>
      <c r="N238" s="36"/>
      <c r="O238" s="36"/>
      <c r="P238" s="36"/>
      <c r="Q238" s="36"/>
      <c r="R238" s="10"/>
      <c r="S238" s="10"/>
      <c r="T238" s="10"/>
      <c r="U238" s="27"/>
      <c r="V238" s="10"/>
      <c r="W238" s="10"/>
      <c r="X238" s="10"/>
      <c r="Y238" s="10"/>
      <c r="Z238" s="10"/>
      <c r="AA238" s="10"/>
      <c r="AB238" s="27"/>
      <c r="AC238" s="6"/>
      <c r="AD238" s="10"/>
      <c r="AE238" s="10"/>
      <c r="AF238" s="10"/>
      <c r="AG238" s="10"/>
      <c r="AH238" s="10"/>
      <c r="AI238" s="27"/>
      <c r="AJ238" s="10"/>
      <c r="AK238" s="10"/>
      <c r="AL238" s="10"/>
      <c r="AM238" s="10"/>
      <c r="AN238" s="39"/>
      <c r="AO238" s="237"/>
      <c r="AP238" s="237"/>
    </row>
    <row r="239">
      <c r="A239" s="24" t="s">
        <v>115</v>
      </c>
      <c r="B239" s="17"/>
      <c r="C239" s="17"/>
      <c r="D239" s="18"/>
      <c r="E239" s="25">
        <v>0.04</v>
      </c>
      <c r="F239" s="25" t="s">
        <v>21</v>
      </c>
      <c r="G239" s="78">
        <v>12.0</v>
      </c>
      <c r="H239" s="7" t="s">
        <v>22</v>
      </c>
      <c r="I239" s="26"/>
      <c r="J239" s="26"/>
      <c r="K239" s="26"/>
      <c r="L239" s="7"/>
      <c r="M239" s="7">
        <v>12.0</v>
      </c>
      <c r="N239" s="26"/>
      <c r="O239" s="26"/>
      <c r="P239" s="26"/>
      <c r="Q239" s="26"/>
      <c r="R239" s="27"/>
      <c r="S239" s="27"/>
      <c r="T239" s="27"/>
      <c r="U239" s="27"/>
      <c r="V239" s="27"/>
      <c r="W239" s="27"/>
      <c r="X239" s="27"/>
      <c r="Y239" s="28">
        <v>14.0</v>
      </c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8">
        <v>20.0</v>
      </c>
      <c r="AK239" s="27"/>
      <c r="AL239" s="27"/>
      <c r="AM239" s="27"/>
      <c r="AN239" s="29">
        <f>G239+SUM(I239:AM239)-SUM(I240:AM240)</f>
        <v>47</v>
      </c>
      <c r="AO239" s="236">
        <f>ROUNDDOWN((AN239/E239)/$H$4,1)</f>
        <v>39.1</v>
      </c>
      <c r="AP239" s="236">
        <f>$M$4+AO239</f>
        <v>987.1</v>
      </c>
    </row>
    <row r="240">
      <c r="A240" s="31"/>
      <c r="B240" s="17"/>
      <c r="C240" s="17"/>
      <c r="D240" s="17"/>
      <c r="E240" s="17"/>
      <c r="F240" s="18"/>
      <c r="G240" s="27"/>
      <c r="H240" s="7" t="s">
        <v>23</v>
      </c>
      <c r="I240" s="26"/>
      <c r="J240" s="26"/>
      <c r="K240" s="26"/>
      <c r="L240" s="7"/>
      <c r="M240" s="7">
        <v>1.0</v>
      </c>
      <c r="N240" s="7"/>
      <c r="O240" s="26"/>
      <c r="P240" s="26"/>
      <c r="Q240" s="7"/>
      <c r="R240" s="27"/>
      <c r="S240" s="28">
        <v>10.0</v>
      </c>
      <c r="T240" s="27"/>
      <c r="U240" s="27"/>
      <c r="V240" s="27"/>
      <c r="W240" s="28"/>
      <c r="X240" s="27"/>
      <c r="Y240" s="27"/>
      <c r="Z240" s="28"/>
      <c r="AA240" s="28"/>
      <c r="AB240" s="27"/>
      <c r="AC240" s="27"/>
      <c r="AD240" s="27"/>
      <c r="AE240" s="28"/>
      <c r="AF240" s="27"/>
      <c r="AG240" s="27"/>
      <c r="AH240" s="28"/>
      <c r="AI240" s="27"/>
      <c r="AJ240" s="27"/>
      <c r="AK240" s="27"/>
      <c r="AL240" s="27"/>
      <c r="AM240" s="27"/>
      <c r="AN240" s="32"/>
      <c r="AO240" s="32"/>
      <c r="AP240" s="32"/>
    </row>
    <row r="241">
      <c r="A241" s="33"/>
      <c r="B241" s="33"/>
      <c r="C241" s="33"/>
      <c r="D241" s="33"/>
      <c r="E241" s="25"/>
      <c r="F241" s="25"/>
      <c r="G241" s="25"/>
      <c r="H241" s="7"/>
      <c r="I241" s="36"/>
      <c r="J241" s="36"/>
      <c r="K241" s="36"/>
      <c r="L241" s="36"/>
      <c r="M241" s="37"/>
      <c r="N241" s="36"/>
      <c r="O241" s="36"/>
      <c r="P241" s="36"/>
      <c r="Q241" s="36"/>
      <c r="R241" s="10"/>
      <c r="S241" s="6"/>
      <c r="T241" s="10"/>
      <c r="U241" s="27"/>
      <c r="V241" s="10"/>
      <c r="W241" s="10"/>
      <c r="X241" s="10"/>
      <c r="Y241" s="10"/>
      <c r="Z241" s="10"/>
      <c r="AA241" s="10"/>
      <c r="AB241" s="27"/>
      <c r="AC241" s="10"/>
      <c r="AD241" s="10"/>
      <c r="AE241" s="10"/>
      <c r="AF241" s="10"/>
      <c r="AG241" s="10"/>
      <c r="AH241" s="10"/>
      <c r="AI241" s="27"/>
      <c r="AJ241" s="10"/>
      <c r="AK241" s="10"/>
      <c r="AL241" s="10"/>
      <c r="AM241" s="10"/>
      <c r="AN241" s="39"/>
      <c r="AO241" s="237"/>
      <c r="AP241" s="256"/>
    </row>
    <row r="242">
      <c r="A242" s="24" t="s">
        <v>116</v>
      </c>
      <c r="B242" s="17"/>
      <c r="C242" s="17"/>
      <c r="D242" s="18"/>
      <c r="E242" s="25">
        <v>0.33</v>
      </c>
      <c r="F242" s="25" t="s">
        <v>21</v>
      </c>
      <c r="G242" s="78">
        <v>80.0</v>
      </c>
      <c r="H242" s="7" t="s">
        <v>22</v>
      </c>
      <c r="I242" s="26"/>
      <c r="J242" s="26"/>
      <c r="K242" s="26"/>
      <c r="L242" s="7">
        <v>168.0</v>
      </c>
      <c r="M242" s="26"/>
      <c r="N242" s="26"/>
      <c r="O242" s="26"/>
      <c r="P242" s="26"/>
      <c r="Q242" s="26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8">
        <v>119.0</v>
      </c>
      <c r="AE242" s="27"/>
      <c r="AF242" s="27"/>
      <c r="AG242" s="27"/>
      <c r="AH242" s="27"/>
      <c r="AI242" s="27"/>
      <c r="AJ242" s="28">
        <v>100.0</v>
      </c>
      <c r="AK242" s="27"/>
      <c r="AL242" s="27"/>
      <c r="AM242" s="27"/>
      <c r="AN242" s="29">
        <f>G242+SUM(I242:AM242)-SUM(I243:AM243)</f>
        <v>218.5</v>
      </c>
      <c r="AO242" s="236">
        <f>ROUNDDOWN((AN242/E242)/$H$4,1)</f>
        <v>22</v>
      </c>
      <c r="AP242" s="257">
        <f>M3+AO242</f>
        <v>967</v>
      </c>
    </row>
    <row r="243">
      <c r="A243" s="31"/>
      <c r="B243" s="17"/>
      <c r="C243" s="17"/>
      <c r="D243" s="17"/>
      <c r="E243" s="17"/>
      <c r="F243" s="18"/>
      <c r="G243" s="27"/>
      <c r="H243" s="7" t="s">
        <v>23</v>
      </c>
      <c r="I243" s="7">
        <f>4+5</f>
        <v>9</v>
      </c>
      <c r="J243" s="7">
        <f>4+3</f>
        <v>7</v>
      </c>
      <c r="K243" s="7">
        <f>1.5+5+4+2</f>
        <v>12.5</v>
      </c>
      <c r="L243" s="7">
        <f>5+4</f>
        <v>9</v>
      </c>
      <c r="M243" s="7">
        <f>4+3</f>
        <v>7</v>
      </c>
      <c r="N243" s="7"/>
      <c r="O243" s="7">
        <f>4+4</f>
        <v>8</v>
      </c>
      <c r="P243" s="7">
        <f>5+4+2</f>
        <v>11</v>
      </c>
      <c r="Q243" s="7">
        <v>4.0</v>
      </c>
      <c r="R243" s="28">
        <f>5+4</f>
        <v>9</v>
      </c>
      <c r="S243" s="28">
        <f>4+4+5</f>
        <v>13</v>
      </c>
      <c r="T243" s="28">
        <f>4+3</f>
        <v>7</v>
      </c>
      <c r="U243" s="28"/>
      <c r="V243" s="28">
        <f>5+4+3</f>
        <v>12</v>
      </c>
      <c r="W243" s="28">
        <v>4.0</v>
      </c>
      <c r="X243" s="28">
        <f>5+4+3+3+4</f>
        <v>19</v>
      </c>
      <c r="Y243" s="28"/>
      <c r="Z243" s="28">
        <f t="shared" ref="Z243:AA243" si="17">4+4</f>
        <v>8</v>
      </c>
      <c r="AA243" s="28">
        <f t="shared" si="17"/>
        <v>8</v>
      </c>
      <c r="AB243" s="28"/>
      <c r="AC243" s="28">
        <f>5+4+4+4</f>
        <v>17</v>
      </c>
      <c r="AD243" s="28">
        <f>4</f>
        <v>4</v>
      </c>
      <c r="AE243" s="28">
        <f>4+4+4+4</f>
        <v>16</v>
      </c>
      <c r="AF243" s="28"/>
      <c r="AG243" s="28">
        <f>4+4+4+3</f>
        <v>15</v>
      </c>
      <c r="AH243" s="28">
        <f>5+4</f>
        <v>9</v>
      </c>
      <c r="AI243" s="28"/>
      <c r="AJ243" s="28">
        <f>5+4+4+2</f>
        <v>15</v>
      </c>
      <c r="AK243" s="28">
        <v>4.0</v>
      </c>
      <c r="AL243" s="28">
        <f>5+4+4</f>
        <v>13</v>
      </c>
      <c r="AM243" s="28">
        <f>4+4</f>
        <v>8</v>
      </c>
      <c r="AN243" s="32"/>
      <c r="AO243" s="32"/>
      <c r="AP243" s="32"/>
    </row>
    <row r="244">
      <c r="A244" s="33"/>
      <c r="B244" s="33"/>
      <c r="C244" s="33"/>
      <c r="D244" s="33"/>
      <c r="E244" s="25"/>
      <c r="F244" s="25"/>
      <c r="G244" s="25"/>
      <c r="H244" s="7"/>
      <c r="I244" s="41"/>
      <c r="J244" s="37"/>
      <c r="K244" s="41"/>
      <c r="L244" s="37"/>
      <c r="M244" s="37"/>
      <c r="N244" s="35"/>
      <c r="O244" s="37"/>
      <c r="P244" s="37"/>
      <c r="Q244" s="37"/>
      <c r="R244" s="42"/>
      <c r="S244" s="6"/>
      <c r="T244" s="42"/>
      <c r="U244" s="28"/>
      <c r="V244" s="42"/>
      <c r="W244" s="6"/>
      <c r="X244" s="6"/>
      <c r="Y244" s="10"/>
      <c r="Z244" s="42"/>
      <c r="AA244" s="6"/>
      <c r="AB244" s="27"/>
      <c r="AC244" s="6"/>
      <c r="AD244" s="6"/>
      <c r="AE244" s="42"/>
      <c r="AF244" s="10"/>
      <c r="AG244" s="6"/>
      <c r="AH244" s="42"/>
      <c r="AI244" s="28"/>
      <c r="AJ244" s="42"/>
      <c r="AK244" s="6"/>
      <c r="AL244" s="6"/>
      <c r="AM244" s="6"/>
      <c r="AN244" s="39"/>
      <c r="AO244" s="237"/>
      <c r="AP244" s="256"/>
    </row>
    <row r="245">
      <c r="A245" s="24" t="s">
        <v>117</v>
      </c>
      <c r="B245" s="17"/>
      <c r="C245" s="17"/>
      <c r="D245" s="18"/>
      <c r="E245" s="25">
        <v>0.17</v>
      </c>
      <c r="F245" s="25" t="s">
        <v>167</v>
      </c>
      <c r="G245" s="78">
        <f>2+41</f>
        <v>43</v>
      </c>
      <c r="H245" s="7" t="s">
        <v>22</v>
      </c>
      <c r="I245" s="7"/>
      <c r="J245" s="26"/>
      <c r="K245" s="7"/>
      <c r="L245" s="7">
        <v>41.0</v>
      </c>
      <c r="M245" s="26"/>
      <c r="N245" s="7"/>
      <c r="O245" s="26"/>
      <c r="P245" s="26"/>
      <c r="Q245" s="26"/>
      <c r="R245" s="28"/>
      <c r="S245" s="27"/>
      <c r="T245" s="28"/>
      <c r="U245" s="28"/>
      <c r="V245" s="27"/>
      <c r="W245" s="27"/>
      <c r="X245" s="27"/>
      <c r="Y245" s="27"/>
      <c r="Z245" s="28"/>
      <c r="AA245" s="27"/>
      <c r="AB245" s="27"/>
      <c r="AC245" s="27"/>
      <c r="AD245" s="28">
        <v>41.0</v>
      </c>
      <c r="AE245" s="28"/>
      <c r="AF245" s="27"/>
      <c r="AG245" s="27"/>
      <c r="AH245" s="28"/>
      <c r="AI245" s="28"/>
      <c r="AJ245" s="28">
        <v>82.0</v>
      </c>
      <c r="AK245" s="28"/>
      <c r="AL245" s="27"/>
      <c r="AM245" s="27"/>
      <c r="AN245" s="29">
        <f>G245+SUM(I245:AM245)-SUM(I246:AM246)</f>
        <v>166.9</v>
      </c>
      <c r="AO245" s="236">
        <f>ROUNDDOWN((AN245/E245)/$H$4,1)</f>
        <v>32.7</v>
      </c>
      <c r="AP245" s="257">
        <f>$M$4+AO245</f>
        <v>980.7</v>
      </c>
    </row>
    <row r="246">
      <c r="A246" s="31"/>
      <c r="B246" s="17"/>
      <c r="C246" s="17"/>
      <c r="D246" s="17"/>
      <c r="E246" s="17"/>
      <c r="F246" s="18"/>
      <c r="G246" s="27"/>
      <c r="H246" s="7" t="s">
        <v>23</v>
      </c>
      <c r="I246" s="7">
        <v>2.0</v>
      </c>
      <c r="J246" s="26"/>
      <c r="K246" s="7"/>
      <c r="L246" s="7">
        <f>3.3+3</f>
        <v>6.3</v>
      </c>
      <c r="M246" s="26"/>
      <c r="N246" s="7"/>
      <c r="O246" s="7">
        <f>4+3</f>
        <v>7</v>
      </c>
      <c r="P246" s="26"/>
      <c r="Q246" s="26"/>
      <c r="R246" s="28"/>
      <c r="S246" s="28">
        <f>2.6</f>
        <v>2.6</v>
      </c>
      <c r="T246" s="28"/>
      <c r="U246" s="28"/>
      <c r="V246" s="28">
        <v>1.2</v>
      </c>
      <c r="W246" s="28">
        <f>3+5</f>
        <v>8</v>
      </c>
      <c r="X246" s="27"/>
      <c r="Y246" s="28"/>
      <c r="Z246" s="28">
        <v>2.6</v>
      </c>
      <c r="AA246" s="28"/>
      <c r="AB246" s="28"/>
      <c r="AC246" s="28">
        <f>1.7+1.2</f>
        <v>2.9</v>
      </c>
      <c r="AD246" s="28"/>
      <c r="AE246" s="28">
        <v>2.5</v>
      </c>
      <c r="AF246" s="28"/>
      <c r="AG246" s="28">
        <v>1.5</v>
      </c>
      <c r="AH246" s="28"/>
      <c r="AI246" s="28"/>
      <c r="AJ246" s="28"/>
      <c r="AK246" s="28">
        <v>2.0</v>
      </c>
      <c r="AL246" s="28">
        <v>1.5</v>
      </c>
      <c r="AM246" s="28"/>
      <c r="AN246" s="32"/>
      <c r="AO246" s="32"/>
      <c r="AP246" s="32"/>
    </row>
    <row r="247">
      <c r="A247" s="33"/>
      <c r="B247" s="33"/>
      <c r="C247" s="33"/>
      <c r="D247" s="33"/>
      <c r="E247" s="25"/>
      <c r="F247" s="25"/>
      <c r="G247" s="25"/>
      <c r="H247" s="7"/>
      <c r="I247" s="41"/>
      <c r="J247" s="36"/>
      <c r="K247" s="35"/>
      <c r="L247" s="37"/>
      <c r="M247" s="36"/>
      <c r="N247" s="35"/>
      <c r="O247" s="37"/>
      <c r="P247" s="36"/>
      <c r="Q247" s="36"/>
      <c r="R247" s="38"/>
      <c r="S247" s="6"/>
      <c r="T247" s="38"/>
      <c r="U247" s="28"/>
      <c r="V247" s="6"/>
      <c r="W247" s="6"/>
      <c r="X247" s="10"/>
      <c r="Y247" s="10"/>
      <c r="Z247" s="42"/>
      <c r="AA247" s="10"/>
      <c r="AB247" s="27"/>
      <c r="AC247" s="6"/>
      <c r="AD247" s="10"/>
      <c r="AE247" s="42"/>
      <c r="AF247" s="10"/>
      <c r="AG247" s="6"/>
      <c r="AH247" s="38"/>
      <c r="AI247" s="28"/>
      <c r="AJ247" s="10"/>
      <c r="AK247" s="42"/>
      <c r="AL247" s="6"/>
      <c r="AM247" s="10"/>
      <c r="AN247" s="39"/>
      <c r="AO247" s="237"/>
      <c r="AP247" s="237"/>
    </row>
    <row r="248">
      <c r="A248" s="24" t="s">
        <v>118</v>
      </c>
      <c r="B248" s="17"/>
      <c r="C248" s="17"/>
      <c r="D248" s="18"/>
      <c r="E248" s="25">
        <v>8.0</v>
      </c>
      <c r="F248" s="25" t="s">
        <v>21</v>
      </c>
      <c r="G248" s="27"/>
      <c r="H248" s="7" t="s">
        <v>22</v>
      </c>
      <c r="I248" s="7"/>
      <c r="J248" s="26"/>
      <c r="K248" s="7">
        <v>960.0</v>
      </c>
      <c r="L248" s="26"/>
      <c r="M248" s="26"/>
      <c r="N248" s="7"/>
      <c r="O248" s="26"/>
      <c r="P248" s="7">
        <v>720.0</v>
      </c>
      <c r="Q248" s="7"/>
      <c r="R248" s="28"/>
      <c r="S248" s="27"/>
      <c r="T248" s="28"/>
      <c r="U248" s="28"/>
      <c r="V248" s="27"/>
      <c r="W248" s="27"/>
      <c r="X248" s="27"/>
      <c r="Y248" s="27"/>
      <c r="Z248" s="28"/>
      <c r="AA248" s="27"/>
      <c r="AB248" s="27"/>
      <c r="AC248" s="27"/>
      <c r="AD248" s="27"/>
      <c r="AE248" s="28"/>
      <c r="AF248" s="27"/>
      <c r="AG248" s="28"/>
      <c r="AH248" s="28"/>
      <c r="AI248" s="28"/>
      <c r="AJ248" s="27"/>
      <c r="AK248" s="28"/>
      <c r="AL248" s="27"/>
      <c r="AM248" s="27"/>
      <c r="AN248" s="29">
        <f>G248+SUM(I248:AM248)-SUM(I249:AM249)</f>
        <v>720</v>
      </c>
      <c r="AO248" s="236"/>
      <c r="AP248" s="236"/>
    </row>
    <row r="249">
      <c r="A249" s="31"/>
      <c r="B249" s="17"/>
      <c r="C249" s="17"/>
      <c r="D249" s="17"/>
      <c r="E249" s="17"/>
      <c r="F249" s="18"/>
      <c r="G249" s="27"/>
      <c r="H249" s="7" t="s">
        <v>23</v>
      </c>
      <c r="I249" s="7"/>
      <c r="J249" s="26"/>
      <c r="K249" s="7">
        <v>960.0</v>
      </c>
      <c r="L249" s="26"/>
      <c r="M249" s="26"/>
      <c r="N249" s="7"/>
      <c r="O249" s="26"/>
      <c r="P249" s="7"/>
      <c r="Q249" s="7"/>
      <c r="R249" s="28"/>
      <c r="S249" s="27"/>
      <c r="T249" s="28"/>
      <c r="U249" s="28"/>
      <c r="V249" s="27"/>
      <c r="W249" s="27"/>
      <c r="X249" s="27"/>
      <c r="Y249" s="27"/>
      <c r="Z249" s="28"/>
      <c r="AA249" s="27"/>
      <c r="AB249" s="27"/>
      <c r="AC249" s="27"/>
      <c r="AD249" s="27"/>
      <c r="AE249" s="28"/>
      <c r="AF249" s="27"/>
      <c r="AG249" s="28"/>
      <c r="AH249" s="28"/>
      <c r="AI249" s="28"/>
      <c r="AJ249" s="27"/>
      <c r="AK249" s="28"/>
      <c r="AL249" s="27"/>
      <c r="AM249" s="27"/>
      <c r="AN249" s="32"/>
      <c r="AO249" s="32"/>
      <c r="AP249" s="32"/>
    </row>
    <row r="250">
      <c r="A250" s="33"/>
      <c r="B250" s="33"/>
      <c r="C250" s="33"/>
      <c r="D250" s="33"/>
      <c r="E250" s="25"/>
      <c r="F250" s="25"/>
      <c r="G250" s="25"/>
      <c r="H250" s="7"/>
      <c r="I250" s="38"/>
      <c r="J250" s="38"/>
      <c r="K250" s="42"/>
      <c r="L250" s="35"/>
      <c r="M250" s="38"/>
      <c r="N250" s="38"/>
      <c r="O250" s="38"/>
      <c r="P250" s="38"/>
      <c r="Q250" s="38"/>
      <c r="R250" s="38"/>
      <c r="S250" s="38"/>
      <c r="T250" s="38"/>
      <c r="U250" s="28"/>
      <c r="V250" s="38"/>
      <c r="W250" s="38"/>
      <c r="X250" s="38"/>
      <c r="Y250" s="38"/>
      <c r="Z250" s="38"/>
      <c r="AA250" s="38"/>
      <c r="AB250" s="28"/>
      <c r="AC250" s="38"/>
      <c r="AD250" s="38"/>
      <c r="AE250" s="38"/>
      <c r="AF250" s="38"/>
      <c r="AG250" s="38"/>
      <c r="AH250" s="38"/>
      <c r="AI250" s="28"/>
      <c r="AJ250" s="10"/>
      <c r="AK250" s="38"/>
      <c r="AL250" s="10"/>
      <c r="AM250" s="10"/>
      <c r="AN250" s="39"/>
      <c r="AO250" s="237"/>
      <c r="AP250" s="237"/>
    </row>
    <row r="251">
      <c r="A251" s="24" t="s">
        <v>119</v>
      </c>
      <c r="B251" s="17"/>
      <c r="C251" s="17"/>
      <c r="D251" s="18"/>
      <c r="E251" s="25">
        <v>1.0</v>
      </c>
      <c r="F251" s="25" t="s">
        <v>21</v>
      </c>
      <c r="G251" s="27"/>
      <c r="H251" s="7" t="s">
        <v>22</v>
      </c>
      <c r="I251" s="28"/>
      <c r="J251" s="28">
        <v>15.0</v>
      </c>
      <c r="K251" s="28"/>
      <c r="L251" s="7">
        <v>15.0</v>
      </c>
      <c r="M251" s="28">
        <v>15.0</v>
      </c>
      <c r="N251" s="28"/>
      <c r="O251" s="28"/>
      <c r="P251" s="28">
        <v>15.0</v>
      </c>
      <c r="Q251" s="28"/>
      <c r="R251" s="28"/>
      <c r="S251" s="28">
        <v>15.0</v>
      </c>
      <c r="T251" s="28"/>
      <c r="U251" s="28"/>
      <c r="V251" s="28"/>
      <c r="W251" s="28">
        <v>15.0</v>
      </c>
      <c r="X251" s="28"/>
      <c r="Y251" s="28"/>
      <c r="Z251" s="28"/>
      <c r="AA251" s="28"/>
      <c r="AB251" s="28"/>
      <c r="AC251" s="28">
        <v>15.0</v>
      </c>
      <c r="AD251" s="28"/>
      <c r="AE251" s="28">
        <v>15.0</v>
      </c>
      <c r="AF251" s="28"/>
      <c r="AG251" s="28"/>
      <c r="AH251" s="28">
        <v>15.0</v>
      </c>
      <c r="AI251" s="28"/>
      <c r="AJ251" s="27"/>
      <c r="AK251" s="28">
        <v>15.0</v>
      </c>
      <c r="AL251" s="27"/>
      <c r="AM251" s="28"/>
      <c r="AN251" s="29">
        <f>G251+SUM(I251:AM251)-SUM(I252:AM252)</f>
        <v>0</v>
      </c>
      <c r="AO251" s="236"/>
      <c r="AP251" s="236"/>
    </row>
    <row r="252">
      <c r="A252" s="31"/>
      <c r="B252" s="17"/>
      <c r="C252" s="17"/>
      <c r="D252" s="17"/>
      <c r="E252" s="17"/>
      <c r="F252" s="18"/>
      <c r="G252" s="27"/>
      <c r="H252" s="7" t="s">
        <v>23</v>
      </c>
      <c r="I252" s="28"/>
      <c r="J252" s="28">
        <v>15.0</v>
      </c>
      <c r="K252" s="28"/>
      <c r="L252" s="7">
        <v>15.0</v>
      </c>
      <c r="M252" s="28">
        <v>15.0</v>
      </c>
      <c r="N252" s="28"/>
      <c r="O252" s="28"/>
      <c r="P252" s="28">
        <v>15.0</v>
      </c>
      <c r="Q252" s="28"/>
      <c r="R252" s="28"/>
      <c r="S252" s="28">
        <v>15.0</v>
      </c>
      <c r="T252" s="28"/>
      <c r="U252" s="28"/>
      <c r="V252" s="28"/>
      <c r="W252" s="28">
        <v>15.0</v>
      </c>
      <c r="X252" s="28"/>
      <c r="Y252" s="28"/>
      <c r="Z252" s="28"/>
      <c r="AA252" s="28"/>
      <c r="AB252" s="28"/>
      <c r="AC252" s="28">
        <v>15.0</v>
      </c>
      <c r="AD252" s="28"/>
      <c r="AE252" s="28">
        <v>15.0</v>
      </c>
      <c r="AF252" s="28"/>
      <c r="AG252" s="28"/>
      <c r="AH252" s="28">
        <v>15.0</v>
      </c>
      <c r="AI252" s="28"/>
      <c r="AJ252" s="27"/>
      <c r="AK252" s="28">
        <v>15.0</v>
      </c>
      <c r="AL252" s="27"/>
      <c r="AM252" s="28"/>
      <c r="AN252" s="32"/>
      <c r="AO252" s="32"/>
      <c r="AP252" s="32"/>
    </row>
    <row r="253">
      <c r="A253" s="33"/>
      <c r="B253" s="33"/>
      <c r="C253" s="33"/>
      <c r="D253" s="33"/>
      <c r="E253" s="25"/>
      <c r="F253" s="25"/>
      <c r="G253" s="25"/>
      <c r="H253" s="7"/>
      <c r="I253" s="38"/>
      <c r="J253" s="42"/>
      <c r="K253" s="38"/>
      <c r="L253" s="41"/>
      <c r="M253" s="42"/>
      <c r="N253" s="38"/>
      <c r="O253" s="38"/>
      <c r="P253" s="42"/>
      <c r="Q253" s="38"/>
      <c r="R253" s="38"/>
      <c r="S253" s="42"/>
      <c r="T253" s="38"/>
      <c r="U253" s="28"/>
      <c r="V253" s="38"/>
      <c r="W253" s="42"/>
      <c r="X253" s="258"/>
      <c r="Y253" s="38"/>
      <c r="Z253" s="38"/>
      <c r="AA253" s="38"/>
      <c r="AB253" s="28"/>
      <c r="AC253" s="42"/>
      <c r="AD253" s="38"/>
      <c r="AE253" s="42"/>
      <c r="AF253" s="38"/>
      <c r="AG253" s="38"/>
      <c r="AH253" s="42"/>
      <c r="AI253" s="28"/>
      <c r="AJ253" s="10"/>
      <c r="AK253" s="42"/>
      <c r="AL253" s="10"/>
      <c r="AM253" s="10"/>
      <c r="AN253" s="39"/>
      <c r="AO253" s="237"/>
      <c r="AP253" s="237"/>
    </row>
    <row r="254">
      <c r="A254" s="24" t="s">
        <v>120</v>
      </c>
      <c r="B254" s="17"/>
      <c r="C254" s="17"/>
      <c r="D254" s="18"/>
      <c r="E254" s="25">
        <v>1.0</v>
      </c>
      <c r="F254" s="25" t="s">
        <v>21</v>
      </c>
      <c r="G254" s="27"/>
      <c r="H254" s="7" t="s">
        <v>22</v>
      </c>
      <c r="I254" s="28">
        <v>30.0</v>
      </c>
      <c r="J254" s="28">
        <v>30.0</v>
      </c>
      <c r="K254" s="28">
        <v>30.0</v>
      </c>
      <c r="L254" s="7">
        <v>30.0</v>
      </c>
      <c r="M254" s="28">
        <v>30.0</v>
      </c>
      <c r="N254" s="28"/>
      <c r="O254" s="28">
        <f t="shared" ref="O254:O255" si="18">30+30</f>
        <v>60</v>
      </c>
      <c r="P254" s="28">
        <v>30.0</v>
      </c>
      <c r="Q254" s="28">
        <v>30.0</v>
      </c>
      <c r="R254" s="28">
        <f t="shared" ref="R254:R255" si="19">30+15</f>
        <v>45</v>
      </c>
      <c r="S254" s="28">
        <v>45.0</v>
      </c>
      <c r="T254" s="28">
        <v>45.0</v>
      </c>
      <c r="U254" s="97"/>
      <c r="V254" s="28">
        <f t="shared" ref="V254:V255" si="20">15+30</f>
        <v>45</v>
      </c>
      <c r="W254" s="28">
        <v>30.0</v>
      </c>
      <c r="X254" s="28">
        <f t="shared" ref="X254:X255" si="21">30+30</f>
        <v>60</v>
      </c>
      <c r="Y254" s="28">
        <v>30.0</v>
      </c>
      <c r="Z254" s="28">
        <v>30.0</v>
      </c>
      <c r="AA254" s="28">
        <v>30.0</v>
      </c>
      <c r="AB254" s="28"/>
      <c r="AC254" s="28">
        <v>30.0</v>
      </c>
      <c r="AD254" s="28">
        <v>30.0</v>
      </c>
      <c r="AE254" s="28">
        <v>30.0</v>
      </c>
      <c r="AF254" s="28"/>
      <c r="AG254" s="28">
        <v>30.0</v>
      </c>
      <c r="AH254" s="28">
        <v>30.0</v>
      </c>
      <c r="AI254" s="28"/>
      <c r="AJ254" s="28">
        <f t="shared" ref="AJ254:AJ255" si="22">15+30</f>
        <v>45</v>
      </c>
      <c r="AK254" s="28">
        <v>30.0</v>
      </c>
      <c r="AL254" s="28">
        <v>30.0</v>
      </c>
      <c r="AM254" s="28">
        <v>30.0</v>
      </c>
      <c r="AN254" s="29">
        <f>G254+SUM(I254:AL254)-SUM(I255:AL255)</f>
        <v>0</v>
      </c>
      <c r="AO254" s="236"/>
      <c r="AP254" s="236"/>
    </row>
    <row r="255">
      <c r="A255" s="31"/>
      <c r="B255" s="17"/>
      <c r="C255" s="17"/>
      <c r="D255" s="17"/>
      <c r="E255" s="17"/>
      <c r="F255" s="18"/>
      <c r="G255" s="27"/>
      <c r="H255" s="7" t="s">
        <v>23</v>
      </c>
      <c r="I255" s="28">
        <v>30.0</v>
      </c>
      <c r="J255" s="28">
        <v>30.0</v>
      </c>
      <c r="K255" s="28">
        <v>30.0</v>
      </c>
      <c r="L255" s="7">
        <v>30.0</v>
      </c>
      <c r="M255" s="28">
        <v>30.0</v>
      </c>
      <c r="N255" s="28"/>
      <c r="O255" s="28">
        <f t="shared" si="18"/>
        <v>60</v>
      </c>
      <c r="P255" s="28">
        <v>30.0</v>
      </c>
      <c r="Q255" s="28">
        <v>30.0</v>
      </c>
      <c r="R255" s="28">
        <f t="shared" si="19"/>
        <v>45</v>
      </c>
      <c r="S255" s="28">
        <v>45.0</v>
      </c>
      <c r="T255" s="28">
        <v>45.0</v>
      </c>
      <c r="U255" s="97"/>
      <c r="V255" s="28">
        <f t="shared" si="20"/>
        <v>45</v>
      </c>
      <c r="W255" s="28">
        <v>30.0</v>
      </c>
      <c r="X255" s="28">
        <f t="shared" si="21"/>
        <v>60</v>
      </c>
      <c r="Y255" s="28">
        <v>30.0</v>
      </c>
      <c r="Z255" s="28">
        <v>30.0</v>
      </c>
      <c r="AA255" s="28">
        <v>30.0</v>
      </c>
      <c r="AB255" s="28"/>
      <c r="AC255" s="28">
        <v>30.0</v>
      </c>
      <c r="AD255" s="28">
        <v>30.0</v>
      </c>
      <c r="AE255" s="28">
        <v>30.0</v>
      </c>
      <c r="AF255" s="28"/>
      <c r="AG255" s="28">
        <v>30.0</v>
      </c>
      <c r="AH255" s="28">
        <v>30.0</v>
      </c>
      <c r="AI255" s="28"/>
      <c r="AJ255" s="28">
        <f t="shared" si="22"/>
        <v>45</v>
      </c>
      <c r="AK255" s="28">
        <v>30.0</v>
      </c>
      <c r="AL255" s="28">
        <v>30.0</v>
      </c>
      <c r="AM255" s="28">
        <v>30.0</v>
      </c>
      <c r="AN255" s="32"/>
      <c r="AO255" s="32"/>
      <c r="AP255" s="32"/>
    </row>
    <row r="256">
      <c r="A256" s="33"/>
      <c r="B256" s="33"/>
      <c r="C256" s="33"/>
      <c r="D256" s="33"/>
      <c r="E256" s="25"/>
      <c r="F256" s="25"/>
      <c r="G256" s="25"/>
      <c r="H256" s="7"/>
      <c r="I256" s="41"/>
      <c r="J256" s="41"/>
      <c r="K256" s="41"/>
      <c r="L256" s="41"/>
      <c r="M256" s="41"/>
      <c r="N256" s="35"/>
      <c r="O256" s="41"/>
      <c r="P256" s="41"/>
      <c r="Q256" s="41"/>
      <c r="R256" s="41"/>
      <c r="S256" s="41"/>
      <c r="T256" s="41"/>
      <c r="U256" s="7"/>
      <c r="V256" s="41"/>
      <c r="W256" s="41"/>
      <c r="X256" s="41"/>
      <c r="Y256" s="41"/>
      <c r="Z256" s="41"/>
      <c r="AA256" s="41"/>
      <c r="AB256" s="7"/>
      <c r="AC256" s="41"/>
      <c r="AD256" s="41"/>
      <c r="AE256" s="41"/>
      <c r="AF256" s="35"/>
      <c r="AG256" s="41"/>
      <c r="AH256" s="42"/>
      <c r="AI256" s="28"/>
      <c r="AJ256" s="6"/>
      <c r="AK256" s="42"/>
      <c r="AL256" s="259"/>
      <c r="AM256" s="6"/>
      <c r="AN256" s="39"/>
      <c r="AO256" s="237"/>
      <c r="AP256" s="237"/>
    </row>
    <row r="257" hidden="1">
      <c r="A257" s="260" t="s">
        <v>178</v>
      </c>
      <c r="B257" s="261"/>
      <c r="C257" s="261"/>
      <c r="D257" s="261"/>
      <c r="E257" s="85"/>
      <c r="F257" s="86" t="s">
        <v>21</v>
      </c>
      <c r="G257" s="87"/>
      <c r="H257" s="88" t="s">
        <v>22</v>
      </c>
      <c r="I257" s="85"/>
      <c r="J257" s="85"/>
      <c r="K257" s="88"/>
      <c r="L257" s="247"/>
      <c r="M257" s="85"/>
      <c r="N257" s="88"/>
      <c r="O257" s="88"/>
      <c r="P257" s="88"/>
      <c r="Q257" s="85"/>
      <c r="R257" s="89"/>
      <c r="S257" s="89"/>
      <c r="T257" s="85"/>
      <c r="U257" s="89"/>
      <c r="V257" s="89"/>
      <c r="W257" s="89"/>
      <c r="X257" s="85"/>
      <c r="Y257" s="85"/>
      <c r="Z257" s="89"/>
      <c r="AA257" s="85"/>
      <c r="AB257" s="85"/>
      <c r="AC257" s="85"/>
      <c r="AD257" s="89"/>
      <c r="AE257" s="85"/>
      <c r="AF257" s="90"/>
      <c r="AG257" s="90"/>
      <c r="AH257" s="90"/>
      <c r="AI257" s="90"/>
      <c r="AJ257" s="90"/>
      <c r="AK257" s="89"/>
      <c r="AL257" s="85"/>
      <c r="AM257" s="85"/>
      <c r="AN257" s="91">
        <f>G257+SUM(I257:AL257)-SUM(I258:AL258)</f>
        <v>0</v>
      </c>
      <c r="AO257" s="91"/>
      <c r="AP257" s="237"/>
    </row>
    <row r="258" hidden="1">
      <c r="A258" s="92"/>
      <c r="B258" s="17"/>
      <c r="C258" s="17"/>
      <c r="D258" s="17"/>
      <c r="E258" s="17"/>
      <c r="F258" s="18"/>
      <c r="G258" s="87"/>
      <c r="H258" s="88" t="s">
        <v>23</v>
      </c>
      <c r="I258" s="85"/>
      <c r="J258" s="85"/>
      <c r="K258" s="88"/>
      <c r="L258" s="247"/>
      <c r="M258" s="85"/>
      <c r="N258" s="88"/>
      <c r="O258" s="88"/>
      <c r="P258" s="88"/>
      <c r="Q258" s="85"/>
      <c r="R258" s="89"/>
      <c r="S258" s="89"/>
      <c r="T258" s="85"/>
      <c r="U258" s="89"/>
      <c r="V258" s="89"/>
      <c r="W258" s="89"/>
      <c r="X258" s="85"/>
      <c r="Y258" s="85"/>
      <c r="Z258" s="89"/>
      <c r="AA258" s="85"/>
      <c r="AB258" s="85"/>
      <c r="AC258" s="85"/>
      <c r="AD258" s="89"/>
      <c r="AE258" s="85"/>
      <c r="AF258" s="90"/>
      <c r="AG258" s="90"/>
      <c r="AH258" s="90"/>
      <c r="AI258" s="90"/>
      <c r="AJ258" s="90"/>
      <c r="AK258" s="89"/>
      <c r="AL258" s="85"/>
      <c r="AM258" s="85"/>
      <c r="AN258" s="32"/>
      <c r="AO258" s="32"/>
      <c r="AP258" s="237"/>
    </row>
    <row r="259" hidden="1">
      <c r="A259" s="87"/>
      <c r="B259" s="87"/>
      <c r="C259" s="87"/>
      <c r="D259" s="87"/>
      <c r="E259" s="85"/>
      <c r="F259" s="87"/>
      <c r="G259" s="87"/>
      <c r="H259" s="87"/>
      <c r="I259" s="85"/>
      <c r="J259" s="85"/>
      <c r="K259" s="87"/>
      <c r="L259" s="247"/>
      <c r="M259" s="85"/>
      <c r="N259" s="87"/>
      <c r="O259" s="87"/>
      <c r="P259" s="87"/>
      <c r="Q259" s="85"/>
      <c r="R259" s="87"/>
      <c r="S259" s="87"/>
      <c r="T259" s="85"/>
      <c r="U259" s="87"/>
      <c r="V259" s="87"/>
      <c r="W259" s="87"/>
      <c r="X259" s="85"/>
      <c r="Y259" s="85"/>
      <c r="Z259" s="87"/>
      <c r="AA259" s="85"/>
      <c r="AB259" s="85"/>
      <c r="AC259" s="85"/>
      <c r="AD259" s="87"/>
      <c r="AE259" s="85"/>
      <c r="AF259" s="85"/>
      <c r="AG259" s="85"/>
      <c r="AH259" s="85"/>
      <c r="AI259" s="85"/>
      <c r="AJ259" s="85"/>
      <c r="AK259" s="87"/>
      <c r="AL259" s="85"/>
      <c r="AM259" s="85"/>
      <c r="AN259" s="85"/>
      <c r="AO259" s="87"/>
      <c r="AP259" s="237"/>
    </row>
    <row r="260" hidden="1">
      <c r="A260" s="260" t="s">
        <v>122</v>
      </c>
      <c r="B260" s="261"/>
      <c r="C260" s="261"/>
      <c r="D260" s="261"/>
      <c r="E260" s="85"/>
      <c r="F260" s="86" t="s">
        <v>21</v>
      </c>
      <c r="G260" s="87"/>
      <c r="H260" s="88" t="s">
        <v>22</v>
      </c>
      <c r="I260" s="85"/>
      <c r="J260" s="85"/>
      <c r="K260" s="88"/>
      <c r="L260" s="247"/>
      <c r="M260" s="85"/>
      <c r="N260" s="88"/>
      <c r="O260" s="88"/>
      <c r="P260" s="88"/>
      <c r="Q260" s="85"/>
      <c r="R260" s="89"/>
      <c r="S260" s="89"/>
      <c r="T260" s="85"/>
      <c r="U260" s="89"/>
      <c r="V260" s="89"/>
      <c r="W260" s="89"/>
      <c r="X260" s="85"/>
      <c r="Y260" s="85"/>
      <c r="Z260" s="89"/>
      <c r="AA260" s="85"/>
      <c r="AB260" s="85"/>
      <c r="AC260" s="85"/>
      <c r="AD260" s="89"/>
      <c r="AE260" s="85"/>
      <c r="AF260" s="90"/>
      <c r="AG260" s="90"/>
      <c r="AH260" s="90"/>
      <c r="AI260" s="90"/>
      <c r="AJ260" s="90"/>
      <c r="AK260" s="89"/>
      <c r="AL260" s="85"/>
      <c r="AM260" s="85"/>
      <c r="AN260" s="91">
        <f>G260+SUM(I260:AL260)-SUM(I261:AL261)</f>
        <v>0</v>
      </c>
      <c r="AO260" s="91"/>
      <c r="AP260" s="237"/>
    </row>
    <row r="261" hidden="1">
      <c r="A261" s="92"/>
      <c r="B261" s="17"/>
      <c r="C261" s="17"/>
      <c r="D261" s="17"/>
      <c r="E261" s="17"/>
      <c r="F261" s="18"/>
      <c r="G261" s="87"/>
      <c r="H261" s="88" t="s">
        <v>23</v>
      </c>
      <c r="I261" s="85"/>
      <c r="J261" s="85"/>
      <c r="K261" s="88"/>
      <c r="L261" s="247"/>
      <c r="M261" s="85"/>
      <c r="N261" s="88"/>
      <c r="O261" s="88"/>
      <c r="P261" s="88"/>
      <c r="Q261" s="85"/>
      <c r="R261" s="89"/>
      <c r="S261" s="89"/>
      <c r="T261" s="85"/>
      <c r="U261" s="89"/>
      <c r="V261" s="89"/>
      <c r="W261" s="89"/>
      <c r="X261" s="85"/>
      <c r="Y261" s="85"/>
      <c r="Z261" s="89"/>
      <c r="AA261" s="85"/>
      <c r="AB261" s="85"/>
      <c r="AC261" s="85"/>
      <c r="AD261" s="89"/>
      <c r="AE261" s="85"/>
      <c r="AF261" s="90"/>
      <c r="AG261" s="90"/>
      <c r="AH261" s="90"/>
      <c r="AI261" s="90"/>
      <c r="AJ261" s="90"/>
      <c r="AK261" s="89"/>
      <c r="AL261" s="85"/>
      <c r="AM261" s="85"/>
      <c r="AN261" s="32"/>
      <c r="AO261" s="32"/>
      <c r="AP261" s="237"/>
    </row>
    <row r="262" hidden="1">
      <c r="A262" s="87"/>
      <c r="B262" s="87"/>
      <c r="C262" s="87"/>
      <c r="D262" s="87"/>
      <c r="E262" s="85"/>
      <c r="F262" s="87"/>
      <c r="G262" s="87"/>
      <c r="H262" s="87"/>
      <c r="I262" s="85"/>
      <c r="J262" s="85"/>
      <c r="K262" s="87"/>
      <c r="L262" s="247"/>
      <c r="M262" s="85"/>
      <c r="N262" s="87"/>
      <c r="O262" s="87"/>
      <c r="P262" s="87"/>
      <c r="Q262" s="85"/>
      <c r="R262" s="87"/>
      <c r="S262" s="87"/>
      <c r="T262" s="85"/>
      <c r="U262" s="87"/>
      <c r="V262" s="87"/>
      <c r="W262" s="87"/>
      <c r="X262" s="85"/>
      <c r="Y262" s="85"/>
      <c r="Z262" s="87"/>
      <c r="AA262" s="85"/>
      <c r="AB262" s="85"/>
      <c r="AC262" s="85"/>
      <c r="AD262" s="87"/>
      <c r="AE262" s="85"/>
      <c r="AF262" s="85"/>
      <c r="AG262" s="85"/>
      <c r="AH262" s="85"/>
      <c r="AI262" s="85"/>
      <c r="AJ262" s="85"/>
      <c r="AK262" s="87"/>
      <c r="AL262" s="85"/>
      <c r="AM262" s="85"/>
      <c r="AN262" s="85"/>
      <c r="AO262" s="87"/>
      <c r="AP262" s="237"/>
    </row>
    <row r="263" hidden="1">
      <c r="A263" s="262" t="s">
        <v>123</v>
      </c>
      <c r="B263" s="87"/>
      <c r="C263" s="87"/>
      <c r="D263" s="87"/>
      <c r="E263" s="85"/>
      <c r="F263" s="86" t="s">
        <v>21</v>
      </c>
      <c r="G263" s="87"/>
      <c r="H263" s="88" t="s">
        <v>22</v>
      </c>
      <c r="I263" s="85"/>
      <c r="J263" s="85"/>
      <c r="K263" s="87"/>
      <c r="L263" s="247"/>
      <c r="M263" s="85"/>
      <c r="N263" s="87"/>
      <c r="O263" s="87"/>
      <c r="P263" s="87"/>
      <c r="Q263" s="85"/>
      <c r="R263" s="87"/>
      <c r="S263" s="87"/>
      <c r="T263" s="85"/>
      <c r="U263" s="87"/>
      <c r="V263" s="87"/>
      <c r="W263" s="87"/>
      <c r="X263" s="85"/>
      <c r="Y263" s="85"/>
      <c r="Z263" s="87"/>
      <c r="AA263" s="85"/>
      <c r="AB263" s="85"/>
      <c r="AC263" s="85"/>
      <c r="AD263" s="87"/>
      <c r="AE263" s="85"/>
      <c r="AF263" s="85"/>
      <c r="AG263" s="85"/>
      <c r="AH263" s="85"/>
      <c r="AI263" s="85"/>
      <c r="AJ263" s="85"/>
      <c r="AK263" s="87"/>
      <c r="AL263" s="85"/>
      <c r="AM263" s="85"/>
      <c r="AN263" s="91">
        <f>G263+SUM(I263:AL263)-SUM(I264:AL264)</f>
        <v>0</v>
      </c>
      <c r="AO263" s="91"/>
      <c r="AP263" s="237"/>
    </row>
    <row r="264" hidden="1">
      <c r="A264" s="96"/>
      <c r="B264" s="17"/>
      <c r="C264" s="17"/>
      <c r="D264" s="17"/>
      <c r="E264" s="17"/>
      <c r="F264" s="18"/>
      <c r="G264" s="87"/>
      <c r="H264" s="88" t="s">
        <v>23</v>
      </c>
      <c r="I264" s="85"/>
      <c r="J264" s="85"/>
      <c r="K264" s="87"/>
      <c r="L264" s="247"/>
      <c r="M264" s="85"/>
      <c r="N264" s="87"/>
      <c r="O264" s="87"/>
      <c r="P264" s="87"/>
      <c r="Q264" s="85"/>
      <c r="R264" s="87"/>
      <c r="S264" s="87"/>
      <c r="T264" s="85"/>
      <c r="U264" s="87"/>
      <c r="V264" s="87"/>
      <c r="W264" s="87"/>
      <c r="X264" s="85"/>
      <c r="Y264" s="85"/>
      <c r="Z264" s="87"/>
      <c r="AA264" s="85"/>
      <c r="AB264" s="85"/>
      <c r="AC264" s="85"/>
      <c r="AD264" s="87"/>
      <c r="AE264" s="85"/>
      <c r="AF264" s="85"/>
      <c r="AG264" s="85"/>
      <c r="AH264" s="85"/>
      <c r="AI264" s="85"/>
      <c r="AJ264" s="85"/>
      <c r="AK264" s="87"/>
      <c r="AL264" s="85"/>
      <c r="AM264" s="85"/>
      <c r="AN264" s="32"/>
      <c r="AO264" s="32"/>
      <c r="AP264" s="237"/>
    </row>
    <row r="265" hidden="1">
      <c r="A265" s="87"/>
      <c r="B265" s="87"/>
      <c r="C265" s="87"/>
      <c r="D265" s="87"/>
      <c r="E265" s="85"/>
      <c r="F265" s="87"/>
      <c r="G265" s="87"/>
      <c r="H265" s="87"/>
      <c r="I265" s="85"/>
      <c r="J265" s="85"/>
      <c r="K265" s="87"/>
      <c r="L265" s="247"/>
      <c r="M265" s="85"/>
      <c r="N265" s="87"/>
      <c r="O265" s="87"/>
      <c r="P265" s="87"/>
      <c r="Q265" s="85"/>
      <c r="R265" s="87"/>
      <c r="S265" s="87"/>
      <c r="T265" s="85"/>
      <c r="U265" s="87"/>
      <c r="V265" s="87"/>
      <c r="W265" s="87"/>
      <c r="X265" s="85"/>
      <c r="Y265" s="85"/>
      <c r="Z265" s="87"/>
      <c r="AA265" s="85"/>
      <c r="AB265" s="85"/>
      <c r="AC265" s="85"/>
      <c r="AD265" s="87"/>
      <c r="AE265" s="85"/>
      <c r="AF265" s="85"/>
      <c r="AG265" s="85"/>
      <c r="AH265" s="85"/>
      <c r="AI265" s="85"/>
      <c r="AJ265" s="85"/>
      <c r="AK265" s="87"/>
      <c r="AL265" s="85"/>
      <c r="AM265" s="85"/>
      <c r="AN265" s="85"/>
      <c r="AO265" s="87"/>
      <c r="AP265" s="237"/>
    </row>
    <row r="266">
      <c r="A266" s="24" t="s">
        <v>124</v>
      </c>
      <c r="B266" s="17"/>
      <c r="C266" s="17"/>
      <c r="D266" s="18"/>
      <c r="E266" s="57"/>
      <c r="F266" s="25"/>
      <c r="G266" s="28">
        <v>6.0</v>
      </c>
      <c r="H266" s="7" t="s">
        <v>22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>
        <v>8.0</v>
      </c>
      <c r="U266" s="7"/>
      <c r="V266" s="7"/>
      <c r="W266" s="7"/>
      <c r="X266" s="7"/>
      <c r="Y266" s="7"/>
      <c r="Z266" s="7"/>
      <c r="AA266" s="7"/>
      <c r="AB266" s="7"/>
      <c r="AC266" s="7"/>
      <c r="AD266" s="7">
        <v>8.0</v>
      </c>
      <c r="AE266" s="7"/>
      <c r="AF266" s="7"/>
      <c r="AG266" s="7"/>
      <c r="AH266" s="28"/>
      <c r="AI266" s="28"/>
      <c r="AJ266" s="27"/>
      <c r="AK266" s="28"/>
      <c r="AL266" s="27"/>
      <c r="AM266" s="27"/>
      <c r="AN266" s="29">
        <f>G266+SUM(I266:AM266)-SUM(I267:AM267)</f>
        <v>2</v>
      </c>
      <c r="AO266" s="236"/>
      <c r="AP266" s="236"/>
    </row>
    <row r="267">
      <c r="A267" s="31"/>
      <c r="B267" s="17"/>
      <c r="C267" s="17"/>
      <c r="D267" s="17"/>
      <c r="E267" s="17"/>
      <c r="F267" s="18"/>
      <c r="G267" s="27"/>
      <c r="H267" s="7" t="s">
        <v>23</v>
      </c>
      <c r="I267" s="7">
        <v>1.0</v>
      </c>
      <c r="J267" s="7"/>
      <c r="K267" s="7"/>
      <c r="L267" s="7">
        <f>1+1</f>
        <v>2</v>
      </c>
      <c r="M267" s="7"/>
      <c r="N267" s="7"/>
      <c r="O267" s="7"/>
      <c r="P267" s="7"/>
      <c r="Q267" s="7">
        <f>1+1</f>
        <v>2</v>
      </c>
      <c r="R267" s="7"/>
      <c r="S267" s="7">
        <v>1.0</v>
      </c>
      <c r="T267" s="7">
        <v>1.0</v>
      </c>
      <c r="U267" s="7"/>
      <c r="V267" s="7">
        <f>1+1</f>
        <v>2</v>
      </c>
      <c r="W267" s="7"/>
      <c r="X267" s="7"/>
      <c r="Y267" s="7">
        <v>1.0</v>
      </c>
      <c r="Z267" s="7">
        <f>1+1</f>
        <v>2</v>
      </c>
      <c r="AA267" s="7">
        <v>1.0</v>
      </c>
      <c r="AB267" s="7"/>
      <c r="AC267" s="7"/>
      <c r="AD267" s="7"/>
      <c r="AE267" s="7">
        <f>1+1</f>
        <v>2</v>
      </c>
      <c r="AF267" s="7"/>
      <c r="AG267" s="7">
        <f>1</f>
        <v>1</v>
      </c>
      <c r="AH267" s="28"/>
      <c r="AI267" s="28"/>
      <c r="AJ267" s="28">
        <v>1.0</v>
      </c>
      <c r="AK267" s="28">
        <v>1.0</v>
      </c>
      <c r="AL267" s="28">
        <f>1+1</f>
        <v>2</v>
      </c>
      <c r="AM267" s="28"/>
      <c r="AN267" s="32"/>
      <c r="AO267" s="32"/>
      <c r="AP267" s="32"/>
    </row>
    <row r="268">
      <c r="A268" s="33"/>
      <c r="B268" s="33"/>
      <c r="C268" s="33"/>
      <c r="D268" s="33"/>
      <c r="E268" s="25"/>
      <c r="F268" s="25"/>
      <c r="G268" s="25"/>
      <c r="H268" s="25"/>
      <c r="I268" s="263"/>
      <c r="J268" s="35"/>
      <c r="K268" s="35"/>
      <c r="L268" s="263"/>
      <c r="M268" s="35"/>
      <c r="N268" s="35"/>
      <c r="O268" s="35"/>
      <c r="P268" s="35"/>
      <c r="Q268" s="263"/>
      <c r="R268" s="35"/>
      <c r="S268" s="263"/>
      <c r="T268" s="263"/>
      <c r="U268" s="7"/>
      <c r="V268" s="263"/>
      <c r="W268" s="35"/>
      <c r="X268" s="264"/>
      <c r="Y268" s="263"/>
      <c r="Z268" s="263"/>
      <c r="AA268" s="263"/>
      <c r="AB268" s="7"/>
      <c r="AC268" s="35"/>
      <c r="AD268" s="35"/>
      <c r="AE268" s="263"/>
      <c r="AF268" s="35"/>
      <c r="AG268" s="263"/>
      <c r="AH268" s="38"/>
      <c r="AI268" s="28"/>
      <c r="AJ268" s="101"/>
      <c r="AK268" s="265"/>
      <c r="AL268" s="101"/>
      <c r="AM268" s="10"/>
      <c r="AN268" s="39"/>
      <c r="AO268" s="237"/>
      <c r="AP268" s="237"/>
    </row>
    <row r="269">
      <c r="A269" s="24" t="s">
        <v>126</v>
      </c>
      <c r="B269" s="17"/>
      <c r="C269" s="17"/>
      <c r="D269" s="18"/>
      <c r="E269" s="57"/>
      <c r="F269" s="25"/>
      <c r="G269" s="28">
        <f>2+2</f>
        <v>4</v>
      </c>
      <c r="H269" s="7" t="s">
        <v>22</v>
      </c>
      <c r="I269" s="7"/>
      <c r="J269" s="7">
        <v>10.0</v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>
        <v>9.0</v>
      </c>
      <c r="AB269" s="7"/>
      <c r="AC269" s="7"/>
      <c r="AD269" s="7"/>
      <c r="AE269" s="7"/>
      <c r="AF269" s="7"/>
      <c r="AG269" s="7"/>
      <c r="AH269" s="28"/>
      <c r="AI269" s="28"/>
      <c r="AJ269" s="27"/>
      <c r="AK269" s="28"/>
      <c r="AL269" s="27"/>
      <c r="AM269" s="27"/>
      <c r="AN269" s="29">
        <f>G269+SUM(I269:AM269)-SUM(I270:AM270)</f>
        <v>3</v>
      </c>
      <c r="AO269" s="236"/>
      <c r="AP269" s="236"/>
    </row>
    <row r="270">
      <c r="A270" s="24"/>
      <c r="B270" s="17"/>
      <c r="C270" s="17"/>
      <c r="D270" s="17"/>
      <c r="E270" s="17"/>
      <c r="F270" s="18"/>
      <c r="G270" s="27"/>
      <c r="H270" s="7" t="s">
        <v>23</v>
      </c>
      <c r="I270" s="7">
        <v>2.0</v>
      </c>
      <c r="J270" s="7"/>
      <c r="K270" s="7">
        <v>1.0</v>
      </c>
      <c r="L270" s="7">
        <v>1.0</v>
      </c>
      <c r="M270" s="7">
        <v>2.0</v>
      </c>
      <c r="N270" s="7"/>
      <c r="O270" s="7">
        <v>1.0</v>
      </c>
      <c r="P270" s="7"/>
      <c r="Q270" s="7"/>
      <c r="R270" s="28"/>
      <c r="S270" s="28">
        <v>1.0</v>
      </c>
      <c r="T270" s="28"/>
      <c r="U270" s="28"/>
      <c r="V270" s="28">
        <v>1.0</v>
      </c>
      <c r="W270" s="28">
        <v>1.0</v>
      </c>
      <c r="X270" s="28">
        <v>2.0</v>
      </c>
      <c r="Y270" s="28"/>
      <c r="Z270" s="28"/>
      <c r="AA270" s="28">
        <v>2.0</v>
      </c>
      <c r="AB270" s="28"/>
      <c r="AC270" s="28"/>
      <c r="AD270" s="28">
        <v>1.0</v>
      </c>
      <c r="AE270" s="28"/>
      <c r="AF270" s="28"/>
      <c r="AG270" s="28">
        <v>2.0</v>
      </c>
      <c r="AH270" s="28"/>
      <c r="AI270" s="28"/>
      <c r="AJ270" s="28">
        <v>1.0</v>
      </c>
      <c r="AK270" s="28">
        <v>2.0</v>
      </c>
      <c r="AL270" s="28"/>
      <c r="AM270" s="28"/>
      <c r="AN270" s="32"/>
      <c r="AO270" s="32"/>
      <c r="AP270" s="32"/>
    </row>
    <row r="271">
      <c r="A271" s="97"/>
      <c r="B271" s="97"/>
      <c r="C271" s="97"/>
      <c r="D271" s="97"/>
      <c r="E271" s="97"/>
      <c r="F271" s="97"/>
      <c r="G271" s="97"/>
      <c r="H271" s="97"/>
      <c r="I271" s="209"/>
      <c r="J271" s="98"/>
      <c r="K271" s="209"/>
      <c r="L271" s="266"/>
      <c r="M271" s="209"/>
      <c r="N271" s="98"/>
      <c r="O271" s="209"/>
      <c r="P271" s="98"/>
      <c r="Q271" s="98"/>
      <c r="R271" s="98"/>
      <c r="S271" s="209"/>
      <c r="T271" s="98"/>
      <c r="U271" s="97"/>
      <c r="V271" s="209"/>
      <c r="W271" s="209"/>
      <c r="X271" s="209"/>
      <c r="Y271" s="98"/>
      <c r="Z271" s="98"/>
      <c r="AA271" s="209"/>
      <c r="AB271" s="97"/>
      <c r="AC271" s="98"/>
      <c r="AD271" s="209"/>
      <c r="AE271" s="98"/>
      <c r="AF271" s="98"/>
      <c r="AG271" s="209"/>
      <c r="AH271" s="98"/>
      <c r="AI271" s="97"/>
      <c r="AJ271" s="209"/>
      <c r="AK271" s="209"/>
      <c r="AL271" s="98"/>
      <c r="AM271" s="98"/>
      <c r="AN271" s="97"/>
      <c r="AO271" s="97"/>
      <c r="AP271" s="97"/>
    </row>
    <row r="272" hidden="1">
      <c r="A272" s="24" t="s">
        <v>179</v>
      </c>
      <c r="B272" s="17"/>
      <c r="C272" s="17"/>
      <c r="D272" s="18"/>
      <c r="E272" s="57"/>
      <c r="F272" s="25"/>
      <c r="G272" s="28">
        <v>24.0</v>
      </c>
      <c r="H272" s="7" t="s">
        <v>22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28"/>
      <c r="AI272" s="28"/>
      <c r="AJ272" s="27"/>
      <c r="AK272" s="28"/>
      <c r="AL272" s="27"/>
      <c r="AM272" s="27"/>
      <c r="AN272" s="29">
        <f>G272+SUM(I272:AL272)-SUM(I273:AL273)</f>
        <v>24</v>
      </c>
      <c r="AO272" s="236"/>
      <c r="AP272" s="236"/>
    </row>
    <row r="273" hidden="1">
      <c r="A273" s="24"/>
      <c r="B273" s="17"/>
      <c r="C273" s="17"/>
      <c r="D273" s="17"/>
      <c r="E273" s="17"/>
      <c r="F273" s="18"/>
      <c r="G273" s="27"/>
      <c r="H273" s="7" t="s">
        <v>23</v>
      </c>
      <c r="I273" s="7"/>
      <c r="J273" s="7"/>
      <c r="K273" s="7"/>
      <c r="L273" s="7"/>
      <c r="M273" s="7"/>
      <c r="N273" s="7"/>
      <c r="O273" s="7"/>
      <c r="P273" s="7"/>
      <c r="Q273" s="7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32"/>
      <c r="AO273" s="32"/>
      <c r="AP273" s="32"/>
    </row>
    <row r="274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26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7"/>
      <c r="AI274" s="97"/>
      <c r="AJ274" s="97"/>
      <c r="AK274" s="97"/>
      <c r="AL274" s="97"/>
      <c r="AM274" s="97"/>
      <c r="AN274" s="97"/>
      <c r="AO274" s="97"/>
      <c r="AP274" s="97"/>
    </row>
    <row r="275" hidden="1">
      <c r="A275" s="223"/>
      <c r="B275" s="223"/>
      <c r="C275" s="223"/>
      <c r="D275" s="223"/>
      <c r="E275" s="224"/>
      <c r="F275" s="225"/>
      <c r="G275" s="1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"/>
      <c r="AI275" s="1"/>
      <c r="AJ275" s="2"/>
      <c r="AK275" s="1"/>
      <c r="AL275" s="2"/>
      <c r="AM275" s="2"/>
      <c r="AN275" s="30"/>
    </row>
    <row r="276">
      <c r="A276" s="223"/>
      <c r="B276" s="223"/>
      <c r="C276" s="223"/>
      <c r="D276" s="223"/>
      <c r="E276" s="224"/>
      <c r="F276" s="225"/>
      <c r="G276" s="1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"/>
      <c r="AI276" s="1"/>
      <c r="AJ276" s="2"/>
      <c r="AK276" s="1"/>
      <c r="AL276" s="2"/>
      <c r="AM276" s="2"/>
      <c r="AN276" s="30"/>
    </row>
    <row r="277">
      <c r="A277" s="227" t="s">
        <v>169</v>
      </c>
      <c r="B277" s="223"/>
      <c r="C277" s="223"/>
      <c r="D277" s="223"/>
      <c r="E277" s="224"/>
      <c r="F277" s="225"/>
      <c r="G277" s="1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"/>
      <c r="AI277" s="1"/>
      <c r="AJ277" s="2"/>
      <c r="AK277" s="1"/>
      <c r="AL277" s="2"/>
      <c r="AM277" s="2"/>
      <c r="AN277" s="30"/>
    </row>
    <row r="278">
      <c r="A278" s="24" t="s">
        <v>170</v>
      </c>
      <c r="B278" s="17"/>
      <c r="C278" s="17"/>
      <c r="D278" s="18"/>
      <c r="E278" s="57"/>
      <c r="F278" s="25"/>
      <c r="G278" s="28"/>
      <c r="H278" s="7" t="s">
        <v>139</v>
      </c>
      <c r="I278" s="35"/>
      <c r="J278" s="35"/>
      <c r="K278" s="35"/>
      <c r="L278" s="35"/>
      <c r="M278" s="41"/>
      <c r="N278" s="7"/>
      <c r="O278" s="41"/>
      <c r="P278" s="41"/>
      <c r="Q278" s="35"/>
      <c r="R278" s="35"/>
      <c r="S278" s="35"/>
      <c r="T278" s="41"/>
      <c r="U278" s="7"/>
      <c r="V278" s="41"/>
      <c r="W278" s="41"/>
      <c r="X278" s="41"/>
      <c r="Y278" s="41"/>
      <c r="Z278" s="41"/>
      <c r="AA278" s="41"/>
      <c r="AB278" s="7"/>
      <c r="AC278" s="41"/>
      <c r="AD278" s="41"/>
      <c r="AE278" s="41"/>
      <c r="AF278" s="35"/>
      <c r="AG278" s="41"/>
      <c r="AH278" s="42"/>
      <c r="AI278" s="28"/>
      <c r="AJ278" s="10"/>
      <c r="AK278" s="42"/>
      <c r="AL278" s="6"/>
      <c r="AM278" s="6"/>
      <c r="AN278" s="29"/>
    </row>
    <row r="279">
      <c r="A279" s="31"/>
      <c r="B279" s="17"/>
      <c r="C279" s="17"/>
      <c r="D279" s="17"/>
      <c r="E279" s="17"/>
      <c r="F279" s="18"/>
      <c r="G279" s="27"/>
      <c r="H279" s="7" t="s">
        <v>140</v>
      </c>
      <c r="I279" s="41"/>
      <c r="J279" s="41"/>
      <c r="K279" s="41"/>
      <c r="L279" s="41"/>
      <c r="M279" s="35"/>
      <c r="N279" s="7"/>
      <c r="O279" s="41"/>
      <c r="P279" s="35"/>
      <c r="Q279" s="41"/>
      <c r="R279" s="41"/>
      <c r="S279" s="41"/>
      <c r="T279" s="41"/>
      <c r="U279" s="7"/>
      <c r="V279" s="41"/>
      <c r="W279" s="41"/>
      <c r="X279" s="41"/>
      <c r="Y279" s="41"/>
      <c r="Z279" s="41"/>
      <c r="AA279" s="41"/>
      <c r="AB279" s="7"/>
      <c r="AC279" s="41"/>
      <c r="AD279" s="41"/>
      <c r="AE279" s="41"/>
      <c r="AF279" s="35"/>
      <c r="AG279" s="35"/>
      <c r="AH279" s="42"/>
      <c r="AI279" s="42"/>
      <c r="AJ279" s="10"/>
      <c r="AK279" s="38"/>
      <c r="AL279" s="38"/>
      <c r="AM279" s="38"/>
      <c r="AN279" s="32"/>
    </row>
    <row r="280">
      <c r="A280" s="24" t="s">
        <v>171</v>
      </c>
      <c r="B280" s="17"/>
      <c r="C280" s="17"/>
      <c r="D280" s="18"/>
      <c r="E280" s="57"/>
      <c r="F280" s="25"/>
      <c r="G280" s="28"/>
      <c r="H280" s="7" t="s">
        <v>140</v>
      </c>
      <c r="I280" s="35"/>
      <c r="J280" s="35"/>
      <c r="K280" s="41"/>
      <c r="L280" s="35"/>
      <c r="M280" s="41"/>
      <c r="N280" s="7"/>
      <c r="O280" s="35"/>
      <c r="P280" s="41"/>
      <c r="Q280" s="41"/>
      <c r="R280" s="35"/>
      <c r="S280" s="35"/>
      <c r="T280" s="35"/>
      <c r="U280" s="7"/>
      <c r="V280" s="35"/>
      <c r="W280" s="35"/>
      <c r="X280" s="35"/>
      <c r="Y280" s="35"/>
      <c r="Z280" s="35"/>
      <c r="AA280" s="35"/>
      <c r="AB280" s="7"/>
      <c r="AC280" s="35"/>
      <c r="AD280" s="35"/>
      <c r="AE280" s="35"/>
      <c r="AF280" s="35"/>
      <c r="AG280" s="35"/>
      <c r="AH280" s="38"/>
      <c r="AI280" s="28"/>
      <c r="AJ280" s="6"/>
      <c r="AK280" s="38"/>
      <c r="AL280" s="10"/>
      <c r="AM280" s="10"/>
      <c r="AN280" s="39"/>
    </row>
    <row r="281">
      <c r="L281" s="254"/>
    </row>
    <row r="282">
      <c r="L282" s="254"/>
    </row>
  </sheetData>
  <mergeCells count="430">
    <mergeCell ref="AO97:AO98"/>
    <mergeCell ref="AP97:AP98"/>
    <mergeCell ref="AN90:AN91"/>
    <mergeCell ref="AO90:AO91"/>
    <mergeCell ref="AP90:AP91"/>
    <mergeCell ref="AN94:AN95"/>
    <mergeCell ref="AO94:AO95"/>
    <mergeCell ref="AP94:AP95"/>
    <mergeCell ref="AN97:AN98"/>
    <mergeCell ref="AO126:AO127"/>
    <mergeCell ref="AP126:AP127"/>
    <mergeCell ref="AN120:AN121"/>
    <mergeCell ref="AO120:AO121"/>
    <mergeCell ref="AP120:AP121"/>
    <mergeCell ref="AN123:AN124"/>
    <mergeCell ref="AO123:AO124"/>
    <mergeCell ref="AP123:AP124"/>
    <mergeCell ref="AN126:AN127"/>
    <mergeCell ref="AO135:AO136"/>
    <mergeCell ref="AP135:AP136"/>
    <mergeCell ref="AN129:AN130"/>
    <mergeCell ref="AO129:AO130"/>
    <mergeCell ref="AP129:AP130"/>
    <mergeCell ref="AN132:AN133"/>
    <mergeCell ref="AO132:AO133"/>
    <mergeCell ref="AP132:AP133"/>
    <mergeCell ref="AN135:AN136"/>
    <mergeCell ref="AO144:AO145"/>
    <mergeCell ref="AP144:AP145"/>
    <mergeCell ref="AN138:AN139"/>
    <mergeCell ref="AO138:AO139"/>
    <mergeCell ref="AP138:AP139"/>
    <mergeCell ref="AN141:AN142"/>
    <mergeCell ref="AO141:AO142"/>
    <mergeCell ref="AP141:AP142"/>
    <mergeCell ref="AN144:AN145"/>
    <mergeCell ref="AO153:AO154"/>
    <mergeCell ref="AP153:AP154"/>
    <mergeCell ref="AN147:AN148"/>
    <mergeCell ref="AO147:AO148"/>
    <mergeCell ref="AP147:AP148"/>
    <mergeCell ref="AN150:AN151"/>
    <mergeCell ref="AO150:AO151"/>
    <mergeCell ref="AP150:AP151"/>
    <mergeCell ref="AN153:AN154"/>
    <mergeCell ref="AO162:AO163"/>
    <mergeCell ref="AP162:AP163"/>
    <mergeCell ref="AN156:AN157"/>
    <mergeCell ref="AO156:AO157"/>
    <mergeCell ref="AP156:AP157"/>
    <mergeCell ref="AN159:AN160"/>
    <mergeCell ref="AO159:AO160"/>
    <mergeCell ref="AP159:AP160"/>
    <mergeCell ref="AN162:AN163"/>
    <mergeCell ref="AO171:AO172"/>
    <mergeCell ref="AP171:AP172"/>
    <mergeCell ref="AN165:AN166"/>
    <mergeCell ref="AO165:AO166"/>
    <mergeCell ref="AP165:AP166"/>
    <mergeCell ref="AN168:AN169"/>
    <mergeCell ref="AO168:AO169"/>
    <mergeCell ref="AP168:AP169"/>
    <mergeCell ref="AN171:AN172"/>
    <mergeCell ref="A180:D180"/>
    <mergeCell ref="A181:F181"/>
    <mergeCell ref="A183:D183"/>
    <mergeCell ref="A184:F184"/>
    <mergeCell ref="A186:D186"/>
    <mergeCell ref="A189:F189"/>
    <mergeCell ref="A190:D190"/>
    <mergeCell ref="A191:F191"/>
    <mergeCell ref="A193:D193"/>
    <mergeCell ref="A194:F194"/>
    <mergeCell ref="A196:D196"/>
    <mergeCell ref="A197:F197"/>
    <mergeCell ref="A199:D199"/>
    <mergeCell ref="A200:F200"/>
    <mergeCell ref="A212:F212"/>
    <mergeCell ref="A214:D214"/>
    <mergeCell ref="A217:G217"/>
    <mergeCell ref="A219:D219"/>
    <mergeCell ref="A220:F220"/>
    <mergeCell ref="A222:D222"/>
    <mergeCell ref="A223:F223"/>
    <mergeCell ref="A225:G225"/>
    <mergeCell ref="A226:D226"/>
    <mergeCell ref="A227:F227"/>
    <mergeCell ref="A229:D229"/>
    <mergeCell ref="A230:F230"/>
    <mergeCell ref="A232:D232"/>
    <mergeCell ref="A235:G235"/>
    <mergeCell ref="A236:D236"/>
    <mergeCell ref="A237:F237"/>
    <mergeCell ref="A239:D239"/>
    <mergeCell ref="A240:F240"/>
    <mergeCell ref="A242:D242"/>
    <mergeCell ref="A243:F243"/>
    <mergeCell ref="A245:D245"/>
    <mergeCell ref="A246:F246"/>
    <mergeCell ref="A248:D248"/>
    <mergeCell ref="A249:F249"/>
    <mergeCell ref="A251:D251"/>
    <mergeCell ref="A252:F252"/>
    <mergeCell ref="A254:D254"/>
    <mergeCell ref="A255:F255"/>
    <mergeCell ref="A272:D272"/>
    <mergeCell ref="A273:F273"/>
    <mergeCell ref="A278:D278"/>
    <mergeCell ref="A279:F279"/>
    <mergeCell ref="A280:D280"/>
    <mergeCell ref="A258:F258"/>
    <mergeCell ref="A261:F261"/>
    <mergeCell ref="A264:F264"/>
    <mergeCell ref="A266:D266"/>
    <mergeCell ref="A267:F267"/>
    <mergeCell ref="A269:D269"/>
    <mergeCell ref="A270:F270"/>
    <mergeCell ref="A117:D117"/>
    <mergeCell ref="A118:F118"/>
    <mergeCell ref="A120:D120"/>
    <mergeCell ref="A121:F121"/>
    <mergeCell ref="A123:D123"/>
    <mergeCell ref="A124:F124"/>
    <mergeCell ref="A126:D126"/>
    <mergeCell ref="A127:F127"/>
    <mergeCell ref="A129:D129"/>
    <mergeCell ref="A130:F130"/>
    <mergeCell ref="A132:D132"/>
    <mergeCell ref="A133:F133"/>
    <mergeCell ref="A135:D135"/>
    <mergeCell ref="A136:F136"/>
    <mergeCell ref="A138:D138"/>
    <mergeCell ref="A139:F139"/>
    <mergeCell ref="A141:D141"/>
    <mergeCell ref="A142:F142"/>
    <mergeCell ref="A144:D144"/>
    <mergeCell ref="A145:F145"/>
    <mergeCell ref="A147:D147"/>
    <mergeCell ref="A148:F148"/>
    <mergeCell ref="A150:D150"/>
    <mergeCell ref="A151:F151"/>
    <mergeCell ref="A153:D153"/>
    <mergeCell ref="A154:F154"/>
    <mergeCell ref="A156:D156"/>
    <mergeCell ref="A157:F157"/>
    <mergeCell ref="A159:D159"/>
    <mergeCell ref="A160:F160"/>
    <mergeCell ref="A162:D162"/>
    <mergeCell ref="A163:F163"/>
    <mergeCell ref="A165:D165"/>
    <mergeCell ref="A166:F166"/>
    <mergeCell ref="A168:D168"/>
    <mergeCell ref="A169:F169"/>
    <mergeCell ref="A171:D171"/>
    <mergeCell ref="A172:F172"/>
    <mergeCell ref="A174:D174"/>
    <mergeCell ref="A175:F175"/>
    <mergeCell ref="A177:D177"/>
    <mergeCell ref="A178:F178"/>
    <mergeCell ref="A202:D202"/>
    <mergeCell ref="A203:F203"/>
    <mergeCell ref="A205:D205"/>
    <mergeCell ref="A206:F206"/>
    <mergeCell ref="A208:D208"/>
    <mergeCell ref="A209:F209"/>
    <mergeCell ref="A211:D211"/>
    <mergeCell ref="P3:R3"/>
    <mergeCell ref="A5:E5"/>
    <mergeCell ref="A7:E7"/>
    <mergeCell ref="A9:F9"/>
    <mergeCell ref="AN10:AN11"/>
    <mergeCell ref="AO10:AO11"/>
    <mergeCell ref="AP10:AP11"/>
    <mergeCell ref="AO19:AO20"/>
    <mergeCell ref="AP19:AP20"/>
    <mergeCell ref="A10:D10"/>
    <mergeCell ref="A11:F11"/>
    <mergeCell ref="A13:D13"/>
    <mergeCell ref="A14:F14"/>
    <mergeCell ref="A16:D16"/>
    <mergeCell ref="A17:F17"/>
    <mergeCell ref="A19:D19"/>
    <mergeCell ref="AN13:AN14"/>
    <mergeCell ref="AO13:AO14"/>
    <mergeCell ref="AP13:AP14"/>
    <mergeCell ref="AN16:AN17"/>
    <mergeCell ref="AO16:AO17"/>
    <mergeCell ref="AP16:AP17"/>
    <mergeCell ref="AN19:AN20"/>
    <mergeCell ref="A20:F20"/>
    <mergeCell ref="A22:D22"/>
    <mergeCell ref="A23:F23"/>
    <mergeCell ref="A25:D25"/>
    <mergeCell ref="A26:F26"/>
    <mergeCell ref="A28:D28"/>
    <mergeCell ref="A29:F29"/>
    <mergeCell ref="AN32:AN33"/>
    <mergeCell ref="AO32:AO33"/>
    <mergeCell ref="AP32:AP33"/>
    <mergeCell ref="A31:F31"/>
    <mergeCell ref="A32:D32"/>
    <mergeCell ref="A33:F33"/>
    <mergeCell ref="A35:D35"/>
    <mergeCell ref="A36:F36"/>
    <mergeCell ref="A38:D38"/>
    <mergeCell ref="A39:F39"/>
    <mergeCell ref="AO59:AO60"/>
    <mergeCell ref="AP59:AP60"/>
    <mergeCell ref="AN53:AN54"/>
    <mergeCell ref="AO53:AO54"/>
    <mergeCell ref="AP53:AP54"/>
    <mergeCell ref="AN56:AN57"/>
    <mergeCell ref="AO56:AO57"/>
    <mergeCell ref="AP56:AP57"/>
    <mergeCell ref="AN59:AN60"/>
    <mergeCell ref="AO68:AO69"/>
    <mergeCell ref="AP68:AP69"/>
    <mergeCell ref="AN62:AN63"/>
    <mergeCell ref="AO62:AO63"/>
    <mergeCell ref="AP62:AP63"/>
    <mergeCell ref="AN65:AN66"/>
    <mergeCell ref="AO65:AO66"/>
    <mergeCell ref="AP65:AP66"/>
    <mergeCell ref="AN68:AN69"/>
    <mergeCell ref="AO77:AO78"/>
    <mergeCell ref="AP77:AP78"/>
    <mergeCell ref="AN71:AN72"/>
    <mergeCell ref="AO71:AO72"/>
    <mergeCell ref="AP71:AP72"/>
    <mergeCell ref="AN74:AN75"/>
    <mergeCell ref="AO74:AO75"/>
    <mergeCell ref="AP74:AP75"/>
    <mergeCell ref="AN77:AN78"/>
    <mergeCell ref="AO87:AO88"/>
    <mergeCell ref="AP87:AP88"/>
    <mergeCell ref="AN80:AN81"/>
    <mergeCell ref="AO80:AO81"/>
    <mergeCell ref="AP80:AP81"/>
    <mergeCell ref="AN84:AN85"/>
    <mergeCell ref="AO84:AO85"/>
    <mergeCell ref="AP84:AP85"/>
    <mergeCell ref="AN87:AN88"/>
    <mergeCell ref="AO107:AO108"/>
    <mergeCell ref="AP107:AP108"/>
    <mergeCell ref="AN101:AN102"/>
    <mergeCell ref="AO101:AO102"/>
    <mergeCell ref="AP101:AP102"/>
    <mergeCell ref="AN104:AN105"/>
    <mergeCell ref="AO104:AO105"/>
    <mergeCell ref="AP104:AP105"/>
    <mergeCell ref="AN107:AN108"/>
    <mergeCell ref="A41:D41"/>
    <mergeCell ref="A42:F42"/>
    <mergeCell ref="A44:D44"/>
    <mergeCell ref="A45:F45"/>
    <mergeCell ref="A47:D47"/>
    <mergeCell ref="A48:F48"/>
    <mergeCell ref="A50:D50"/>
    <mergeCell ref="A51:F51"/>
    <mergeCell ref="A53:D53"/>
    <mergeCell ref="A54:F54"/>
    <mergeCell ref="A56:D56"/>
    <mergeCell ref="A57:F57"/>
    <mergeCell ref="A59:D59"/>
    <mergeCell ref="A60:F60"/>
    <mergeCell ref="A62:D62"/>
    <mergeCell ref="A63:F63"/>
    <mergeCell ref="A65:D65"/>
    <mergeCell ref="A66:F66"/>
    <mergeCell ref="A68:D68"/>
    <mergeCell ref="A69:F69"/>
    <mergeCell ref="A71:D71"/>
    <mergeCell ref="A72:F72"/>
    <mergeCell ref="A74:D74"/>
    <mergeCell ref="A75:F75"/>
    <mergeCell ref="A77:D77"/>
    <mergeCell ref="A78:F78"/>
    <mergeCell ref="A80:D80"/>
    <mergeCell ref="A83:F83"/>
    <mergeCell ref="A84:D84"/>
    <mergeCell ref="A85:F85"/>
    <mergeCell ref="A87:D87"/>
    <mergeCell ref="A88:F88"/>
    <mergeCell ref="A90:D90"/>
    <mergeCell ref="A93:F93"/>
    <mergeCell ref="A94:D94"/>
    <mergeCell ref="A95:F95"/>
    <mergeCell ref="A97:D97"/>
    <mergeCell ref="A100:F100"/>
    <mergeCell ref="A101:D101"/>
    <mergeCell ref="A102:F102"/>
    <mergeCell ref="A104:D104"/>
    <mergeCell ref="A105:F105"/>
    <mergeCell ref="A107:D107"/>
    <mergeCell ref="A108:F108"/>
    <mergeCell ref="A110:D110"/>
    <mergeCell ref="A111:F111"/>
    <mergeCell ref="A113:D113"/>
    <mergeCell ref="A114:F114"/>
    <mergeCell ref="A116:F116"/>
    <mergeCell ref="AO219:AO220"/>
    <mergeCell ref="AP219:AP220"/>
    <mergeCell ref="AN211:AN212"/>
    <mergeCell ref="AO211:AO212"/>
    <mergeCell ref="AP211:AP212"/>
    <mergeCell ref="AN214:AN215"/>
    <mergeCell ref="AO214:AO215"/>
    <mergeCell ref="AP214:AP215"/>
    <mergeCell ref="AN219:AN220"/>
    <mergeCell ref="AO248:AO249"/>
    <mergeCell ref="AP248:AP249"/>
    <mergeCell ref="AN242:AN243"/>
    <mergeCell ref="AO242:AO243"/>
    <mergeCell ref="AP242:AP243"/>
    <mergeCell ref="AN245:AN246"/>
    <mergeCell ref="AO245:AO246"/>
    <mergeCell ref="AP245:AP246"/>
    <mergeCell ref="AN248:AN249"/>
    <mergeCell ref="AN251:AN252"/>
    <mergeCell ref="AO251:AO252"/>
    <mergeCell ref="AP251:AP252"/>
    <mergeCell ref="AN254:AN255"/>
    <mergeCell ref="AO254:AO255"/>
    <mergeCell ref="AP254:AP255"/>
    <mergeCell ref="AO257:AO258"/>
    <mergeCell ref="AN257:AN258"/>
    <mergeCell ref="AN260:AN261"/>
    <mergeCell ref="AO260:AO261"/>
    <mergeCell ref="AN263:AN264"/>
    <mergeCell ref="AO263:AO264"/>
    <mergeCell ref="AO266:AO267"/>
    <mergeCell ref="AP266:AP267"/>
    <mergeCell ref="AO28:AO29"/>
    <mergeCell ref="AP28:AP29"/>
    <mergeCell ref="AN22:AN23"/>
    <mergeCell ref="AO22:AO23"/>
    <mergeCell ref="AP22:AP23"/>
    <mergeCell ref="AN25:AN26"/>
    <mergeCell ref="AO25:AO26"/>
    <mergeCell ref="AP25:AP26"/>
    <mergeCell ref="AN28:AN29"/>
    <mergeCell ref="AO41:AO42"/>
    <mergeCell ref="AP41:AP42"/>
    <mergeCell ref="AN35:AN36"/>
    <mergeCell ref="AO35:AO36"/>
    <mergeCell ref="AP35:AP36"/>
    <mergeCell ref="AN38:AN39"/>
    <mergeCell ref="AO38:AO39"/>
    <mergeCell ref="AP38:AP39"/>
    <mergeCell ref="AN41:AN42"/>
    <mergeCell ref="AO50:AO51"/>
    <mergeCell ref="AP50:AP51"/>
    <mergeCell ref="AN44:AN45"/>
    <mergeCell ref="AO44:AO45"/>
    <mergeCell ref="AP44:AP45"/>
    <mergeCell ref="AN47:AN48"/>
    <mergeCell ref="AO47:AO48"/>
    <mergeCell ref="AP47:AP48"/>
    <mergeCell ref="AN50:AN51"/>
    <mergeCell ref="AN266:AN267"/>
    <mergeCell ref="AN269:AN270"/>
    <mergeCell ref="AO269:AO270"/>
    <mergeCell ref="AP269:AP270"/>
    <mergeCell ref="AN272:AN273"/>
    <mergeCell ref="AO272:AO273"/>
    <mergeCell ref="AP272:AP273"/>
    <mergeCell ref="AN278:AN279"/>
    <mergeCell ref="AO117:AO118"/>
    <mergeCell ref="AP117:AP118"/>
    <mergeCell ref="AN110:AN111"/>
    <mergeCell ref="AO110:AO111"/>
    <mergeCell ref="AP110:AP111"/>
    <mergeCell ref="AN113:AN114"/>
    <mergeCell ref="AO113:AO114"/>
    <mergeCell ref="AP113:AP114"/>
    <mergeCell ref="AN117:AN118"/>
    <mergeCell ref="AO180:AO181"/>
    <mergeCell ref="AP180:AP181"/>
    <mergeCell ref="AN174:AN175"/>
    <mergeCell ref="AO174:AO175"/>
    <mergeCell ref="AP174:AP175"/>
    <mergeCell ref="AN177:AN178"/>
    <mergeCell ref="AO177:AO178"/>
    <mergeCell ref="AP177:AP178"/>
    <mergeCell ref="AN180:AN181"/>
    <mergeCell ref="AO190:AO191"/>
    <mergeCell ref="AP190:AP191"/>
    <mergeCell ref="AN183:AN184"/>
    <mergeCell ref="AO183:AO184"/>
    <mergeCell ref="AP183:AP184"/>
    <mergeCell ref="AN186:AN187"/>
    <mergeCell ref="AO186:AO187"/>
    <mergeCell ref="AP186:AP187"/>
    <mergeCell ref="AN190:AN191"/>
    <mergeCell ref="AO199:AO200"/>
    <mergeCell ref="AP199:AP200"/>
    <mergeCell ref="AN193:AN194"/>
    <mergeCell ref="AO193:AO194"/>
    <mergeCell ref="AP193:AP194"/>
    <mergeCell ref="AN196:AN197"/>
    <mergeCell ref="AO196:AO197"/>
    <mergeCell ref="AP196:AP197"/>
    <mergeCell ref="AN199:AN200"/>
    <mergeCell ref="AO208:AO209"/>
    <mergeCell ref="AP208:AP209"/>
    <mergeCell ref="AN202:AN203"/>
    <mergeCell ref="AO202:AO203"/>
    <mergeCell ref="AP202:AP203"/>
    <mergeCell ref="AN205:AN206"/>
    <mergeCell ref="AO205:AO206"/>
    <mergeCell ref="AP205:AP206"/>
    <mergeCell ref="AN208:AN209"/>
    <mergeCell ref="AO229:AO230"/>
    <mergeCell ref="AP229:AP230"/>
    <mergeCell ref="AN222:AN223"/>
    <mergeCell ref="AO222:AO223"/>
    <mergeCell ref="AP222:AP223"/>
    <mergeCell ref="AN226:AN227"/>
    <mergeCell ref="AO226:AO227"/>
    <mergeCell ref="AP226:AP227"/>
    <mergeCell ref="AN229:AN230"/>
    <mergeCell ref="AO239:AO240"/>
    <mergeCell ref="AP239:AP240"/>
    <mergeCell ref="AN232:AN233"/>
    <mergeCell ref="AO232:AO233"/>
    <mergeCell ref="AP232:AP233"/>
    <mergeCell ref="AN236:AN237"/>
    <mergeCell ref="AO236:AO237"/>
    <mergeCell ref="AP236:AP237"/>
    <mergeCell ref="AN239:AN240"/>
  </mergeCells>
  <conditionalFormatting sqref="AO10:AP270 AN257:AN258 AN260:AN261 AN263:AN264 AO272:AP273">
    <cfRule type="colorScale" priority="1">
      <colorScale>
        <cfvo type="min"/>
        <cfvo type="formula" val="8"/>
        <cfvo type="formula" val="268.1"/>
        <color rgb="FFE67C73"/>
        <color rgb="FFFFFFFF"/>
        <color rgb="FF57BB8A"/>
      </colorScale>
    </cfRule>
  </conditionalFormatting>
  <conditionalFormatting sqref="AP6:AP270 AP272:AP273">
    <cfRule type="colorScale" priority="2">
      <colorScale>
        <cfvo type="percentile" val="0"/>
        <cfvo type="percentile" val="50"/>
        <cfvo type="percentile" val="100"/>
        <color rgb="FFFF0000"/>
        <color rgb="FFFFFFFF"/>
        <color rgb="FF57BB8A"/>
      </colorScale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8.0" topLeftCell="I9" activePane="bottomRight" state="frozen"/>
      <selection activeCell="I1" sqref="I1" pane="topRight"/>
      <selection activeCell="A9" sqref="A9" pane="bottomLeft"/>
      <selection activeCell="I9" sqref="I9" pane="bottomRight"/>
    </sheetView>
  </sheetViews>
  <sheetFormatPr customHeight="1" defaultColWidth="12.63" defaultRowHeight="15.75"/>
  <cols>
    <col customWidth="1" min="1" max="1" width="9.38"/>
    <col customWidth="1" min="2" max="2" width="10.5"/>
    <col customWidth="1" min="4" max="4" width="0.38"/>
    <col customWidth="1" min="5" max="5" width="4.13"/>
    <col customWidth="1" min="6" max="6" width="4.75"/>
    <col customWidth="1" min="7" max="7" width="7.25"/>
    <col customWidth="1" min="8" max="8" width="4.25"/>
    <col customWidth="1" min="9" max="11" width="5.88"/>
    <col customWidth="1" min="12" max="12" width="7.75"/>
    <col customWidth="1" min="13" max="14" width="5.88"/>
    <col customWidth="1" min="15" max="15" width="6.13"/>
    <col customWidth="1" min="16" max="25" width="5.88"/>
    <col customWidth="1" min="26" max="26" width="6.13"/>
    <col customWidth="1" min="27" max="39" width="5.88"/>
    <col customWidth="1" min="40" max="40" width="12.63"/>
    <col customWidth="1" min="41" max="41" width="13.38"/>
    <col customWidth="1" min="42" max="42" width="21.0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/>
      <c r="AH1" s="1"/>
      <c r="AI1" s="2"/>
      <c r="AJ1" s="2"/>
      <c r="AK1" s="2"/>
      <c r="AL1" s="2"/>
      <c r="AM1" s="2"/>
      <c r="AN1" s="2"/>
      <c r="AO1" s="2"/>
      <c r="AP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"/>
      <c r="AH2" s="1"/>
      <c r="AI2" s="2"/>
      <c r="AJ2" s="2"/>
      <c r="AK2" s="1"/>
      <c r="AL2" s="2"/>
      <c r="AM2" s="2"/>
      <c r="AN2" s="2"/>
      <c r="AO2" s="2"/>
      <c r="AP2" s="2"/>
    </row>
    <row r="3">
      <c r="A3" s="2"/>
      <c r="B3" s="2"/>
      <c r="C3" s="1"/>
      <c r="D3" s="2"/>
      <c r="E3" s="2"/>
      <c r="F3" s="2"/>
      <c r="G3" s="2"/>
      <c r="H3" s="2"/>
      <c r="I3" s="2"/>
      <c r="J3" s="1" t="s">
        <v>3</v>
      </c>
      <c r="K3" s="2"/>
      <c r="L3" s="4" t="s">
        <v>4</v>
      </c>
      <c r="M3" s="4">
        <v>969.0</v>
      </c>
      <c r="N3" s="2"/>
      <c r="O3" s="28" t="s">
        <v>5</v>
      </c>
      <c r="P3" s="100">
        <v>45622.0</v>
      </c>
      <c r="Q3" s="17"/>
      <c r="R3" s="18"/>
      <c r="S3" s="2"/>
      <c r="T3" s="2"/>
      <c r="U3" s="1" t="s">
        <v>6</v>
      </c>
      <c r="V3" s="2"/>
      <c r="W3" s="2"/>
      <c r="X3" s="2"/>
      <c r="Y3" s="6"/>
      <c r="AB3" s="1" t="s">
        <v>163</v>
      </c>
      <c r="AC3" s="2"/>
      <c r="AD3" s="1"/>
      <c r="AE3" s="2"/>
      <c r="AF3" s="2"/>
      <c r="AG3" s="2"/>
      <c r="AH3" s="2"/>
      <c r="AI3" s="1"/>
      <c r="AJ3" s="2"/>
      <c r="AK3" s="1"/>
      <c r="AL3" s="2"/>
      <c r="AM3" s="2"/>
      <c r="AN3" s="2"/>
      <c r="AO3" s="2"/>
      <c r="AP3" s="2"/>
    </row>
    <row r="4">
      <c r="F4" s="2"/>
      <c r="G4" s="7" t="s">
        <v>7</v>
      </c>
      <c r="H4" s="7">
        <v>30.0</v>
      </c>
      <c r="I4" s="8"/>
      <c r="J4" s="8"/>
      <c r="K4" s="8"/>
      <c r="L4" s="7" t="s">
        <v>8</v>
      </c>
      <c r="M4" s="7">
        <v>972.0</v>
      </c>
      <c r="N4" s="8"/>
      <c r="O4" s="9"/>
      <c r="P4" s="8"/>
      <c r="Q4" s="8"/>
      <c r="R4" s="2"/>
      <c r="S4" s="2"/>
      <c r="T4" s="2"/>
      <c r="U4" s="1" t="s">
        <v>133</v>
      </c>
      <c r="V4" s="2"/>
      <c r="W4" s="2"/>
      <c r="X4" s="2"/>
      <c r="Y4" s="10"/>
      <c r="Z4" s="2"/>
      <c r="AB4" s="1" t="s">
        <v>172</v>
      </c>
      <c r="AC4" s="2"/>
      <c r="AD4" s="1"/>
      <c r="AF4" s="2"/>
      <c r="AG4" s="2"/>
      <c r="AJ4" s="2"/>
      <c r="AK4" s="1"/>
      <c r="AL4" s="2"/>
      <c r="AM4" s="2"/>
      <c r="AN4" s="1"/>
      <c r="AO4" s="2"/>
      <c r="AP4" s="2"/>
    </row>
    <row r="5">
      <c r="A5" s="11" t="s">
        <v>180</v>
      </c>
      <c r="F5" s="2"/>
      <c r="G5" s="8"/>
      <c r="H5" s="8"/>
      <c r="I5" s="8"/>
      <c r="J5" s="8"/>
      <c r="K5" s="8"/>
      <c r="L5" s="7" t="s">
        <v>11</v>
      </c>
      <c r="M5" s="7">
        <v>967.0</v>
      </c>
      <c r="N5" s="8"/>
      <c r="O5" s="12" t="s">
        <v>0</v>
      </c>
      <c r="P5" s="8"/>
      <c r="Q5" s="8"/>
      <c r="R5" s="2"/>
      <c r="S5" s="2"/>
      <c r="T5" s="2"/>
      <c r="U5" s="2"/>
      <c r="V5" s="2"/>
      <c r="W5" s="2"/>
      <c r="X5" s="2"/>
      <c r="Y5" s="2"/>
      <c r="Z5" s="2"/>
      <c r="AB5" s="2"/>
      <c r="AC5" s="2"/>
      <c r="AD5" s="1"/>
      <c r="AF5" s="1"/>
      <c r="AG5" s="1"/>
      <c r="AJ5" s="2"/>
      <c r="AK5" s="1"/>
      <c r="AL5" s="2"/>
      <c r="AM5" s="2"/>
      <c r="AN5" s="1"/>
      <c r="AO5" s="2"/>
      <c r="AP5" s="2"/>
    </row>
    <row r="6">
      <c r="A6" s="2"/>
      <c r="B6" s="2"/>
      <c r="C6" s="2"/>
      <c r="D6" s="2"/>
      <c r="E6" s="12"/>
      <c r="F6" s="12"/>
      <c r="G6" s="8"/>
      <c r="H6" s="8"/>
      <c r="I6" s="8"/>
      <c r="J6" s="8"/>
      <c r="K6" s="8"/>
      <c r="L6" s="7" t="s">
        <v>12</v>
      </c>
      <c r="M6" s="7"/>
      <c r="N6" s="8"/>
      <c r="O6" s="8"/>
      <c r="P6" s="8"/>
      <c r="Q6" s="12"/>
      <c r="R6" s="1"/>
      <c r="S6" s="1"/>
      <c r="T6" s="2"/>
      <c r="U6" s="1" t="s">
        <v>128</v>
      </c>
      <c r="V6" s="2"/>
      <c r="W6" s="2"/>
      <c r="X6" s="2"/>
      <c r="Y6" s="101"/>
      <c r="Z6" s="2"/>
      <c r="AB6" s="1"/>
      <c r="AC6" s="1"/>
      <c r="AD6" s="2"/>
      <c r="AE6" s="2"/>
      <c r="AF6" s="2"/>
      <c r="AG6" s="2"/>
      <c r="AH6" s="2"/>
      <c r="AI6" s="2"/>
      <c r="AJ6" s="2"/>
      <c r="AK6" s="1"/>
      <c r="AL6" s="2"/>
      <c r="AM6" s="2"/>
      <c r="AN6" s="2"/>
      <c r="AO6" s="2"/>
      <c r="AP6" s="2"/>
    </row>
    <row r="7">
      <c r="A7" s="13" t="s">
        <v>13</v>
      </c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12"/>
      <c r="R7" s="1"/>
      <c r="S7" s="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>
      <c r="A8" s="211"/>
      <c r="B8" s="2"/>
      <c r="C8" s="2"/>
      <c r="D8" s="1"/>
      <c r="E8" s="1" t="s">
        <v>181</v>
      </c>
      <c r="F8" s="2"/>
      <c r="G8" s="12"/>
      <c r="H8" s="8"/>
      <c r="I8" s="14">
        <v>45597.0</v>
      </c>
      <c r="J8" s="14">
        <v>45598.0</v>
      </c>
      <c r="K8" s="14">
        <v>45599.0</v>
      </c>
      <c r="L8" s="14">
        <v>45600.0</v>
      </c>
      <c r="M8" s="14">
        <v>45601.0</v>
      </c>
      <c r="N8" s="14">
        <v>45602.0</v>
      </c>
      <c r="O8" s="14">
        <v>45603.0</v>
      </c>
      <c r="P8" s="14">
        <v>45604.0</v>
      </c>
      <c r="Q8" s="14">
        <v>45605.0</v>
      </c>
      <c r="R8" s="14">
        <v>45606.0</v>
      </c>
      <c r="S8" s="14">
        <v>45607.0</v>
      </c>
      <c r="T8" s="14">
        <v>45608.0</v>
      </c>
      <c r="U8" s="14">
        <v>45609.0</v>
      </c>
      <c r="V8" s="14">
        <v>45610.0</v>
      </c>
      <c r="W8" s="14">
        <v>45611.0</v>
      </c>
      <c r="X8" s="14">
        <v>45612.0</v>
      </c>
      <c r="Y8" s="14">
        <v>45613.0</v>
      </c>
      <c r="Z8" s="14">
        <v>45614.0</v>
      </c>
      <c r="AA8" s="14">
        <v>45615.0</v>
      </c>
      <c r="AB8" s="14">
        <v>45616.0</v>
      </c>
      <c r="AC8" s="14">
        <v>45617.0</v>
      </c>
      <c r="AD8" s="14">
        <v>45618.0</v>
      </c>
      <c r="AE8" s="14">
        <v>45619.0</v>
      </c>
      <c r="AF8" s="14">
        <v>45620.0</v>
      </c>
      <c r="AG8" s="14">
        <v>45621.0</v>
      </c>
      <c r="AH8" s="14">
        <v>45622.0</v>
      </c>
      <c r="AI8" s="14">
        <v>45623.0</v>
      </c>
      <c r="AJ8" s="14">
        <v>45624.0</v>
      </c>
      <c r="AK8" s="14">
        <v>45625.0</v>
      </c>
      <c r="AL8" s="14">
        <v>45626.0</v>
      </c>
      <c r="AM8" s="14"/>
      <c r="AN8" s="13" t="s">
        <v>16</v>
      </c>
      <c r="AO8" s="13" t="s">
        <v>17</v>
      </c>
      <c r="AP8" s="13" t="s">
        <v>18</v>
      </c>
    </row>
    <row r="9">
      <c r="A9" s="16" t="s">
        <v>19</v>
      </c>
      <c r="B9" s="17"/>
      <c r="C9" s="17"/>
      <c r="D9" s="17"/>
      <c r="E9" s="17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  <c r="S9" s="20"/>
      <c r="T9" s="20"/>
      <c r="U9" s="20"/>
      <c r="V9" s="20"/>
      <c r="W9" s="20"/>
      <c r="X9" s="20"/>
      <c r="Y9" s="20"/>
      <c r="Z9" s="20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2"/>
      <c r="AO9" s="22"/>
      <c r="AP9" s="22"/>
    </row>
    <row r="10">
      <c r="A10" s="24" t="s">
        <v>130</v>
      </c>
      <c r="B10" s="17"/>
      <c r="C10" s="17"/>
      <c r="D10" s="18"/>
      <c r="E10" s="25">
        <v>1.0</v>
      </c>
      <c r="F10" s="25" t="s">
        <v>21</v>
      </c>
      <c r="G10" s="7">
        <v>330.0</v>
      </c>
      <c r="H10" s="7" t="s">
        <v>22</v>
      </c>
      <c r="I10" s="7"/>
      <c r="J10" s="26"/>
      <c r="K10" s="7"/>
      <c r="L10" s="26"/>
      <c r="M10" s="7">
        <v>150.0</v>
      </c>
      <c r="N10" s="26"/>
      <c r="O10" s="7"/>
      <c r="P10" s="7"/>
      <c r="Q10" s="7"/>
      <c r="R10" s="27"/>
      <c r="S10" s="27"/>
      <c r="T10" s="28">
        <v>150.0</v>
      </c>
      <c r="U10" s="28"/>
      <c r="V10" s="27"/>
      <c r="W10" s="27"/>
      <c r="X10" s="27"/>
      <c r="Y10" s="28"/>
      <c r="Z10" s="27"/>
      <c r="AA10" s="28"/>
      <c r="AB10" s="27"/>
      <c r="AC10" s="27"/>
      <c r="AD10" s="28"/>
      <c r="AE10" s="28">
        <v>150.0</v>
      </c>
      <c r="AF10" s="27"/>
      <c r="AG10" s="28"/>
      <c r="AH10" s="28"/>
      <c r="AI10" s="28">
        <v>150.0</v>
      </c>
      <c r="AJ10" s="27"/>
      <c r="AK10" s="28"/>
      <c r="AL10" s="28"/>
      <c r="AM10" s="27"/>
      <c r="AN10" s="29">
        <f>G10+SUM(I10:AM10)-SUM(I11:AM11)</f>
        <v>330</v>
      </c>
      <c r="AO10" s="29">
        <f>ROUNDDOWN((AN10/E10)/$H$4,1)</f>
        <v>11</v>
      </c>
      <c r="AP10" s="29">
        <f>$M$4+AO10</f>
        <v>983</v>
      </c>
    </row>
    <row r="11">
      <c r="A11" s="212"/>
      <c r="B11" s="17"/>
      <c r="C11" s="17"/>
      <c r="D11" s="17"/>
      <c r="E11" s="17"/>
      <c r="F11" s="18"/>
      <c r="G11" s="26"/>
      <c r="H11" s="7" t="s">
        <v>23</v>
      </c>
      <c r="I11" s="7"/>
      <c r="J11" s="26"/>
      <c r="K11" s="26"/>
      <c r="L11" s="26"/>
      <c r="M11" s="26"/>
      <c r="N11" s="7"/>
      <c r="O11" s="26"/>
      <c r="P11" s="7"/>
      <c r="Q11" s="7">
        <v>300.0</v>
      </c>
      <c r="R11" s="28"/>
      <c r="S11" s="27"/>
      <c r="T11" s="28"/>
      <c r="U11" s="27"/>
      <c r="V11" s="27"/>
      <c r="W11" s="27"/>
      <c r="X11" s="27"/>
      <c r="Y11" s="27"/>
      <c r="Z11" s="28">
        <v>300.0</v>
      </c>
      <c r="AA11" s="28"/>
      <c r="AB11" s="28"/>
      <c r="AC11" s="28"/>
      <c r="AD11" s="28"/>
      <c r="AE11" s="27"/>
      <c r="AF11" s="27"/>
      <c r="AG11" s="27"/>
      <c r="AH11" s="27"/>
      <c r="AI11" s="27"/>
      <c r="AJ11" s="28"/>
      <c r="AK11" s="27"/>
      <c r="AL11" s="27"/>
      <c r="AM11" s="27"/>
      <c r="AN11" s="32"/>
      <c r="AO11" s="32"/>
      <c r="AP11" s="32"/>
    </row>
    <row r="12">
      <c r="A12" s="33"/>
      <c r="B12" s="33"/>
      <c r="C12" s="33"/>
      <c r="D12" s="33"/>
      <c r="E12" s="25"/>
      <c r="F12" s="25"/>
      <c r="G12" s="34"/>
      <c r="H12" s="7"/>
      <c r="I12" s="7"/>
      <c r="J12" s="26"/>
      <c r="K12" s="26"/>
      <c r="L12" s="36"/>
      <c r="M12" s="36"/>
      <c r="N12" s="36"/>
      <c r="O12" s="36"/>
      <c r="P12" s="36"/>
      <c r="Q12" s="37"/>
      <c r="R12" s="27"/>
      <c r="S12" s="10"/>
      <c r="T12" s="10"/>
      <c r="U12" s="10"/>
      <c r="V12" s="38"/>
      <c r="W12" s="10"/>
      <c r="X12" s="10"/>
      <c r="Y12" s="27"/>
      <c r="Z12" s="6"/>
      <c r="AA12" s="10"/>
      <c r="AB12" s="10"/>
      <c r="AC12" s="10"/>
      <c r="AD12" s="10"/>
      <c r="AE12" s="10"/>
      <c r="AF12" s="27"/>
      <c r="AG12" s="10"/>
      <c r="AH12" s="38"/>
      <c r="AI12" s="10"/>
      <c r="AJ12" s="10"/>
      <c r="AK12" s="6"/>
      <c r="AL12" s="6"/>
      <c r="AM12" s="27"/>
      <c r="AN12" s="39"/>
      <c r="AO12" s="39"/>
      <c r="AP12" s="39"/>
    </row>
    <row r="13">
      <c r="A13" s="24" t="s">
        <v>24</v>
      </c>
      <c r="B13" s="17"/>
      <c r="C13" s="17"/>
      <c r="D13" s="18"/>
      <c r="E13" s="25">
        <v>1.0</v>
      </c>
      <c r="F13" s="25" t="s">
        <v>21</v>
      </c>
      <c r="G13" s="34">
        <v>1277.0</v>
      </c>
      <c r="H13" s="7" t="s">
        <v>22</v>
      </c>
      <c r="I13" s="7"/>
      <c r="J13" s="26"/>
      <c r="K13" s="26"/>
      <c r="L13" s="26"/>
      <c r="M13" s="26"/>
      <c r="N13" s="26"/>
      <c r="O13" s="26"/>
      <c r="P13" s="7"/>
      <c r="Q13" s="26"/>
      <c r="R13" s="27"/>
      <c r="S13" s="27"/>
      <c r="T13" s="28"/>
      <c r="U13" s="28"/>
      <c r="V13" s="28"/>
      <c r="W13" s="27"/>
      <c r="X13" s="27"/>
      <c r="Y13" s="27"/>
      <c r="Z13" s="28"/>
      <c r="AA13" s="28"/>
      <c r="AB13" s="27"/>
      <c r="AC13" s="27"/>
      <c r="AD13" s="28"/>
      <c r="AE13" s="28"/>
      <c r="AF13" s="27"/>
      <c r="AG13" s="28"/>
      <c r="AH13" s="27"/>
      <c r="AI13" s="27"/>
      <c r="AJ13" s="27"/>
      <c r="AK13" s="27"/>
      <c r="AL13" s="27"/>
      <c r="AM13" s="27"/>
      <c r="AN13" s="29">
        <f>G13+SUM(I13:AM13)-SUM(I14:AM14)</f>
        <v>497</v>
      </c>
      <c r="AO13" s="29">
        <f>ROUNDDOWN((AN13/E13)/$H$4,1)</f>
        <v>16.5</v>
      </c>
      <c r="AP13" s="29">
        <f>$M$4+AO13</f>
        <v>988.5</v>
      </c>
    </row>
    <row r="14">
      <c r="A14" s="31"/>
      <c r="B14" s="17"/>
      <c r="C14" s="17"/>
      <c r="D14" s="17"/>
      <c r="E14" s="17"/>
      <c r="F14" s="18"/>
      <c r="G14" s="40"/>
      <c r="H14" s="7" t="s">
        <v>23</v>
      </c>
      <c r="I14" s="7"/>
      <c r="J14" s="7"/>
      <c r="K14" s="7"/>
      <c r="L14" s="7">
        <v>60.0</v>
      </c>
      <c r="M14" s="7"/>
      <c r="N14" s="7">
        <v>60.0</v>
      </c>
      <c r="O14" s="7">
        <v>60.0</v>
      </c>
      <c r="P14" s="7"/>
      <c r="Q14" s="7">
        <v>60.0</v>
      </c>
      <c r="R14" s="28"/>
      <c r="S14" s="28"/>
      <c r="T14" s="28">
        <v>60.0</v>
      </c>
      <c r="U14" s="28"/>
      <c r="V14" s="28"/>
      <c r="W14" s="28">
        <v>60.0</v>
      </c>
      <c r="X14" s="28"/>
      <c r="Y14" s="28"/>
      <c r="Z14" s="28">
        <v>60.0</v>
      </c>
      <c r="AA14" s="28"/>
      <c r="AB14" s="28">
        <v>60.0</v>
      </c>
      <c r="AC14" s="28"/>
      <c r="AD14" s="28">
        <v>60.0</v>
      </c>
      <c r="AE14" s="28">
        <v>60.0</v>
      </c>
      <c r="AF14" s="28"/>
      <c r="AG14" s="28"/>
      <c r="AH14" s="28">
        <v>60.0</v>
      </c>
      <c r="AI14" s="28"/>
      <c r="AJ14" s="28">
        <v>60.0</v>
      </c>
      <c r="AK14" s="28">
        <v>60.0</v>
      </c>
      <c r="AL14" s="28"/>
      <c r="AM14" s="27"/>
      <c r="AN14" s="32"/>
      <c r="AO14" s="32"/>
      <c r="AP14" s="32"/>
    </row>
    <row r="15">
      <c r="A15" s="33"/>
      <c r="B15" s="33"/>
      <c r="C15" s="33"/>
      <c r="D15" s="33"/>
      <c r="E15" s="25"/>
      <c r="F15" s="25"/>
      <c r="G15" s="7"/>
      <c r="H15" s="7"/>
      <c r="I15" s="7"/>
      <c r="J15" s="26"/>
      <c r="K15" s="26"/>
      <c r="L15" s="37"/>
      <c r="M15" s="36"/>
      <c r="N15" s="37"/>
      <c r="O15" s="41"/>
      <c r="P15" s="36"/>
      <c r="Q15" s="37"/>
      <c r="R15" s="27"/>
      <c r="S15" s="10"/>
      <c r="T15" s="6"/>
      <c r="U15" s="10"/>
      <c r="V15" s="38"/>
      <c r="W15" s="6"/>
      <c r="X15" s="10"/>
      <c r="Y15" s="27"/>
      <c r="Z15" s="6"/>
      <c r="AA15" s="10"/>
      <c r="AB15" s="6"/>
      <c r="AC15" s="10"/>
      <c r="AD15" s="6"/>
      <c r="AE15" s="6"/>
      <c r="AF15" s="28"/>
      <c r="AG15" s="10"/>
      <c r="AH15" s="6"/>
      <c r="AI15" s="10"/>
      <c r="AJ15" s="6"/>
      <c r="AK15" s="6"/>
      <c r="AL15" s="10"/>
      <c r="AM15" s="27"/>
      <c r="AN15" s="39"/>
      <c r="AO15" s="39"/>
      <c r="AP15" s="39"/>
    </row>
    <row r="16">
      <c r="A16" s="24" t="s">
        <v>25</v>
      </c>
      <c r="B16" s="17"/>
      <c r="C16" s="17"/>
      <c r="D16" s="18"/>
      <c r="E16" s="25">
        <v>4.0</v>
      </c>
      <c r="F16" s="25" t="s">
        <v>21</v>
      </c>
      <c r="G16" s="7">
        <f>3160+240</f>
        <v>3400</v>
      </c>
      <c r="H16" s="7" t="s">
        <v>22</v>
      </c>
      <c r="I16" s="7"/>
      <c r="J16" s="7"/>
      <c r="K16" s="26"/>
      <c r="L16" s="26"/>
      <c r="M16" s="26"/>
      <c r="N16" s="26"/>
      <c r="O16" s="7"/>
      <c r="P16" s="7"/>
      <c r="Q16" s="26"/>
      <c r="R16" s="27"/>
      <c r="S16" s="27"/>
      <c r="T16" s="28"/>
      <c r="U16" s="28"/>
      <c r="V16" s="28"/>
      <c r="W16" s="27"/>
      <c r="X16" s="27"/>
      <c r="Y16" s="27"/>
      <c r="Z16" s="28"/>
      <c r="AA16" s="28"/>
      <c r="AB16" s="27"/>
      <c r="AC16" s="27"/>
      <c r="AD16" s="28"/>
      <c r="AE16" s="28"/>
      <c r="AF16" s="28"/>
      <c r="AG16" s="28"/>
      <c r="AH16" s="28"/>
      <c r="AI16" s="27"/>
      <c r="AJ16" s="27"/>
      <c r="AK16" s="28">
        <v>2.0</v>
      </c>
      <c r="AL16" s="27"/>
      <c r="AM16" s="27"/>
      <c r="AN16" s="29">
        <f>G16+SUM(I16:AM16)-SUM(I17:AM17)</f>
        <v>282</v>
      </c>
      <c r="AO16" s="29">
        <f>ROUNDDOWN((AN16/E16)/$H$4,1)</f>
        <v>2.3</v>
      </c>
      <c r="AP16" s="29">
        <f>$M$4+AO16</f>
        <v>974.3</v>
      </c>
    </row>
    <row r="17">
      <c r="A17" s="31"/>
      <c r="B17" s="17"/>
      <c r="C17" s="17"/>
      <c r="D17" s="17"/>
      <c r="E17" s="17"/>
      <c r="F17" s="18"/>
      <c r="G17" s="26"/>
      <c r="H17" s="7" t="s">
        <v>23</v>
      </c>
      <c r="I17" s="7"/>
      <c r="J17" s="7"/>
      <c r="K17" s="7"/>
      <c r="L17" s="7">
        <v>240.0</v>
      </c>
      <c r="M17" s="7"/>
      <c r="N17" s="7">
        <v>240.0</v>
      </c>
      <c r="O17" s="7"/>
      <c r="P17" s="7">
        <v>240.0</v>
      </c>
      <c r="Q17" s="7"/>
      <c r="R17" s="28"/>
      <c r="S17" s="28">
        <v>240.0</v>
      </c>
      <c r="T17" s="28">
        <v>240.0</v>
      </c>
      <c r="U17" s="28"/>
      <c r="V17" s="28"/>
      <c r="W17" s="27"/>
      <c r="X17" s="28"/>
      <c r="Y17" s="28"/>
      <c r="Z17" s="28">
        <v>240.0</v>
      </c>
      <c r="AA17" s="28">
        <v>240.0</v>
      </c>
      <c r="AB17" s="28"/>
      <c r="AC17" s="28">
        <v>240.0</v>
      </c>
      <c r="AD17" s="28"/>
      <c r="AE17" s="28">
        <v>240.0</v>
      </c>
      <c r="AF17" s="28"/>
      <c r="AG17" s="28">
        <v>240.0</v>
      </c>
      <c r="AH17" s="28"/>
      <c r="AI17" s="28">
        <v>240.0</v>
      </c>
      <c r="AJ17" s="28"/>
      <c r="AK17" s="28">
        <v>240.0</v>
      </c>
      <c r="AL17" s="28">
        <v>240.0</v>
      </c>
      <c r="AM17" s="28"/>
      <c r="AN17" s="32"/>
      <c r="AO17" s="32"/>
      <c r="AP17" s="32"/>
    </row>
    <row r="18">
      <c r="A18" s="33"/>
      <c r="B18" s="33"/>
      <c r="C18" s="33"/>
      <c r="D18" s="33"/>
      <c r="E18" s="25"/>
      <c r="F18" s="25"/>
      <c r="G18" s="43"/>
      <c r="H18" s="7"/>
      <c r="I18" s="26"/>
      <c r="J18" s="26"/>
      <c r="K18" s="26"/>
      <c r="L18" s="37"/>
      <c r="M18" s="36"/>
      <c r="N18" s="37"/>
      <c r="O18" s="36"/>
      <c r="P18" s="37"/>
      <c r="Q18" s="36"/>
      <c r="R18" s="27"/>
      <c r="S18" s="42"/>
      <c r="T18" s="6"/>
      <c r="U18" s="38"/>
      <c r="V18" s="10"/>
      <c r="W18" s="38"/>
      <c r="X18" s="10"/>
      <c r="Y18" s="27"/>
      <c r="Z18" s="6"/>
      <c r="AA18" s="6"/>
      <c r="AB18" s="10"/>
      <c r="AC18" s="6"/>
      <c r="AD18" s="10"/>
      <c r="AE18" s="6"/>
      <c r="AF18" s="27"/>
      <c r="AG18" s="6"/>
      <c r="AH18" s="10"/>
      <c r="AI18" s="6"/>
      <c r="AJ18" s="10"/>
      <c r="AK18" s="6"/>
      <c r="AL18" s="6"/>
      <c r="AM18" s="27"/>
      <c r="AN18" s="39"/>
      <c r="AO18" s="39"/>
      <c r="AP18" s="39"/>
    </row>
    <row r="19">
      <c r="A19" s="24" t="s">
        <v>26</v>
      </c>
      <c r="B19" s="17"/>
      <c r="C19" s="17"/>
      <c r="D19" s="18"/>
      <c r="E19" s="25">
        <v>5.0</v>
      </c>
      <c r="F19" s="25" t="s">
        <v>21</v>
      </c>
      <c r="G19" s="43">
        <v>2347.0</v>
      </c>
      <c r="H19" s="7" t="s">
        <v>22</v>
      </c>
      <c r="I19" s="7"/>
      <c r="J19" s="7"/>
      <c r="K19" s="26"/>
      <c r="L19" s="26"/>
      <c r="M19" s="7">
        <v>600.0</v>
      </c>
      <c r="N19" s="7"/>
      <c r="O19" s="26"/>
      <c r="P19" s="7"/>
      <c r="Q19" s="7">
        <v>600.0</v>
      </c>
      <c r="R19" s="27"/>
      <c r="S19" s="28"/>
      <c r="T19" s="28"/>
      <c r="U19" s="28"/>
      <c r="V19" s="27"/>
      <c r="W19" s="27"/>
      <c r="X19" s="28">
        <v>600.0</v>
      </c>
      <c r="Y19" s="28"/>
      <c r="Z19" s="27"/>
      <c r="AA19" s="28"/>
      <c r="AB19" s="28">
        <v>600.0</v>
      </c>
      <c r="AC19" s="28"/>
      <c r="AD19" s="28"/>
      <c r="AE19" s="28">
        <v>600.0</v>
      </c>
      <c r="AF19" s="27"/>
      <c r="AG19" s="28"/>
      <c r="AH19" s="28"/>
      <c r="AI19" s="28"/>
      <c r="AJ19" s="27"/>
      <c r="AK19" s="27"/>
      <c r="AL19" s="28"/>
      <c r="AM19" s="27"/>
      <c r="AN19" s="29">
        <f>G19+SUM(I19:AM19)-SUM(I20:AM20)</f>
        <v>1657</v>
      </c>
      <c r="AO19" s="29">
        <f>ROUNDDOWN((AN19/E19)/$H$4,1)</f>
        <v>11</v>
      </c>
      <c r="AP19" s="29">
        <f>$M$4+AO19</f>
        <v>983</v>
      </c>
    </row>
    <row r="20">
      <c r="A20" s="31"/>
      <c r="B20" s="17"/>
      <c r="C20" s="17"/>
      <c r="D20" s="17"/>
      <c r="E20" s="17"/>
      <c r="F20" s="18"/>
      <c r="G20" s="26"/>
      <c r="H20" s="7" t="s">
        <v>23</v>
      </c>
      <c r="I20" s="7"/>
      <c r="J20" s="7"/>
      <c r="K20" s="7"/>
      <c r="L20" s="7">
        <f>120+90</f>
        <v>210</v>
      </c>
      <c r="M20" s="7"/>
      <c r="N20" s="7">
        <f>120+270</f>
        <v>390</v>
      </c>
      <c r="O20" s="7"/>
      <c r="P20" s="7">
        <v>270.0</v>
      </c>
      <c r="Q20" s="7">
        <v>120.0</v>
      </c>
      <c r="R20" s="28"/>
      <c r="S20" s="28"/>
      <c r="T20" s="28">
        <v>120.0</v>
      </c>
      <c r="U20" s="28">
        <v>270.0</v>
      </c>
      <c r="V20" s="28"/>
      <c r="W20" s="28">
        <v>120.0</v>
      </c>
      <c r="X20" s="28"/>
      <c r="Y20" s="28"/>
      <c r="Z20" s="28">
        <v>120.0</v>
      </c>
      <c r="AA20" s="28">
        <v>270.0</v>
      </c>
      <c r="AB20" s="28">
        <v>120.0</v>
      </c>
      <c r="AC20" s="28">
        <v>270.0</v>
      </c>
      <c r="AD20" s="28">
        <v>120.0</v>
      </c>
      <c r="AE20" s="28">
        <f>120+270</f>
        <v>390</v>
      </c>
      <c r="AF20" s="28"/>
      <c r="AG20" s="28"/>
      <c r="AH20" s="28">
        <v>120.0</v>
      </c>
      <c r="AI20" s="28">
        <v>270.0</v>
      </c>
      <c r="AJ20" s="28">
        <v>120.0</v>
      </c>
      <c r="AK20" s="28">
        <f>120+270</f>
        <v>390</v>
      </c>
      <c r="AL20" s="28"/>
      <c r="AM20" s="27"/>
      <c r="AN20" s="32"/>
      <c r="AO20" s="32"/>
      <c r="AP20" s="32"/>
    </row>
    <row r="21">
      <c r="A21" s="33"/>
      <c r="B21" s="33"/>
      <c r="C21" s="33"/>
      <c r="D21" s="33"/>
      <c r="E21" s="25"/>
      <c r="F21" s="25"/>
      <c r="G21" s="7"/>
      <c r="H21" s="7"/>
      <c r="I21" s="26"/>
      <c r="J21" s="26"/>
      <c r="K21" s="26"/>
      <c r="L21" s="37"/>
      <c r="M21" s="36"/>
      <c r="N21" s="37"/>
      <c r="O21" s="36"/>
      <c r="P21" s="37"/>
      <c r="Q21" s="37"/>
      <c r="R21" s="27"/>
      <c r="S21" s="10"/>
      <c r="T21" s="6"/>
      <c r="U21" s="6"/>
      <c r="V21" s="10"/>
      <c r="W21" s="6"/>
      <c r="X21" s="10"/>
      <c r="Y21" s="27"/>
      <c r="Z21" s="6"/>
      <c r="AA21" s="6"/>
      <c r="AB21" s="6"/>
      <c r="AC21" s="6"/>
      <c r="AD21" s="6"/>
      <c r="AE21" s="6"/>
      <c r="AF21" s="27"/>
      <c r="AG21" s="10"/>
      <c r="AH21" s="6"/>
      <c r="AI21" s="6"/>
      <c r="AJ21" s="6"/>
      <c r="AK21" s="6"/>
      <c r="AL21" s="10"/>
      <c r="AM21" s="27"/>
      <c r="AN21" s="39"/>
      <c r="AO21" s="39"/>
      <c r="AP21" s="39"/>
    </row>
    <row r="22">
      <c r="A22" s="24" t="s">
        <v>27</v>
      </c>
      <c r="B22" s="17"/>
      <c r="C22" s="17"/>
      <c r="D22" s="18"/>
      <c r="E22" s="25">
        <v>4.0</v>
      </c>
      <c r="F22" s="25" t="s">
        <v>21</v>
      </c>
      <c r="G22" s="7">
        <v>1933.0</v>
      </c>
      <c r="H22" s="7" t="s">
        <v>22</v>
      </c>
      <c r="I22" s="7"/>
      <c r="J22" s="26"/>
      <c r="K22" s="7"/>
      <c r="L22" s="26"/>
      <c r="M22" s="26"/>
      <c r="N22" s="26"/>
      <c r="O22" s="7">
        <v>720.0</v>
      </c>
      <c r="P22" s="7"/>
      <c r="Q22" s="26"/>
      <c r="R22" s="28"/>
      <c r="S22" s="27"/>
      <c r="T22" s="28">
        <v>720.0</v>
      </c>
      <c r="U22" s="28"/>
      <c r="V22" s="27"/>
      <c r="W22" s="27"/>
      <c r="X22" s="28">
        <v>720.0</v>
      </c>
      <c r="Y22" s="28"/>
      <c r="Z22" s="27"/>
      <c r="AA22" s="27"/>
      <c r="AB22" s="28">
        <v>600.0</v>
      </c>
      <c r="AC22" s="27"/>
      <c r="AD22" s="28"/>
      <c r="AE22" s="28">
        <v>720.0</v>
      </c>
      <c r="AF22" s="28"/>
      <c r="AG22" s="28"/>
      <c r="AH22" s="27"/>
      <c r="AI22" s="28"/>
      <c r="AJ22" s="27"/>
      <c r="AK22" s="28"/>
      <c r="AL22" s="28"/>
      <c r="AM22" s="28"/>
      <c r="AN22" s="29">
        <f>G22+SUM(I22:AM22)-SUM(I23:AM23)</f>
        <v>1993</v>
      </c>
      <c r="AO22" s="29">
        <f>ROUNDDOWN((AN22/E22)/$H$4,1)</f>
        <v>16.6</v>
      </c>
      <c r="AP22" s="29">
        <f>$M$4+AO22</f>
        <v>988.6</v>
      </c>
    </row>
    <row r="23">
      <c r="A23" s="31"/>
      <c r="B23" s="17"/>
      <c r="C23" s="17"/>
      <c r="D23" s="17"/>
      <c r="E23" s="17"/>
      <c r="F23" s="18"/>
      <c r="G23" s="26"/>
      <c r="H23" s="7" t="s">
        <v>23</v>
      </c>
      <c r="I23" s="7"/>
      <c r="J23" s="7"/>
      <c r="K23" s="7"/>
      <c r="L23" s="7">
        <v>240.0</v>
      </c>
      <c r="M23" s="7"/>
      <c r="N23" s="7">
        <v>480.0</v>
      </c>
      <c r="O23" s="7">
        <v>240.0</v>
      </c>
      <c r="P23" s="7"/>
      <c r="Q23" s="7">
        <v>360.0</v>
      </c>
      <c r="R23" s="28"/>
      <c r="S23" s="28"/>
      <c r="T23" s="28">
        <v>360.0</v>
      </c>
      <c r="U23" s="28"/>
      <c r="V23" s="28"/>
      <c r="W23" s="28">
        <v>300.0</v>
      </c>
      <c r="X23" s="28"/>
      <c r="Y23" s="28"/>
      <c r="Z23" s="28"/>
      <c r="AA23" s="28"/>
      <c r="AB23" s="28">
        <v>240.0</v>
      </c>
      <c r="AC23" s="28"/>
      <c r="AD23" s="28">
        <v>240.0</v>
      </c>
      <c r="AE23" s="28">
        <v>240.0</v>
      </c>
      <c r="AF23" s="28"/>
      <c r="AG23" s="28"/>
      <c r="AH23" s="28">
        <v>240.0</v>
      </c>
      <c r="AI23" s="28"/>
      <c r="AJ23" s="28">
        <v>240.0</v>
      </c>
      <c r="AK23" s="28">
        <v>240.0</v>
      </c>
      <c r="AL23" s="28"/>
      <c r="AM23" s="27"/>
      <c r="AN23" s="32"/>
      <c r="AO23" s="32"/>
      <c r="AP23" s="32"/>
    </row>
    <row r="24">
      <c r="A24" s="33"/>
      <c r="B24" s="33"/>
      <c r="C24" s="33"/>
      <c r="D24" s="33"/>
      <c r="E24" s="25"/>
      <c r="F24" s="25"/>
      <c r="G24" s="7"/>
      <c r="H24" s="7"/>
      <c r="I24" s="7"/>
      <c r="J24" s="26"/>
      <c r="K24" s="26"/>
      <c r="L24" s="37"/>
      <c r="M24" s="36"/>
      <c r="N24" s="37"/>
      <c r="O24" s="37"/>
      <c r="P24" s="36"/>
      <c r="Q24" s="37"/>
      <c r="R24" s="27"/>
      <c r="S24" s="10"/>
      <c r="T24" s="6"/>
      <c r="U24" s="10"/>
      <c r="V24" s="10"/>
      <c r="W24" s="6"/>
      <c r="X24" s="10"/>
      <c r="Y24" s="27"/>
      <c r="Z24" s="10"/>
      <c r="AA24" s="10"/>
      <c r="AB24" s="6"/>
      <c r="AC24" s="10"/>
      <c r="AD24" s="6"/>
      <c r="AE24" s="6"/>
      <c r="AF24" s="27"/>
      <c r="AG24" s="10"/>
      <c r="AH24" s="6"/>
      <c r="AI24" s="10"/>
      <c r="AJ24" s="6"/>
      <c r="AK24" s="6"/>
      <c r="AL24" s="10"/>
      <c r="AM24" s="27"/>
      <c r="AN24" s="39"/>
      <c r="AO24" s="39"/>
      <c r="AP24" s="39"/>
    </row>
    <row r="25">
      <c r="A25" s="24" t="s">
        <v>28</v>
      </c>
      <c r="B25" s="17"/>
      <c r="C25" s="17"/>
      <c r="D25" s="18"/>
      <c r="E25" s="25">
        <v>4.0</v>
      </c>
      <c r="F25" s="25" t="s">
        <v>21</v>
      </c>
      <c r="G25" s="7">
        <f>427*4</f>
        <v>1708</v>
      </c>
      <c r="H25" s="7" t="s">
        <v>22</v>
      </c>
      <c r="I25" s="7"/>
      <c r="J25" s="7"/>
      <c r="K25" s="7"/>
      <c r="L25" s="26"/>
      <c r="M25" s="7"/>
      <c r="N25" s="7"/>
      <c r="O25" s="26"/>
      <c r="P25" s="7"/>
      <c r="Q25" s="7">
        <v>480.0</v>
      </c>
      <c r="R25" s="28"/>
      <c r="S25" s="27"/>
      <c r="T25" s="28"/>
      <c r="U25" s="28"/>
      <c r="V25" s="27"/>
      <c r="W25" s="27"/>
      <c r="X25" s="27">
        <f>120*4</f>
        <v>480</v>
      </c>
      <c r="Y25" s="28"/>
      <c r="Z25" s="27"/>
      <c r="AA25" s="28"/>
      <c r="AB25" s="28">
        <v>480.0</v>
      </c>
      <c r="AC25" s="27"/>
      <c r="AD25" s="28"/>
      <c r="AE25" s="28">
        <v>480.0</v>
      </c>
      <c r="AF25" s="28"/>
      <c r="AG25" s="28"/>
      <c r="AH25" s="28">
        <v>600.0</v>
      </c>
      <c r="AI25" s="28"/>
      <c r="AJ25" s="27"/>
      <c r="AK25" s="28">
        <v>720.0</v>
      </c>
      <c r="AL25" s="28"/>
      <c r="AM25" s="28"/>
      <c r="AN25" s="29">
        <f>G25+SUM(I25:AM25)-SUM(I26:AM26)</f>
        <v>1900</v>
      </c>
      <c r="AO25" s="29">
        <f>ROUNDDOWN((AN25/E25)/$H$4,1)</f>
        <v>15.8</v>
      </c>
      <c r="AP25" s="29">
        <f>$M$4+AO25</f>
        <v>987.8</v>
      </c>
    </row>
    <row r="26">
      <c r="A26" s="31"/>
      <c r="B26" s="17"/>
      <c r="C26" s="17"/>
      <c r="D26" s="17"/>
      <c r="E26" s="17"/>
      <c r="F26" s="18"/>
      <c r="G26" s="26"/>
      <c r="H26" s="7" t="s">
        <v>23</v>
      </c>
      <c r="I26" s="7"/>
      <c r="J26" s="7"/>
      <c r="K26" s="7"/>
      <c r="L26" s="7">
        <v>868.0</v>
      </c>
      <c r="M26" s="7"/>
      <c r="N26" s="7"/>
      <c r="O26" s="7"/>
      <c r="P26" s="7"/>
      <c r="Q26" s="26"/>
      <c r="R26" s="27"/>
      <c r="S26" s="28"/>
      <c r="T26" s="28">
        <v>720.0</v>
      </c>
      <c r="U26" s="27"/>
      <c r="V26" s="28"/>
      <c r="W26" s="27"/>
      <c r="X26" s="28"/>
      <c r="Y26" s="28"/>
      <c r="Z26" s="27"/>
      <c r="AA26" s="28"/>
      <c r="AB26" s="28">
        <v>720.0</v>
      </c>
      <c r="AC26" s="28"/>
      <c r="AD26" s="27"/>
      <c r="AE26" s="28"/>
      <c r="AF26" s="28"/>
      <c r="AG26" s="27"/>
      <c r="AH26" s="28">
        <v>740.0</v>
      </c>
      <c r="AI26" s="28"/>
      <c r="AJ26" s="28"/>
      <c r="AK26" s="27"/>
      <c r="AL26" s="27"/>
      <c r="AM26" s="27"/>
      <c r="AN26" s="32"/>
      <c r="AO26" s="32"/>
      <c r="AP26" s="32"/>
    </row>
    <row r="27">
      <c r="A27" s="33"/>
      <c r="B27" s="33"/>
      <c r="C27" s="33"/>
      <c r="D27" s="33"/>
      <c r="E27" s="25"/>
      <c r="F27" s="25"/>
      <c r="G27" s="7"/>
      <c r="H27" s="7"/>
      <c r="I27" s="7"/>
      <c r="J27" s="26"/>
      <c r="K27" s="26"/>
      <c r="L27" s="37"/>
      <c r="M27" s="36"/>
      <c r="N27" s="36"/>
      <c r="O27" s="36"/>
      <c r="P27" s="36"/>
      <c r="Q27" s="36"/>
      <c r="R27" s="27"/>
      <c r="S27" s="38"/>
      <c r="T27" s="6"/>
      <c r="U27" s="10"/>
      <c r="V27" s="38"/>
      <c r="W27" s="10"/>
      <c r="X27" s="10"/>
      <c r="Y27" s="27"/>
      <c r="Z27" s="10"/>
      <c r="AA27" s="10"/>
      <c r="AB27" s="6"/>
      <c r="AC27" s="10"/>
      <c r="AD27" s="10"/>
      <c r="AE27" s="10"/>
      <c r="AF27" s="27"/>
      <c r="AG27" s="10"/>
      <c r="AH27" s="42"/>
      <c r="AI27" s="10"/>
      <c r="AJ27" s="10"/>
      <c r="AK27" s="10"/>
      <c r="AL27" s="10"/>
      <c r="AM27" s="27"/>
      <c r="AN27" s="39"/>
      <c r="AO27" s="39"/>
      <c r="AP27" s="39"/>
    </row>
    <row r="28">
      <c r="A28" s="24" t="s">
        <v>29</v>
      </c>
      <c r="B28" s="17"/>
      <c r="C28" s="17"/>
      <c r="D28" s="18"/>
      <c r="E28" s="25">
        <v>1.0</v>
      </c>
      <c r="F28" s="25" t="s">
        <v>30</v>
      </c>
      <c r="G28" s="7">
        <v>130.0</v>
      </c>
      <c r="H28" s="7" t="s">
        <v>22</v>
      </c>
      <c r="I28" s="7"/>
      <c r="J28" s="7"/>
      <c r="K28" s="7"/>
      <c r="L28" s="7">
        <f>70+30</f>
        <v>100</v>
      </c>
      <c r="M28" s="7">
        <v>50.0</v>
      </c>
      <c r="N28" s="7"/>
      <c r="O28" s="7"/>
      <c r="P28" s="26"/>
      <c r="Q28" s="7">
        <v>100.0</v>
      </c>
      <c r="R28" s="28"/>
      <c r="S28" s="28">
        <v>50.0</v>
      </c>
      <c r="T28" s="28"/>
      <c r="U28" s="27"/>
      <c r="V28" s="28">
        <v>100.0</v>
      </c>
      <c r="W28" s="27"/>
      <c r="X28" s="28"/>
      <c r="Y28" s="28"/>
      <c r="Z28" s="28"/>
      <c r="AA28" s="28">
        <v>100.0</v>
      </c>
      <c r="AB28" s="28"/>
      <c r="AC28" s="28"/>
      <c r="AD28" s="27"/>
      <c r="AE28" s="28">
        <v>100.0</v>
      </c>
      <c r="AF28" s="28"/>
      <c r="AG28" s="28"/>
      <c r="AH28" s="28">
        <v>50.0</v>
      </c>
      <c r="AI28" s="28"/>
      <c r="AJ28" s="28"/>
      <c r="AK28" s="28"/>
      <c r="AL28" s="27"/>
      <c r="AM28" s="27"/>
      <c r="AN28" s="29">
        <f>G28+SUM(I28:AM28)-SUM(I29:AM29)</f>
        <v>70</v>
      </c>
      <c r="AO28" s="29">
        <f>ROUNDDOWN((AN28/E28)/$H$4,1)</f>
        <v>2.3</v>
      </c>
      <c r="AP28" s="29">
        <f>$M$4+AO28</f>
        <v>974.3</v>
      </c>
    </row>
    <row r="29">
      <c r="A29" s="31"/>
      <c r="B29" s="17"/>
      <c r="C29" s="17"/>
      <c r="D29" s="17"/>
      <c r="E29" s="17"/>
      <c r="F29" s="18"/>
      <c r="G29" s="26"/>
      <c r="H29" s="7" t="s">
        <v>23</v>
      </c>
      <c r="I29" s="7"/>
      <c r="J29" s="7"/>
      <c r="K29" s="7"/>
      <c r="L29" s="7">
        <v>27.0</v>
      </c>
      <c r="M29" s="7">
        <v>40.0</v>
      </c>
      <c r="N29" s="7">
        <v>39.0</v>
      </c>
      <c r="O29" s="7">
        <v>35.0</v>
      </c>
      <c r="P29" s="7">
        <v>34.0</v>
      </c>
      <c r="Q29" s="7">
        <v>31.0</v>
      </c>
      <c r="R29" s="28"/>
      <c r="S29" s="28">
        <v>35.0</v>
      </c>
      <c r="T29" s="28">
        <v>37.0</v>
      </c>
      <c r="U29" s="28">
        <v>29.0</v>
      </c>
      <c r="V29" s="28">
        <v>32.0</v>
      </c>
      <c r="W29" s="28">
        <v>29.0</v>
      </c>
      <c r="X29" s="28"/>
      <c r="Y29" s="28"/>
      <c r="Z29" s="28">
        <v>42.0</v>
      </c>
      <c r="AA29" s="28"/>
      <c r="AB29" s="28">
        <v>27.0</v>
      </c>
      <c r="AC29" s="28">
        <v>30.0</v>
      </c>
      <c r="AD29" s="28">
        <v>25.0</v>
      </c>
      <c r="AE29" s="28">
        <v>22.0</v>
      </c>
      <c r="AF29" s="28"/>
      <c r="AG29" s="28">
        <v>30.0</v>
      </c>
      <c r="AH29" s="28">
        <v>39.0</v>
      </c>
      <c r="AI29" s="28">
        <v>40.0</v>
      </c>
      <c r="AJ29" s="28">
        <v>34.0</v>
      </c>
      <c r="AK29" s="28">
        <v>27.0</v>
      </c>
      <c r="AL29" s="28">
        <v>26.0</v>
      </c>
      <c r="AM29" s="28"/>
      <c r="AN29" s="32"/>
      <c r="AO29" s="32"/>
      <c r="AP29" s="32"/>
    </row>
    <row r="30">
      <c r="A30" s="44"/>
      <c r="B30" s="44"/>
      <c r="C30" s="44"/>
      <c r="D30" s="44"/>
      <c r="E30" s="44"/>
      <c r="F30" s="44"/>
      <c r="G30" s="45"/>
      <c r="H30" s="45"/>
      <c r="I30" s="268"/>
      <c r="J30" s="268"/>
      <c r="K30" s="268"/>
      <c r="L30" s="46"/>
      <c r="M30" s="46"/>
      <c r="N30" s="46"/>
      <c r="O30" s="46"/>
      <c r="P30" s="46"/>
      <c r="Q30" s="46"/>
      <c r="R30" s="27"/>
      <c r="S30" s="6"/>
      <c r="T30" s="6"/>
      <c r="U30" s="6"/>
      <c r="V30" s="6"/>
      <c r="W30" s="6"/>
      <c r="X30" s="10"/>
      <c r="Y30" s="27"/>
      <c r="Z30" s="6"/>
      <c r="AA30" s="10"/>
      <c r="AB30" s="6"/>
      <c r="AC30" s="6"/>
      <c r="AD30" s="6"/>
      <c r="AE30" s="6"/>
      <c r="AF30" s="27"/>
      <c r="AG30" s="6"/>
      <c r="AH30" s="6"/>
      <c r="AI30" s="6"/>
      <c r="AJ30" s="6"/>
      <c r="AK30" s="6"/>
      <c r="AL30" s="6"/>
      <c r="AM30" s="27"/>
      <c r="AN30" s="48"/>
      <c r="AO30" s="48"/>
      <c r="AP30" s="48"/>
    </row>
    <row r="31">
      <c r="A31" s="50" t="s">
        <v>31</v>
      </c>
      <c r="B31" s="17"/>
      <c r="C31" s="17"/>
      <c r="D31" s="17"/>
      <c r="E31" s="17"/>
      <c r="F31" s="18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</row>
    <row r="32">
      <c r="A32" s="24" t="s">
        <v>32</v>
      </c>
      <c r="B32" s="17"/>
      <c r="C32" s="17"/>
      <c r="D32" s="18"/>
      <c r="E32" s="25">
        <v>2.0</v>
      </c>
      <c r="F32" s="25" t="s">
        <v>21</v>
      </c>
      <c r="G32" s="7">
        <f>34+54</f>
        <v>88</v>
      </c>
      <c r="H32" s="7" t="s">
        <v>22</v>
      </c>
      <c r="I32" s="7"/>
      <c r="J32" s="7"/>
      <c r="K32" s="7"/>
      <c r="L32" s="7">
        <f>15+60</f>
        <v>75</v>
      </c>
      <c r="M32" s="7">
        <f>45+30</f>
        <v>75</v>
      </c>
      <c r="N32" s="7">
        <f>60+15</f>
        <v>75</v>
      </c>
      <c r="O32" s="7">
        <f>15+45</f>
        <v>60</v>
      </c>
      <c r="P32" s="7">
        <f>30+30+15</f>
        <v>75</v>
      </c>
      <c r="Q32" s="7">
        <v>30.0</v>
      </c>
      <c r="R32" s="28"/>
      <c r="S32" s="28">
        <f>45+30+30</f>
        <v>105</v>
      </c>
      <c r="T32" s="28">
        <v>30.0</v>
      </c>
      <c r="U32" s="28">
        <f>45+45+15</f>
        <v>105</v>
      </c>
      <c r="V32" s="28">
        <f>45+15</f>
        <v>60</v>
      </c>
      <c r="W32" s="28">
        <f>15+30</f>
        <v>45</v>
      </c>
      <c r="X32" s="28">
        <v>60.0</v>
      </c>
      <c r="Y32" s="28"/>
      <c r="Z32" s="28">
        <v>45.0</v>
      </c>
      <c r="AA32" s="28">
        <f>45+45</f>
        <v>90</v>
      </c>
      <c r="AB32" s="28">
        <f>30+45</f>
        <v>75</v>
      </c>
      <c r="AC32" s="28"/>
      <c r="AD32" s="28"/>
      <c r="AE32" s="28"/>
      <c r="AF32" s="28"/>
      <c r="AG32" s="28">
        <f>45+15</f>
        <v>60</v>
      </c>
      <c r="AH32" s="28"/>
      <c r="AI32" s="28"/>
      <c r="AJ32" s="28">
        <f>15+60</f>
        <v>75</v>
      </c>
      <c r="AK32" s="28">
        <f>75+30</f>
        <v>105</v>
      </c>
      <c r="AL32" s="28">
        <v>90.0</v>
      </c>
      <c r="AM32" s="28"/>
      <c r="AN32" s="29">
        <f>G32+SUM(I32:AM32)-SUM(I33:AM33)</f>
        <v>161</v>
      </c>
      <c r="AO32" s="236">
        <f>ROUNDDOWN((AN32/E32)/$H$4,1)</f>
        <v>2.6</v>
      </c>
      <c r="AP32" s="236">
        <f>$M$3+AO32</f>
        <v>971.6</v>
      </c>
    </row>
    <row r="33">
      <c r="A33" s="31"/>
      <c r="B33" s="17"/>
      <c r="C33" s="17"/>
      <c r="D33" s="17"/>
      <c r="E33" s="17"/>
      <c r="F33" s="18"/>
      <c r="G33" s="26"/>
      <c r="H33" s="7" t="s">
        <v>23</v>
      </c>
      <c r="I33" s="7"/>
      <c r="J33" s="7"/>
      <c r="K33" s="7"/>
      <c r="L33" s="7">
        <v>54.0</v>
      </c>
      <c r="M33" s="7">
        <v>80.0</v>
      </c>
      <c r="N33" s="7">
        <v>78.0</v>
      </c>
      <c r="O33" s="7">
        <v>70.0</v>
      </c>
      <c r="P33" s="7">
        <v>68.0</v>
      </c>
      <c r="Q33" s="7">
        <v>62.0</v>
      </c>
      <c r="R33" s="28"/>
      <c r="S33" s="28">
        <v>70.0</v>
      </c>
      <c r="T33" s="28">
        <v>74.0</v>
      </c>
      <c r="U33" s="28">
        <v>58.0</v>
      </c>
      <c r="V33" s="28">
        <v>64.0</v>
      </c>
      <c r="W33" s="28">
        <v>58.0</v>
      </c>
      <c r="X33" s="28"/>
      <c r="Y33" s="28"/>
      <c r="Z33" s="28">
        <v>84.0</v>
      </c>
      <c r="AA33" s="28"/>
      <c r="AB33" s="28">
        <v>54.0</v>
      </c>
      <c r="AC33" s="28">
        <v>60.0</v>
      </c>
      <c r="AD33" s="28">
        <v>50.0</v>
      </c>
      <c r="AE33" s="28">
        <v>44.0</v>
      </c>
      <c r="AF33" s="28"/>
      <c r="AG33" s="28">
        <v>60.0</v>
      </c>
      <c r="AH33" s="28"/>
      <c r="AI33" s="28"/>
      <c r="AJ33" s="28">
        <v>68.0</v>
      </c>
      <c r="AK33" s="28">
        <v>54.0</v>
      </c>
      <c r="AL33" s="28">
        <v>52.0</v>
      </c>
      <c r="AM33" s="28"/>
      <c r="AN33" s="32"/>
      <c r="AO33" s="32"/>
      <c r="AP33" s="32"/>
    </row>
    <row r="34">
      <c r="A34" s="33"/>
      <c r="B34" s="33"/>
      <c r="C34" s="33"/>
      <c r="D34" s="33"/>
      <c r="E34" s="25"/>
      <c r="F34" s="25"/>
      <c r="G34" s="7"/>
      <c r="H34" s="7"/>
      <c r="I34" s="7"/>
      <c r="J34" s="26"/>
      <c r="K34" s="7"/>
      <c r="L34" s="41"/>
      <c r="M34" s="41"/>
      <c r="N34" s="41"/>
      <c r="O34" s="37"/>
      <c r="P34" s="41"/>
      <c r="Q34" s="37"/>
      <c r="R34" s="28"/>
      <c r="S34" s="42"/>
      <c r="T34" s="6"/>
      <c r="U34" s="42"/>
      <c r="V34" s="42"/>
      <c r="W34" s="42"/>
      <c r="X34" s="10"/>
      <c r="Y34" s="27"/>
      <c r="Z34" s="6"/>
      <c r="AA34" s="10"/>
      <c r="AB34" s="42"/>
      <c r="AC34" s="42"/>
      <c r="AD34" s="42"/>
      <c r="AE34" s="6"/>
      <c r="AF34" s="27"/>
      <c r="AG34" s="6"/>
      <c r="AH34" s="38"/>
      <c r="AI34" s="10"/>
      <c r="AJ34" s="6"/>
      <c r="AK34" s="6"/>
      <c r="AL34" s="6"/>
      <c r="AM34" s="27"/>
      <c r="AN34" s="39"/>
      <c r="AO34" s="237"/>
      <c r="AP34" s="237"/>
    </row>
    <row r="35">
      <c r="A35" s="24" t="s">
        <v>33</v>
      </c>
      <c r="B35" s="17"/>
      <c r="C35" s="17"/>
      <c r="D35" s="18"/>
      <c r="E35" s="25">
        <v>2.0</v>
      </c>
      <c r="F35" s="25" t="s">
        <v>21</v>
      </c>
      <c r="G35" s="7">
        <f>49+54</f>
        <v>103</v>
      </c>
      <c r="H35" s="7" t="s">
        <v>22</v>
      </c>
      <c r="I35" s="7"/>
      <c r="J35" s="7"/>
      <c r="K35" s="7"/>
      <c r="L35" s="7">
        <f>15+60</f>
        <v>75</v>
      </c>
      <c r="M35" s="7">
        <f>45+30</f>
        <v>75</v>
      </c>
      <c r="N35" s="7">
        <f>60+15</f>
        <v>75</v>
      </c>
      <c r="O35" s="7">
        <f>15+45</f>
        <v>60</v>
      </c>
      <c r="P35" s="7">
        <f>30+30+15</f>
        <v>75</v>
      </c>
      <c r="Q35" s="7">
        <v>30.0</v>
      </c>
      <c r="R35" s="28"/>
      <c r="S35" s="28">
        <f>45+30+30</f>
        <v>105</v>
      </c>
      <c r="T35" s="28">
        <v>30.0</v>
      </c>
      <c r="U35" s="28">
        <f>45+45+15</f>
        <v>105</v>
      </c>
      <c r="V35" s="28">
        <f>45+15</f>
        <v>60</v>
      </c>
      <c r="W35" s="28">
        <f>15+30</f>
        <v>45</v>
      </c>
      <c r="X35" s="28">
        <v>60.0</v>
      </c>
      <c r="Y35" s="28"/>
      <c r="Z35" s="28">
        <v>45.0</v>
      </c>
      <c r="AA35" s="28">
        <f>45+45</f>
        <v>90</v>
      </c>
      <c r="AB35" s="28">
        <f>30+45</f>
        <v>75</v>
      </c>
      <c r="AC35" s="28"/>
      <c r="AD35" s="28"/>
      <c r="AE35" s="28"/>
      <c r="AF35" s="28"/>
      <c r="AG35" s="28">
        <f>45+15</f>
        <v>60</v>
      </c>
      <c r="AH35" s="28"/>
      <c r="AI35" s="28"/>
      <c r="AJ35" s="28">
        <f>15+60</f>
        <v>75</v>
      </c>
      <c r="AK35" s="28">
        <f>75+30</f>
        <v>105</v>
      </c>
      <c r="AL35" s="28">
        <v>90.0</v>
      </c>
      <c r="AM35" s="28"/>
      <c r="AN35" s="29">
        <f>G35+SUM(I35:AM35)-SUM(I36:AM36)</f>
        <v>176</v>
      </c>
      <c r="AO35" s="236">
        <f>ROUNDDOWN((AN35/E35)/$H$4,1)</f>
        <v>2.9</v>
      </c>
      <c r="AP35" s="236">
        <f>$M$3+AO35</f>
        <v>971.9</v>
      </c>
    </row>
    <row r="36">
      <c r="A36" s="31"/>
      <c r="B36" s="17"/>
      <c r="C36" s="17"/>
      <c r="D36" s="17"/>
      <c r="E36" s="17"/>
      <c r="F36" s="18"/>
      <c r="G36" s="26"/>
      <c r="H36" s="7" t="s">
        <v>23</v>
      </c>
      <c r="I36" s="7"/>
      <c r="J36" s="7"/>
      <c r="K36" s="7"/>
      <c r="L36" s="7">
        <v>54.0</v>
      </c>
      <c r="M36" s="7">
        <v>80.0</v>
      </c>
      <c r="N36" s="7">
        <v>78.0</v>
      </c>
      <c r="O36" s="7">
        <v>70.0</v>
      </c>
      <c r="P36" s="7">
        <v>68.0</v>
      </c>
      <c r="Q36" s="7">
        <v>62.0</v>
      </c>
      <c r="R36" s="28"/>
      <c r="S36" s="28">
        <v>70.0</v>
      </c>
      <c r="T36" s="28">
        <v>74.0</v>
      </c>
      <c r="U36" s="28">
        <v>58.0</v>
      </c>
      <c r="V36" s="28">
        <v>64.0</v>
      </c>
      <c r="W36" s="28">
        <v>58.0</v>
      </c>
      <c r="X36" s="28"/>
      <c r="Y36" s="28"/>
      <c r="Z36" s="28">
        <v>84.0</v>
      </c>
      <c r="AA36" s="28"/>
      <c r="AB36" s="28">
        <v>54.0</v>
      </c>
      <c r="AC36" s="28">
        <v>60.0</v>
      </c>
      <c r="AD36" s="28">
        <v>50.0</v>
      </c>
      <c r="AE36" s="28">
        <v>44.0</v>
      </c>
      <c r="AF36" s="28"/>
      <c r="AG36" s="28">
        <v>60.0</v>
      </c>
      <c r="AH36" s="28"/>
      <c r="AI36" s="28"/>
      <c r="AJ36" s="28">
        <v>68.0</v>
      </c>
      <c r="AK36" s="28">
        <v>54.0</v>
      </c>
      <c r="AL36" s="28">
        <v>52.0</v>
      </c>
      <c r="AM36" s="28"/>
      <c r="AN36" s="32"/>
      <c r="AO36" s="32"/>
      <c r="AP36" s="32"/>
    </row>
    <row r="37">
      <c r="A37" s="33"/>
      <c r="B37" s="33"/>
      <c r="C37" s="33"/>
      <c r="D37" s="33"/>
      <c r="E37" s="25"/>
      <c r="F37" s="25"/>
      <c r="G37" s="7"/>
      <c r="H37" s="7"/>
      <c r="I37" s="26"/>
      <c r="J37" s="26"/>
      <c r="K37" s="26"/>
      <c r="L37" s="37"/>
      <c r="M37" s="37"/>
      <c r="N37" s="37"/>
      <c r="O37" s="37"/>
      <c r="P37" s="37"/>
      <c r="Q37" s="37"/>
      <c r="R37" s="28"/>
      <c r="S37" s="6"/>
      <c r="T37" s="6"/>
      <c r="U37" s="6"/>
      <c r="V37" s="6"/>
      <c r="W37" s="6"/>
      <c r="X37" s="10"/>
      <c r="Y37" s="27"/>
      <c r="Z37" s="6"/>
      <c r="AA37" s="10"/>
      <c r="AB37" s="6"/>
      <c r="AC37" s="6"/>
      <c r="AD37" s="6"/>
      <c r="AE37" s="6"/>
      <c r="AF37" s="27"/>
      <c r="AG37" s="6"/>
      <c r="AH37" s="10"/>
      <c r="AI37" s="10"/>
      <c r="AJ37" s="6"/>
      <c r="AK37" s="6"/>
      <c r="AL37" s="42"/>
      <c r="AM37" s="27"/>
      <c r="AN37" s="39"/>
      <c r="AO37" s="237"/>
      <c r="AP37" s="237"/>
    </row>
    <row r="38">
      <c r="A38" s="24" t="s">
        <v>34</v>
      </c>
      <c r="B38" s="17"/>
      <c r="C38" s="17"/>
      <c r="D38" s="18"/>
      <c r="E38" s="25">
        <v>1.0</v>
      </c>
      <c r="F38" s="25" t="s">
        <v>21</v>
      </c>
      <c r="G38" s="7">
        <v>1335.0</v>
      </c>
      <c r="H38" s="7" t="s">
        <v>22</v>
      </c>
      <c r="I38" s="26"/>
      <c r="J38" s="26"/>
      <c r="K38" s="26"/>
      <c r="L38" s="26"/>
      <c r="M38" s="26"/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7"/>
      <c r="Y38" s="28"/>
      <c r="Z38" s="27"/>
      <c r="AA38" s="27"/>
      <c r="AB38" s="27"/>
      <c r="AC38" s="27"/>
      <c r="AD38" s="27"/>
      <c r="AE38" s="27"/>
      <c r="AF38" s="28"/>
      <c r="AG38" s="27"/>
      <c r="AH38" s="27"/>
      <c r="AI38" s="27"/>
      <c r="AJ38" s="28"/>
      <c r="AK38" s="28"/>
      <c r="AL38" s="27"/>
      <c r="AM38" s="27"/>
      <c r="AN38" s="29">
        <f>G38+SUM(I38:AM38)-SUM(I39:AM39)</f>
        <v>625</v>
      </c>
      <c r="AO38" s="236">
        <f>ROUNDDOWN((AN38/E38)/$H$4,1)</f>
        <v>20.8</v>
      </c>
      <c r="AP38" s="236">
        <f>$M$3+AO38</f>
        <v>989.8</v>
      </c>
    </row>
    <row r="39">
      <c r="A39" s="31"/>
      <c r="B39" s="17"/>
      <c r="C39" s="17"/>
      <c r="D39" s="17"/>
      <c r="E39" s="17"/>
      <c r="F39" s="18"/>
      <c r="G39" s="26"/>
      <c r="H39" s="7" t="s">
        <v>23</v>
      </c>
      <c r="I39" s="7"/>
      <c r="J39" s="7"/>
      <c r="K39" s="7"/>
      <c r="L39" s="7"/>
      <c r="M39" s="7"/>
      <c r="N39" s="7">
        <v>100.0</v>
      </c>
      <c r="O39" s="7"/>
      <c r="P39" s="7"/>
      <c r="Q39" s="7">
        <v>80.0</v>
      </c>
      <c r="R39" s="28"/>
      <c r="S39" s="28">
        <v>50.0</v>
      </c>
      <c r="T39" s="28"/>
      <c r="U39" s="28"/>
      <c r="V39" s="28">
        <v>80.0</v>
      </c>
      <c r="W39" s="28"/>
      <c r="X39" s="28">
        <v>60.0</v>
      </c>
      <c r="Y39" s="28"/>
      <c r="Z39" s="28"/>
      <c r="AA39" s="28"/>
      <c r="AB39" s="28">
        <v>60.0</v>
      </c>
      <c r="AC39" s="28"/>
      <c r="AD39" s="27"/>
      <c r="AE39" s="28">
        <v>80.0</v>
      </c>
      <c r="AF39" s="28"/>
      <c r="AG39" s="28"/>
      <c r="AH39" s="27"/>
      <c r="AI39" s="28">
        <v>100.0</v>
      </c>
      <c r="AJ39" s="27"/>
      <c r="AK39" s="27"/>
      <c r="AL39" s="28">
        <v>100.0</v>
      </c>
      <c r="AM39" s="27"/>
      <c r="AN39" s="32"/>
      <c r="AO39" s="32"/>
      <c r="AP39" s="32"/>
    </row>
    <row r="40">
      <c r="A40" s="33"/>
      <c r="B40" s="33"/>
      <c r="C40" s="33"/>
      <c r="D40" s="33"/>
      <c r="E40" s="25"/>
      <c r="F40" s="25"/>
      <c r="G40" s="7"/>
      <c r="H40" s="7"/>
      <c r="I40" s="26"/>
      <c r="J40" s="26"/>
      <c r="K40" s="7"/>
      <c r="L40" s="36"/>
      <c r="M40" s="36"/>
      <c r="N40" s="37"/>
      <c r="O40" s="36"/>
      <c r="P40" s="35"/>
      <c r="Q40" s="37"/>
      <c r="R40" s="28"/>
      <c r="S40" s="6"/>
      <c r="T40" s="10"/>
      <c r="U40" s="10"/>
      <c r="V40" s="6"/>
      <c r="W40" s="10"/>
      <c r="X40" s="6"/>
      <c r="Y40" s="27"/>
      <c r="Z40" s="10"/>
      <c r="AA40" s="10"/>
      <c r="AB40" s="6"/>
      <c r="AC40" s="10"/>
      <c r="AD40" s="10"/>
      <c r="AE40" s="6"/>
      <c r="AF40" s="27"/>
      <c r="AG40" s="10"/>
      <c r="AH40" s="10"/>
      <c r="AI40" s="6"/>
      <c r="AJ40" s="10"/>
      <c r="AK40" s="10"/>
      <c r="AL40" s="6"/>
      <c r="AM40" s="27"/>
      <c r="AN40" s="39"/>
      <c r="AO40" s="237"/>
      <c r="AP40" s="237"/>
    </row>
    <row r="41">
      <c r="A41" s="24" t="s">
        <v>35</v>
      </c>
      <c r="B41" s="17"/>
      <c r="C41" s="17"/>
      <c r="D41" s="18"/>
      <c r="E41" s="25">
        <v>1.0</v>
      </c>
      <c r="F41" s="25" t="s">
        <v>21</v>
      </c>
      <c r="G41" s="7">
        <v>1465.0</v>
      </c>
      <c r="H41" s="7" t="s">
        <v>22</v>
      </c>
      <c r="I41" s="26"/>
      <c r="J41" s="26"/>
      <c r="K41" s="26"/>
      <c r="L41" s="26"/>
      <c r="M41" s="26"/>
      <c r="N41" s="7"/>
      <c r="O41" s="26"/>
      <c r="P41" s="26"/>
      <c r="Q41" s="26"/>
      <c r="R41" s="28"/>
      <c r="S41" s="27"/>
      <c r="T41" s="27"/>
      <c r="U41" s="27"/>
      <c r="V41" s="27"/>
      <c r="W41" s="27"/>
      <c r="X41" s="27"/>
      <c r="Y41" s="28"/>
      <c r="Z41" s="27"/>
      <c r="AA41" s="27"/>
      <c r="AB41" s="27"/>
      <c r="AC41" s="27"/>
      <c r="AD41" s="27"/>
      <c r="AE41" s="27"/>
      <c r="AF41" s="28"/>
      <c r="AG41" s="27"/>
      <c r="AH41" s="27"/>
      <c r="AI41" s="27"/>
      <c r="AJ41" s="28"/>
      <c r="AK41" s="28"/>
      <c r="AL41" s="27"/>
      <c r="AM41" s="27"/>
      <c r="AN41" s="29">
        <f>G41+SUM(I41:AM41)-SUM(I42:AM42)</f>
        <v>755</v>
      </c>
      <c r="AO41" s="236">
        <f>ROUNDDOWN((AN41/E41)/$H$4,1)</f>
        <v>25.1</v>
      </c>
      <c r="AP41" s="236">
        <f>$M$3+AO41</f>
        <v>994.1</v>
      </c>
    </row>
    <row r="42">
      <c r="A42" s="31"/>
      <c r="B42" s="17"/>
      <c r="C42" s="17"/>
      <c r="D42" s="17"/>
      <c r="E42" s="17"/>
      <c r="F42" s="18"/>
      <c r="G42" s="26"/>
      <c r="H42" s="7" t="s">
        <v>23</v>
      </c>
      <c r="I42" s="7"/>
      <c r="J42" s="7"/>
      <c r="K42" s="7"/>
      <c r="L42" s="7"/>
      <c r="M42" s="7"/>
      <c r="N42" s="7">
        <v>100.0</v>
      </c>
      <c r="O42" s="7"/>
      <c r="P42" s="7"/>
      <c r="Q42" s="7">
        <v>80.0</v>
      </c>
      <c r="R42" s="28"/>
      <c r="S42" s="28">
        <v>50.0</v>
      </c>
      <c r="T42" s="28"/>
      <c r="U42" s="28"/>
      <c r="V42" s="28">
        <v>80.0</v>
      </c>
      <c r="W42" s="28"/>
      <c r="X42" s="28">
        <v>60.0</v>
      </c>
      <c r="Y42" s="28"/>
      <c r="Z42" s="28"/>
      <c r="AA42" s="28"/>
      <c r="AB42" s="28">
        <v>60.0</v>
      </c>
      <c r="AC42" s="28"/>
      <c r="AD42" s="27"/>
      <c r="AE42" s="28">
        <v>80.0</v>
      </c>
      <c r="AF42" s="28"/>
      <c r="AG42" s="28"/>
      <c r="AH42" s="27"/>
      <c r="AI42" s="28">
        <v>100.0</v>
      </c>
      <c r="AJ42" s="27"/>
      <c r="AK42" s="27"/>
      <c r="AL42" s="28">
        <v>100.0</v>
      </c>
      <c r="AM42" s="27"/>
      <c r="AN42" s="32"/>
      <c r="AO42" s="32"/>
      <c r="AP42" s="32"/>
    </row>
    <row r="43">
      <c r="A43" s="33"/>
      <c r="B43" s="33"/>
      <c r="C43" s="33"/>
      <c r="D43" s="33"/>
      <c r="E43" s="25"/>
      <c r="F43" s="25"/>
      <c r="G43" s="7"/>
      <c r="H43" s="7"/>
      <c r="I43" s="26"/>
      <c r="J43" s="26"/>
      <c r="K43" s="7"/>
      <c r="L43" s="36"/>
      <c r="M43" s="36"/>
      <c r="N43" s="37"/>
      <c r="O43" s="36"/>
      <c r="P43" s="35"/>
      <c r="Q43" s="37"/>
      <c r="R43" s="28"/>
      <c r="S43" s="6"/>
      <c r="T43" s="10"/>
      <c r="U43" s="10"/>
      <c r="V43" s="6"/>
      <c r="W43" s="10"/>
      <c r="X43" s="6"/>
      <c r="Y43" s="27"/>
      <c r="Z43" s="10"/>
      <c r="AA43" s="10"/>
      <c r="AB43" s="6"/>
      <c r="AC43" s="10"/>
      <c r="AD43" s="10"/>
      <c r="AE43" s="6"/>
      <c r="AF43" s="27"/>
      <c r="AG43" s="10"/>
      <c r="AH43" s="10"/>
      <c r="AI43" s="6"/>
      <c r="AJ43" s="10"/>
      <c r="AK43" s="10"/>
      <c r="AL43" s="6"/>
      <c r="AM43" s="27"/>
      <c r="AN43" s="39"/>
      <c r="AO43" s="237"/>
      <c r="AP43" s="237"/>
    </row>
    <row r="44">
      <c r="A44" s="24" t="s">
        <v>36</v>
      </c>
      <c r="B44" s="17"/>
      <c r="C44" s="17"/>
      <c r="D44" s="18"/>
      <c r="E44" s="25">
        <v>2.0</v>
      </c>
      <c r="F44" s="25" t="s">
        <v>21</v>
      </c>
      <c r="G44" s="7">
        <f>596+60</f>
        <v>656</v>
      </c>
      <c r="H44" s="7" t="s">
        <v>22</v>
      </c>
      <c r="I44" s="26"/>
      <c r="J44" s="26"/>
      <c r="K44" s="7"/>
      <c r="L44" s="7">
        <v>2040.0</v>
      </c>
      <c r="M44" s="26"/>
      <c r="N44" s="26"/>
      <c r="O44" s="26"/>
      <c r="P44" s="26"/>
      <c r="Q44" s="26"/>
      <c r="R44" s="27"/>
      <c r="S44" s="27"/>
      <c r="T44" s="28"/>
      <c r="U44" s="27"/>
      <c r="V44" s="27"/>
      <c r="W44" s="27"/>
      <c r="X44" s="28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9">
        <f>G44+SUM(I44:AM44)-SUM(I45:AM45)</f>
        <v>1276</v>
      </c>
      <c r="AO44" s="236">
        <f>ROUNDDOWN((AN44/E44)/$H$4,1)</f>
        <v>21.2</v>
      </c>
      <c r="AP44" s="236">
        <f>$M$3+AO44</f>
        <v>990.2</v>
      </c>
    </row>
    <row r="45">
      <c r="A45" s="31"/>
      <c r="B45" s="17"/>
      <c r="C45" s="17"/>
      <c r="D45" s="17"/>
      <c r="E45" s="17"/>
      <c r="F45" s="18"/>
      <c r="G45" s="26"/>
      <c r="H45" s="7" t="s">
        <v>23</v>
      </c>
      <c r="I45" s="7"/>
      <c r="J45" s="7"/>
      <c r="K45" s="7"/>
      <c r="L45" s="7">
        <v>54.0</v>
      </c>
      <c r="M45" s="7">
        <v>80.0</v>
      </c>
      <c r="N45" s="7">
        <v>78.0</v>
      </c>
      <c r="O45" s="7">
        <v>70.0</v>
      </c>
      <c r="P45" s="7">
        <v>68.0</v>
      </c>
      <c r="Q45" s="7">
        <v>62.0</v>
      </c>
      <c r="R45" s="28"/>
      <c r="S45" s="28">
        <v>70.0</v>
      </c>
      <c r="T45" s="28">
        <v>74.0</v>
      </c>
      <c r="U45" s="28">
        <v>58.0</v>
      </c>
      <c r="V45" s="28">
        <v>64.0</v>
      </c>
      <c r="W45" s="28">
        <v>58.0</v>
      </c>
      <c r="X45" s="28"/>
      <c r="Y45" s="28"/>
      <c r="Z45" s="28">
        <v>84.0</v>
      </c>
      <c r="AA45" s="28"/>
      <c r="AB45" s="28">
        <v>54.0</v>
      </c>
      <c r="AC45" s="28">
        <v>60.0</v>
      </c>
      <c r="AD45" s="28">
        <v>50.0</v>
      </c>
      <c r="AE45" s="28">
        <v>44.0</v>
      </c>
      <c r="AF45" s="28"/>
      <c r="AG45" s="28">
        <v>60.0</v>
      </c>
      <c r="AH45" s="28">
        <v>78.0</v>
      </c>
      <c r="AI45" s="28">
        <v>80.0</v>
      </c>
      <c r="AJ45" s="28">
        <v>68.0</v>
      </c>
      <c r="AK45" s="28">
        <v>54.0</v>
      </c>
      <c r="AL45" s="28">
        <v>52.0</v>
      </c>
      <c r="AM45" s="28"/>
      <c r="AN45" s="32"/>
      <c r="AO45" s="32"/>
      <c r="AP45" s="32"/>
    </row>
    <row r="46">
      <c r="A46" s="33"/>
      <c r="B46" s="33"/>
      <c r="C46" s="33"/>
      <c r="D46" s="33"/>
      <c r="E46" s="25"/>
      <c r="F46" s="25"/>
      <c r="G46" s="7"/>
      <c r="H46" s="7"/>
      <c r="I46" s="26"/>
      <c r="J46" s="26"/>
      <c r="K46" s="7"/>
      <c r="L46" s="37"/>
      <c r="M46" s="37"/>
      <c r="N46" s="37"/>
      <c r="O46" s="37"/>
      <c r="P46" s="41"/>
      <c r="Q46" s="41"/>
      <c r="R46" s="27"/>
      <c r="S46" s="6"/>
      <c r="T46" s="6"/>
      <c r="U46" s="6"/>
      <c r="V46" s="6"/>
      <c r="W46" s="6"/>
      <c r="X46" s="10"/>
      <c r="Y46" s="27"/>
      <c r="Z46" s="6"/>
      <c r="AA46" s="10"/>
      <c r="AB46" s="6"/>
      <c r="AC46" s="6"/>
      <c r="AD46" s="6"/>
      <c r="AE46" s="6"/>
      <c r="AF46" s="28"/>
      <c r="AG46" s="6"/>
      <c r="AH46" s="6"/>
      <c r="AI46" s="6"/>
      <c r="AJ46" s="6"/>
      <c r="AK46" s="6"/>
      <c r="AL46" s="6"/>
      <c r="AM46" s="27"/>
      <c r="AN46" s="39"/>
      <c r="AO46" s="237"/>
      <c r="AP46" s="237"/>
    </row>
    <row r="47">
      <c r="A47" s="24" t="s">
        <v>37</v>
      </c>
      <c r="B47" s="17"/>
      <c r="C47" s="17"/>
      <c r="D47" s="18"/>
      <c r="E47" s="25">
        <v>2.0</v>
      </c>
      <c r="F47" s="25" t="s">
        <v>21</v>
      </c>
      <c r="G47" s="7">
        <v>497.0</v>
      </c>
      <c r="H47" s="7" t="s">
        <v>22</v>
      </c>
      <c r="I47" s="26"/>
      <c r="J47" s="7"/>
      <c r="K47" s="7"/>
      <c r="L47" s="7"/>
      <c r="M47" s="7">
        <v>320.0</v>
      </c>
      <c r="N47" s="26"/>
      <c r="O47" s="7"/>
      <c r="P47" s="7">
        <v>240.0</v>
      </c>
      <c r="Q47" s="7"/>
      <c r="R47" s="27"/>
      <c r="S47" s="28">
        <v>300.0</v>
      </c>
      <c r="T47" s="28"/>
      <c r="U47" s="28"/>
      <c r="V47" s="28">
        <v>300.0</v>
      </c>
      <c r="W47" s="28"/>
      <c r="X47" s="28">
        <v>80.0</v>
      </c>
      <c r="Y47" s="28"/>
      <c r="Z47" s="27"/>
      <c r="AA47" s="28"/>
      <c r="AB47" s="27"/>
      <c r="AC47" s="28">
        <v>300.0</v>
      </c>
      <c r="AD47" s="28"/>
      <c r="AE47" s="28"/>
      <c r="AF47" s="28"/>
      <c r="AG47" s="28">
        <v>200.0</v>
      </c>
      <c r="AH47" s="28"/>
      <c r="AI47" s="27"/>
      <c r="AJ47" s="28"/>
      <c r="AK47" s="28"/>
      <c r="AL47" s="28"/>
      <c r="AM47" s="27"/>
      <c r="AN47" s="29">
        <f>G47+SUM(I47:AM47)-SUM(I48:AM48)</f>
        <v>847</v>
      </c>
      <c r="AO47" s="236">
        <f>ROUNDDOWN((AN47/E47)/$H$4,1)</f>
        <v>14.1</v>
      </c>
      <c r="AP47" s="236">
        <f>$M$3+AO47</f>
        <v>983.1</v>
      </c>
    </row>
    <row r="48">
      <c r="A48" s="31"/>
      <c r="B48" s="17"/>
      <c r="C48" s="17"/>
      <c r="D48" s="17"/>
      <c r="E48" s="17"/>
      <c r="F48" s="18"/>
      <c r="G48" s="26"/>
      <c r="H48" s="7" t="s">
        <v>23</v>
      </c>
      <c r="I48" s="7"/>
      <c r="J48" s="7"/>
      <c r="K48" s="7"/>
      <c r="L48" s="7">
        <v>54.0</v>
      </c>
      <c r="M48" s="7">
        <v>80.0</v>
      </c>
      <c r="N48" s="7">
        <v>78.0</v>
      </c>
      <c r="O48" s="7">
        <v>70.0</v>
      </c>
      <c r="P48" s="7">
        <v>68.0</v>
      </c>
      <c r="Q48" s="7">
        <v>62.0</v>
      </c>
      <c r="R48" s="28"/>
      <c r="S48" s="28">
        <v>70.0</v>
      </c>
      <c r="T48" s="28">
        <v>74.0</v>
      </c>
      <c r="U48" s="28">
        <v>58.0</v>
      </c>
      <c r="V48" s="28">
        <v>64.0</v>
      </c>
      <c r="W48" s="28">
        <v>58.0</v>
      </c>
      <c r="X48" s="28"/>
      <c r="Y48" s="28"/>
      <c r="Z48" s="28">
        <v>84.0</v>
      </c>
      <c r="AA48" s="28"/>
      <c r="AB48" s="28">
        <v>54.0</v>
      </c>
      <c r="AC48" s="28">
        <v>30.0</v>
      </c>
      <c r="AD48" s="28">
        <v>50.0</v>
      </c>
      <c r="AE48" s="28">
        <v>44.0</v>
      </c>
      <c r="AF48" s="28"/>
      <c r="AG48" s="28">
        <v>60.0</v>
      </c>
      <c r="AH48" s="28">
        <v>78.0</v>
      </c>
      <c r="AI48" s="28">
        <v>80.0</v>
      </c>
      <c r="AJ48" s="28">
        <v>68.0</v>
      </c>
      <c r="AK48" s="28">
        <v>54.0</v>
      </c>
      <c r="AL48" s="28">
        <v>52.0</v>
      </c>
      <c r="AM48" s="28"/>
      <c r="AN48" s="32"/>
      <c r="AO48" s="32"/>
      <c r="AP48" s="32"/>
    </row>
    <row r="49">
      <c r="A49" s="33"/>
      <c r="B49" s="33"/>
      <c r="C49" s="33"/>
      <c r="D49" s="33"/>
      <c r="E49" s="25"/>
      <c r="F49" s="25"/>
      <c r="G49" s="7"/>
      <c r="H49" s="7"/>
      <c r="I49" s="26"/>
      <c r="J49" s="26"/>
      <c r="K49" s="7"/>
      <c r="L49" s="37"/>
      <c r="M49" s="37"/>
      <c r="N49" s="37"/>
      <c r="O49" s="37"/>
      <c r="P49" s="41"/>
      <c r="Q49" s="37"/>
      <c r="R49" s="27"/>
      <c r="S49" s="6"/>
      <c r="T49" s="6"/>
      <c r="U49" s="42"/>
      <c r="V49" s="6"/>
      <c r="W49" s="6"/>
      <c r="X49" s="10"/>
      <c r="Y49" s="27"/>
      <c r="Z49" s="6"/>
      <c r="AA49" s="10"/>
      <c r="AB49" s="42"/>
      <c r="AC49" s="42"/>
      <c r="AD49" s="6"/>
      <c r="AE49" s="6"/>
      <c r="AF49" s="28"/>
      <c r="AG49" s="6"/>
      <c r="AH49" s="6"/>
      <c r="AI49" s="6"/>
      <c r="AJ49" s="6"/>
      <c r="AK49" s="6"/>
      <c r="AL49" s="6"/>
      <c r="AM49" s="27"/>
      <c r="AN49" s="39"/>
      <c r="AO49" s="237"/>
      <c r="AP49" s="237"/>
    </row>
    <row r="50">
      <c r="A50" s="24" t="s">
        <v>38</v>
      </c>
      <c r="B50" s="17"/>
      <c r="C50" s="17"/>
      <c r="D50" s="18"/>
      <c r="E50" s="25">
        <v>1.0</v>
      </c>
      <c r="F50" s="25" t="s">
        <v>21</v>
      </c>
      <c r="G50" s="7">
        <v>434.0</v>
      </c>
      <c r="H50" s="7" t="s">
        <v>22</v>
      </c>
      <c r="I50" s="26"/>
      <c r="J50" s="7"/>
      <c r="K50" s="7"/>
      <c r="L50" s="7"/>
      <c r="M50" s="7">
        <v>160.0</v>
      </c>
      <c r="N50" s="26"/>
      <c r="O50" s="7"/>
      <c r="P50" s="7">
        <v>120.0</v>
      </c>
      <c r="Q50" s="7"/>
      <c r="R50" s="27"/>
      <c r="S50" s="28">
        <v>150.0</v>
      </c>
      <c r="T50" s="28"/>
      <c r="U50" s="28"/>
      <c r="V50" s="28">
        <v>150.0</v>
      </c>
      <c r="W50" s="28"/>
      <c r="X50" s="28">
        <v>40.0</v>
      </c>
      <c r="Y50" s="28"/>
      <c r="Z50" s="27"/>
      <c r="AA50" s="28"/>
      <c r="AB50" s="27"/>
      <c r="AC50" s="28">
        <v>150.0</v>
      </c>
      <c r="AD50" s="28"/>
      <c r="AE50" s="28"/>
      <c r="AF50" s="28"/>
      <c r="AG50" s="28">
        <v>100.0</v>
      </c>
      <c r="AH50" s="28"/>
      <c r="AI50" s="27"/>
      <c r="AJ50" s="28"/>
      <c r="AK50" s="28"/>
      <c r="AL50" s="28"/>
      <c r="AM50" s="27"/>
      <c r="AN50" s="29">
        <f>G50+SUM(I50:AM50)-SUM(I51:AM51)</f>
        <v>594</v>
      </c>
      <c r="AO50" s="236">
        <f>ROUNDDOWN((AN50/E50)/$H$4,1)</f>
        <v>19.8</v>
      </c>
      <c r="AP50" s="236">
        <f>$M$3+AO50</f>
        <v>988.8</v>
      </c>
    </row>
    <row r="51">
      <c r="A51" s="31"/>
      <c r="B51" s="17"/>
      <c r="C51" s="17"/>
      <c r="D51" s="17"/>
      <c r="E51" s="17"/>
      <c r="F51" s="18"/>
      <c r="G51" s="26"/>
      <c r="H51" s="7" t="s">
        <v>23</v>
      </c>
      <c r="I51" s="7"/>
      <c r="J51" s="7"/>
      <c r="K51" s="7"/>
      <c r="L51" s="7">
        <v>27.0</v>
      </c>
      <c r="M51" s="7">
        <v>40.0</v>
      </c>
      <c r="N51" s="7">
        <v>39.0</v>
      </c>
      <c r="O51" s="7">
        <v>35.0</v>
      </c>
      <c r="P51" s="7">
        <v>34.0</v>
      </c>
      <c r="Q51" s="7">
        <v>31.0</v>
      </c>
      <c r="R51" s="28"/>
      <c r="S51" s="28">
        <v>35.0</v>
      </c>
      <c r="T51" s="28">
        <v>37.0</v>
      </c>
      <c r="U51" s="28">
        <v>29.0</v>
      </c>
      <c r="V51" s="28">
        <v>32.0</v>
      </c>
      <c r="W51" s="28">
        <v>29.0</v>
      </c>
      <c r="X51" s="28"/>
      <c r="Y51" s="28"/>
      <c r="Z51" s="28">
        <v>42.0</v>
      </c>
      <c r="AA51" s="28"/>
      <c r="AB51" s="28">
        <v>27.0</v>
      </c>
      <c r="AC51" s="28">
        <v>30.0</v>
      </c>
      <c r="AD51" s="28">
        <v>25.0</v>
      </c>
      <c r="AE51" s="28">
        <v>22.0</v>
      </c>
      <c r="AF51" s="28"/>
      <c r="AG51" s="28">
        <v>30.0</v>
      </c>
      <c r="AH51" s="28">
        <v>39.0</v>
      </c>
      <c r="AI51" s="28">
        <v>40.0</v>
      </c>
      <c r="AJ51" s="28">
        <v>34.0</v>
      </c>
      <c r="AK51" s="28">
        <v>27.0</v>
      </c>
      <c r="AL51" s="28">
        <v>26.0</v>
      </c>
      <c r="AM51" s="28"/>
      <c r="AN51" s="32"/>
      <c r="AO51" s="32"/>
      <c r="AP51" s="32"/>
    </row>
    <row r="52">
      <c r="A52" s="33"/>
      <c r="B52" s="33"/>
      <c r="C52" s="33"/>
      <c r="D52" s="33"/>
      <c r="E52" s="25"/>
      <c r="F52" s="25"/>
      <c r="G52" s="7"/>
      <c r="H52" s="7"/>
      <c r="I52" s="26"/>
      <c r="J52" s="26"/>
      <c r="K52" s="7"/>
      <c r="L52" s="37"/>
      <c r="M52" s="37"/>
      <c r="N52" s="37"/>
      <c r="O52" s="37"/>
      <c r="P52" s="41"/>
      <c r="Q52" s="37"/>
      <c r="R52" s="27"/>
      <c r="S52" s="6"/>
      <c r="T52" s="6"/>
      <c r="U52" s="6"/>
      <c r="V52" s="6"/>
      <c r="W52" s="42"/>
      <c r="X52" s="10"/>
      <c r="Y52" s="27"/>
      <c r="Z52" s="6"/>
      <c r="AA52" s="10"/>
      <c r="AB52" s="6"/>
      <c r="AC52" s="6"/>
      <c r="AD52" s="6"/>
      <c r="AE52" s="6"/>
      <c r="AF52" s="28"/>
      <c r="AG52" s="6"/>
      <c r="AH52" s="6"/>
      <c r="AI52" s="6"/>
      <c r="AJ52" s="6"/>
      <c r="AK52" s="6"/>
      <c r="AL52" s="6"/>
      <c r="AM52" s="27"/>
      <c r="AN52" s="39"/>
      <c r="AO52" s="237"/>
      <c r="AP52" s="237"/>
    </row>
    <row r="53">
      <c r="A53" s="24" t="s">
        <v>39</v>
      </c>
      <c r="B53" s="17"/>
      <c r="C53" s="17"/>
      <c r="D53" s="18"/>
      <c r="E53" s="25">
        <v>1.0</v>
      </c>
      <c r="F53" s="25" t="s">
        <v>21</v>
      </c>
      <c r="G53" s="7">
        <v>456.0</v>
      </c>
      <c r="H53" s="7" t="s">
        <v>22</v>
      </c>
      <c r="I53" s="7"/>
      <c r="J53" s="7"/>
      <c r="K53" s="7"/>
      <c r="L53" s="7"/>
      <c r="M53" s="7">
        <v>160.0</v>
      </c>
      <c r="N53" s="26"/>
      <c r="O53" s="7"/>
      <c r="P53" s="7">
        <v>120.0</v>
      </c>
      <c r="Q53" s="7"/>
      <c r="R53" s="27"/>
      <c r="S53" s="28">
        <v>150.0</v>
      </c>
      <c r="T53" s="28"/>
      <c r="U53" s="28"/>
      <c r="V53" s="28">
        <v>150.0</v>
      </c>
      <c r="W53" s="28"/>
      <c r="X53" s="28">
        <v>40.0</v>
      </c>
      <c r="Y53" s="28"/>
      <c r="Z53" s="27"/>
      <c r="AA53" s="28"/>
      <c r="AB53" s="27"/>
      <c r="AC53" s="28">
        <v>150.0</v>
      </c>
      <c r="AD53" s="28"/>
      <c r="AE53" s="28"/>
      <c r="AF53" s="28"/>
      <c r="AG53" s="28">
        <v>100.0</v>
      </c>
      <c r="AH53" s="28"/>
      <c r="AI53" s="27"/>
      <c r="AJ53" s="28"/>
      <c r="AK53" s="28"/>
      <c r="AL53" s="28"/>
      <c r="AM53" s="27"/>
      <c r="AN53" s="29">
        <f>G53+SUM(I53:AM53)-SUM(I54:AM54)</f>
        <v>616</v>
      </c>
      <c r="AO53" s="236">
        <f>ROUNDDOWN((AN53/E53)/$H$4,1)</f>
        <v>20.5</v>
      </c>
      <c r="AP53" s="236">
        <f>$M$3+AO53</f>
        <v>989.5</v>
      </c>
    </row>
    <row r="54">
      <c r="A54" s="31"/>
      <c r="B54" s="17"/>
      <c r="C54" s="17"/>
      <c r="D54" s="17"/>
      <c r="E54" s="17"/>
      <c r="F54" s="18"/>
      <c r="G54" s="26"/>
      <c r="H54" s="7" t="s">
        <v>23</v>
      </c>
      <c r="I54" s="7"/>
      <c r="J54" s="7"/>
      <c r="K54" s="7"/>
      <c r="L54" s="7">
        <v>27.0</v>
      </c>
      <c r="M54" s="7">
        <v>40.0</v>
      </c>
      <c r="N54" s="7">
        <v>39.0</v>
      </c>
      <c r="O54" s="7">
        <v>35.0</v>
      </c>
      <c r="P54" s="7">
        <v>34.0</v>
      </c>
      <c r="Q54" s="7">
        <v>31.0</v>
      </c>
      <c r="R54" s="28"/>
      <c r="S54" s="28">
        <v>35.0</v>
      </c>
      <c r="T54" s="28">
        <v>37.0</v>
      </c>
      <c r="U54" s="28">
        <v>29.0</v>
      </c>
      <c r="V54" s="28">
        <v>32.0</v>
      </c>
      <c r="W54" s="28">
        <v>29.0</v>
      </c>
      <c r="X54" s="28"/>
      <c r="Y54" s="28"/>
      <c r="Z54" s="28">
        <v>42.0</v>
      </c>
      <c r="AA54" s="28"/>
      <c r="AB54" s="28">
        <v>27.0</v>
      </c>
      <c r="AC54" s="28">
        <v>30.0</v>
      </c>
      <c r="AD54" s="28">
        <v>25.0</v>
      </c>
      <c r="AE54" s="28">
        <v>22.0</v>
      </c>
      <c r="AF54" s="28"/>
      <c r="AG54" s="28">
        <v>30.0</v>
      </c>
      <c r="AH54" s="28">
        <v>39.0</v>
      </c>
      <c r="AI54" s="28">
        <v>40.0</v>
      </c>
      <c r="AJ54" s="28">
        <v>34.0</v>
      </c>
      <c r="AK54" s="28">
        <v>27.0</v>
      </c>
      <c r="AL54" s="28">
        <v>26.0</v>
      </c>
      <c r="AM54" s="28"/>
      <c r="AN54" s="32"/>
      <c r="AO54" s="32"/>
      <c r="AP54" s="32"/>
    </row>
    <row r="55">
      <c r="A55" s="33"/>
      <c r="B55" s="33"/>
      <c r="C55" s="33"/>
      <c r="D55" s="33"/>
      <c r="E55" s="25"/>
      <c r="F55" s="25"/>
      <c r="G55" s="7"/>
      <c r="H55" s="7"/>
      <c r="I55" s="26"/>
      <c r="J55" s="26"/>
      <c r="K55" s="7"/>
      <c r="L55" s="37"/>
      <c r="M55" s="37"/>
      <c r="N55" s="37"/>
      <c r="O55" s="41"/>
      <c r="P55" s="41"/>
      <c r="Q55" s="37"/>
      <c r="R55" s="27"/>
      <c r="S55" s="6"/>
      <c r="T55" s="6"/>
      <c r="U55" s="6"/>
      <c r="V55" s="6"/>
      <c r="W55" s="6"/>
      <c r="X55" s="10"/>
      <c r="Y55" s="27"/>
      <c r="Z55" s="6"/>
      <c r="AA55" s="10"/>
      <c r="AB55" s="6"/>
      <c r="AC55" s="6"/>
      <c r="AD55" s="6"/>
      <c r="AE55" s="6"/>
      <c r="AF55" s="28"/>
      <c r="AG55" s="6"/>
      <c r="AH55" s="6"/>
      <c r="AI55" s="6"/>
      <c r="AJ55" s="6"/>
      <c r="AK55" s="6"/>
      <c r="AL55" s="6"/>
      <c r="AM55" s="27"/>
      <c r="AN55" s="39"/>
      <c r="AO55" s="237"/>
      <c r="AP55" s="237"/>
    </row>
    <row r="56">
      <c r="A56" s="24" t="s">
        <v>40</v>
      </c>
      <c r="B56" s="17"/>
      <c r="C56" s="17"/>
      <c r="D56" s="18"/>
      <c r="E56" s="25">
        <v>1.0</v>
      </c>
      <c r="F56" s="25" t="s">
        <v>21</v>
      </c>
      <c r="G56" s="7">
        <v>598.0</v>
      </c>
      <c r="H56" s="7" t="s">
        <v>22</v>
      </c>
      <c r="I56" s="26"/>
      <c r="J56" s="7"/>
      <c r="K56" s="7"/>
      <c r="L56" s="7"/>
      <c r="M56" s="7">
        <v>160.0</v>
      </c>
      <c r="N56" s="26"/>
      <c r="O56" s="7"/>
      <c r="P56" s="7">
        <v>120.0</v>
      </c>
      <c r="Q56" s="7"/>
      <c r="R56" s="27"/>
      <c r="S56" s="28">
        <v>150.0</v>
      </c>
      <c r="T56" s="28"/>
      <c r="U56" s="28"/>
      <c r="V56" s="28">
        <v>150.0</v>
      </c>
      <c r="W56" s="28"/>
      <c r="X56" s="28">
        <v>40.0</v>
      </c>
      <c r="Y56" s="28"/>
      <c r="Z56" s="27"/>
      <c r="AA56" s="28"/>
      <c r="AB56" s="27"/>
      <c r="AC56" s="28">
        <v>150.0</v>
      </c>
      <c r="AD56" s="28"/>
      <c r="AE56" s="28"/>
      <c r="AF56" s="28"/>
      <c r="AG56" s="28">
        <v>100.0</v>
      </c>
      <c r="AH56" s="28"/>
      <c r="AI56" s="27"/>
      <c r="AJ56" s="28"/>
      <c r="AK56" s="28"/>
      <c r="AL56" s="28"/>
      <c r="AM56" s="27"/>
      <c r="AN56" s="29">
        <f>G56+SUM(I56:AM56)-SUM(I57:AM57)</f>
        <v>713</v>
      </c>
      <c r="AO56" s="236">
        <f>ROUNDDOWN((AN56/E56)/$H$4,1)</f>
        <v>23.7</v>
      </c>
      <c r="AP56" s="236">
        <f>$M$5+AO56</f>
        <v>990.7</v>
      </c>
    </row>
    <row r="57">
      <c r="A57" s="31"/>
      <c r="B57" s="17"/>
      <c r="C57" s="17"/>
      <c r="D57" s="17"/>
      <c r="E57" s="17"/>
      <c r="F57" s="18"/>
      <c r="G57" s="26"/>
      <c r="H57" s="7" t="s">
        <v>23</v>
      </c>
      <c r="I57" s="7"/>
      <c r="J57" s="7"/>
      <c r="K57" s="7"/>
      <c r="L57" s="7">
        <v>32.0</v>
      </c>
      <c r="M57" s="7">
        <v>30.0</v>
      </c>
      <c r="N57" s="7">
        <v>40.0</v>
      </c>
      <c r="O57" s="7">
        <v>37.0</v>
      </c>
      <c r="P57" s="7">
        <v>36.0</v>
      </c>
      <c r="Q57" s="7">
        <v>35.0</v>
      </c>
      <c r="R57" s="28"/>
      <c r="S57" s="28"/>
      <c r="T57" s="28">
        <v>30.0</v>
      </c>
      <c r="U57" s="28">
        <v>51.0</v>
      </c>
      <c r="V57" s="28"/>
      <c r="W57" s="28"/>
      <c r="X57" s="28">
        <v>60.0</v>
      </c>
      <c r="Y57" s="28"/>
      <c r="Z57" s="28">
        <v>40.0</v>
      </c>
      <c r="AA57" s="28"/>
      <c r="AB57" s="28">
        <f>28+12</f>
        <v>40</v>
      </c>
      <c r="AC57" s="28">
        <v>40.0</v>
      </c>
      <c r="AD57" s="28">
        <v>40.0</v>
      </c>
      <c r="AE57" s="28">
        <f>40+24</f>
        <v>64</v>
      </c>
      <c r="AF57" s="28"/>
      <c r="AG57" s="28">
        <v>30.0</v>
      </c>
      <c r="AH57" s="28">
        <v>30.0</v>
      </c>
      <c r="AI57" s="28">
        <v>40.0</v>
      </c>
      <c r="AJ57" s="28">
        <v>27.0</v>
      </c>
      <c r="AK57" s="28">
        <v>27.0</v>
      </c>
      <c r="AL57" s="28">
        <v>26.0</v>
      </c>
      <c r="AM57" s="28"/>
      <c r="AN57" s="32"/>
      <c r="AO57" s="32"/>
      <c r="AP57" s="32"/>
    </row>
    <row r="58">
      <c r="A58" s="54"/>
      <c r="B58" s="54"/>
      <c r="C58" s="54"/>
      <c r="D58" s="54"/>
      <c r="E58" s="25"/>
      <c r="F58" s="25"/>
      <c r="G58" s="7"/>
      <c r="H58" s="7"/>
      <c r="I58" s="26"/>
      <c r="J58" s="26"/>
      <c r="K58" s="7"/>
      <c r="L58" s="37"/>
      <c r="M58" s="37"/>
      <c r="N58" s="37"/>
      <c r="O58" s="37"/>
      <c r="P58" s="41"/>
      <c r="Q58" s="37"/>
      <c r="R58" s="27"/>
      <c r="S58" s="10"/>
      <c r="T58" s="6"/>
      <c r="U58" s="6"/>
      <c r="V58" s="10"/>
      <c r="W58" s="38"/>
      <c r="X58" s="42"/>
      <c r="Y58" s="27"/>
      <c r="Z58" s="6"/>
      <c r="AA58" s="10"/>
      <c r="AB58" s="6"/>
      <c r="AC58" s="6"/>
      <c r="AD58" s="6"/>
      <c r="AE58" s="6"/>
      <c r="AF58" s="28"/>
      <c r="AG58" s="6"/>
      <c r="AH58" s="6"/>
      <c r="AI58" s="6"/>
      <c r="AJ58" s="6"/>
      <c r="AK58" s="6"/>
      <c r="AL58" s="6"/>
      <c r="AM58" s="27"/>
      <c r="AN58" s="39"/>
      <c r="AO58" s="237"/>
      <c r="AP58" s="237"/>
    </row>
    <row r="59">
      <c r="A59" s="55" t="s">
        <v>41</v>
      </c>
      <c r="B59" s="17"/>
      <c r="C59" s="17"/>
      <c r="D59" s="18"/>
      <c r="E59" s="25">
        <v>1.0</v>
      </c>
      <c r="F59" s="25" t="s">
        <v>21</v>
      </c>
      <c r="G59" s="7">
        <v>387.0</v>
      </c>
      <c r="H59" s="7" t="s">
        <v>22</v>
      </c>
      <c r="I59" s="26"/>
      <c r="J59" s="7"/>
      <c r="K59" s="7"/>
      <c r="L59" s="7"/>
      <c r="M59" s="7">
        <v>160.0</v>
      </c>
      <c r="N59" s="26"/>
      <c r="O59" s="7"/>
      <c r="P59" s="7">
        <v>120.0</v>
      </c>
      <c r="Q59" s="7"/>
      <c r="R59" s="27"/>
      <c r="S59" s="28">
        <v>150.0</v>
      </c>
      <c r="T59" s="28"/>
      <c r="U59" s="28"/>
      <c r="V59" s="28">
        <v>150.0</v>
      </c>
      <c r="W59" s="28"/>
      <c r="X59" s="28">
        <v>40.0</v>
      </c>
      <c r="Y59" s="28"/>
      <c r="Z59" s="27"/>
      <c r="AA59" s="28"/>
      <c r="AB59" s="27"/>
      <c r="AC59" s="28">
        <v>150.0</v>
      </c>
      <c r="AD59" s="28"/>
      <c r="AE59" s="28"/>
      <c r="AF59" s="28"/>
      <c r="AG59" s="28">
        <v>100.0</v>
      </c>
      <c r="AH59" s="28"/>
      <c r="AI59" s="27"/>
      <c r="AJ59" s="28"/>
      <c r="AK59" s="28"/>
      <c r="AL59" s="28"/>
      <c r="AM59" s="27"/>
      <c r="AN59" s="29">
        <f>G59+SUM(I59:AM59)-SUM(I60:AM60)</f>
        <v>547</v>
      </c>
      <c r="AO59" s="236">
        <f>ROUNDDOWN((AN59/E59)/$H$4,1)</f>
        <v>18.2</v>
      </c>
      <c r="AP59" s="236">
        <f>$M$3+AO59</f>
        <v>987.2</v>
      </c>
    </row>
    <row r="60">
      <c r="A60" s="31"/>
      <c r="B60" s="17"/>
      <c r="C60" s="17"/>
      <c r="D60" s="17"/>
      <c r="E60" s="17"/>
      <c r="F60" s="18"/>
      <c r="G60" s="26"/>
      <c r="H60" s="7" t="s">
        <v>23</v>
      </c>
      <c r="I60" s="7"/>
      <c r="J60" s="7"/>
      <c r="K60" s="7"/>
      <c r="L60" s="7"/>
      <c r="M60" s="7"/>
      <c r="N60" s="7">
        <v>100.0</v>
      </c>
      <c r="O60" s="7"/>
      <c r="P60" s="7"/>
      <c r="Q60" s="7">
        <v>80.0</v>
      </c>
      <c r="R60" s="28"/>
      <c r="S60" s="28">
        <v>50.0</v>
      </c>
      <c r="T60" s="28"/>
      <c r="U60" s="28"/>
      <c r="V60" s="28">
        <v>80.0</v>
      </c>
      <c r="W60" s="28"/>
      <c r="X60" s="28">
        <v>60.0</v>
      </c>
      <c r="Y60" s="28"/>
      <c r="Z60" s="28"/>
      <c r="AA60" s="28"/>
      <c r="AB60" s="28">
        <v>60.0</v>
      </c>
      <c r="AC60" s="28"/>
      <c r="AD60" s="27"/>
      <c r="AE60" s="28">
        <v>80.0</v>
      </c>
      <c r="AF60" s="28"/>
      <c r="AG60" s="28"/>
      <c r="AH60" s="27"/>
      <c r="AI60" s="28">
        <v>100.0</v>
      </c>
      <c r="AJ60" s="27"/>
      <c r="AK60" s="27"/>
      <c r="AL60" s="28">
        <v>100.0</v>
      </c>
      <c r="AM60" s="27"/>
      <c r="AN60" s="32"/>
      <c r="AO60" s="32"/>
      <c r="AP60" s="32"/>
    </row>
    <row r="61">
      <c r="A61" s="33"/>
      <c r="B61" s="33"/>
      <c r="C61" s="33"/>
      <c r="D61" s="33"/>
      <c r="E61" s="25"/>
      <c r="F61" s="25"/>
      <c r="G61" s="7"/>
      <c r="H61" s="7"/>
      <c r="I61" s="26"/>
      <c r="J61" s="26"/>
      <c r="K61" s="7"/>
      <c r="L61" s="36"/>
      <c r="M61" s="36"/>
      <c r="N61" s="37"/>
      <c r="O61" s="36"/>
      <c r="P61" s="35"/>
      <c r="Q61" s="37"/>
      <c r="R61" s="28"/>
      <c r="S61" s="6"/>
      <c r="T61" s="10"/>
      <c r="U61" s="10"/>
      <c r="V61" s="6"/>
      <c r="W61" s="10"/>
      <c r="X61" s="6"/>
      <c r="Y61" s="27"/>
      <c r="Z61" s="10"/>
      <c r="AA61" s="10"/>
      <c r="AB61" s="6"/>
      <c r="AC61" s="10"/>
      <c r="AD61" s="10"/>
      <c r="AE61" s="6"/>
      <c r="AF61" s="28"/>
      <c r="AG61" s="10"/>
      <c r="AH61" s="10"/>
      <c r="AI61" s="6"/>
      <c r="AJ61" s="10"/>
      <c r="AK61" s="10"/>
      <c r="AL61" s="6"/>
      <c r="AM61" s="27"/>
      <c r="AN61" s="39"/>
      <c r="AO61" s="237"/>
      <c r="AP61" s="237"/>
    </row>
    <row r="62">
      <c r="A62" s="24" t="s">
        <v>42</v>
      </c>
      <c r="B62" s="17"/>
      <c r="C62" s="17"/>
      <c r="D62" s="18"/>
      <c r="E62" s="25">
        <v>1.0</v>
      </c>
      <c r="F62" s="25" t="s">
        <v>21</v>
      </c>
      <c r="G62" s="7">
        <v>429.0</v>
      </c>
      <c r="H62" s="7" t="s">
        <v>22</v>
      </c>
      <c r="I62" s="26"/>
      <c r="J62" s="7"/>
      <c r="K62" s="7"/>
      <c r="L62" s="7"/>
      <c r="M62" s="7">
        <v>160.0</v>
      </c>
      <c r="N62" s="26"/>
      <c r="O62" s="7"/>
      <c r="P62" s="7">
        <v>120.0</v>
      </c>
      <c r="Q62" s="7"/>
      <c r="R62" s="27"/>
      <c r="S62" s="28">
        <v>150.0</v>
      </c>
      <c r="T62" s="28"/>
      <c r="U62" s="28"/>
      <c r="V62" s="28">
        <v>150.0</v>
      </c>
      <c r="W62" s="28"/>
      <c r="X62" s="28">
        <v>40.0</v>
      </c>
      <c r="Y62" s="28"/>
      <c r="Z62" s="27"/>
      <c r="AA62" s="28"/>
      <c r="AB62" s="27"/>
      <c r="AC62" s="28">
        <v>150.0</v>
      </c>
      <c r="AD62" s="28"/>
      <c r="AE62" s="28"/>
      <c r="AF62" s="28"/>
      <c r="AG62" s="28">
        <v>100.0</v>
      </c>
      <c r="AH62" s="28"/>
      <c r="AI62" s="27"/>
      <c r="AJ62" s="28"/>
      <c r="AK62" s="28"/>
      <c r="AL62" s="28"/>
      <c r="AM62" s="27"/>
      <c r="AN62" s="29">
        <f>G62+SUM(I62:AM62)-SUM(I63:AM63)</f>
        <v>589</v>
      </c>
      <c r="AO62" s="236">
        <f>ROUNDDOWN((AN62/E62)/$H$4,1)</f>
        <v>19.6</v>
      </c>
      <c r="AP62" s="236">
        <f>$M$3+AO62</f>
        <v>988.6</v>
      </c>
    </row>
    <row r="63">
      <c r="A63" s="31"/>
      <c r="B63" s="17"/>
      <c r="C63" s="17"/>
      <c r="D63" s="17"/>
      <c r="E63" s="17"/>
      <c r="F63" s="18"/>
      <c r="G63" s="26"/>
      <c r="H63" s="7" t="s">
        <v>23</v>
      </c>
      <c r="I63" s="7"/>
      <c r="J63" s="7"/>
      <c r="K63" s="7"/>
      <c r="L63" s="7">
        <v>27.0</v>
      </c>
      <c r="M63" s="7">
        <v>40.0</v>
      </c>
      <c r="N63" s="7">
        <v>39.0</v>
      </c>
      <c r="O63" s="7">
        <v>35.0</v>
      </c>
      <c r="P63" s="7">
        <v>34.0</v>
      </c>
      <c r="Q63" s="7">
        <v>31.0</v>
      </c>
      <c r="R63" s="28"/>
      <c r="S63" s="28">
        <v>35.0</v>
      </c>
      <c r="T63" s="28">
        <v>37.0</v>
      </c>
      <c r="U63" s="28">
        <v>29.0</v>
      </c>
      <c r="V63" s="28">
        <v>32.0</v>
      </c>
      <c r="W63" s="28">
        <v>29.0</v>
      </c>
      <c r="X63" s="28"/>
      <c r="Y63" s="28"/>
      <c r="Z63" s="28">
        <v>42.0</v>
      </c>
      <c r="AA63" s="28"/>
      <c r="AB63" s="28">
        <v>27.0</v>
      </c>
      <c r="AC63" s="28">
        <v>30.0</v>
      </c>
      <c r="AD63" s="28">
        <v>25.0</v>
      </c>
      <c r="AE63" s="28">
        <v>22.0</v>
      </c>
      <c r="AF63" s="28"/>
      <c r="AG63" s="28">
        <v>30.0</v>
      </c>
      <c r="AH63" s="28">
        <v>39.0</v>
      </c>
      <c r="AI63" s="28">
        <v>40.0</v>
      </c>
      <c r="AJ63" s="28">
        <v>34.0</v>
      </c>
      <c r="AK63" s="28">
        <v>27.0</v>
      </c>
      <c r="AL63" s="28">
        <v>26.0</v>
      </c>
      <c r="AM63" s="28"/>
      <c r="AN63" s="32"/>
      <c r="AO63" s="32"/>
      <c r="AP63" s="32"/>
    </row>
    <row r="64">
      <c r="A64" s="54"/>
      <c r="B64" s="54"/>
      <c r="C64" s="54"/>
      <c r="D64" s="54"/>
      <c r="E64" s="25"/>
      <c r="F64" s="25"/>
      <c r="G64" s="7"/>
      <c r="H64" s="7"/>
      <c r="I64" s="26"/>
      <c r="J64" s="26"/>
      <c r="K64" s="7"/>
      <c r="L64" s="37"/>
      <c r="M64" s="37"/>
      <c r="N64" s="37"/>
      <c r="O64" s="37"/>
      <c r="P64" s="41"/>
      <c r="Q64" s="37"/>
      <c r="R64" s="27"/>
      <c r="S64" s="6"/>
      <c r="T64" s="6"/>
      <c r="U64" s="6"/>
      <c r="V64" s="6"/>
      <c r="W64" s="42"/>
      <c r="X64" s="10"/>
      <c r="Y64" s="27"/>
      <c r="Z64" s="42"/>
      <c r="AA64" s="10"/>
      <c r="AB64" s="6"/>
      <c r="AC64" s="6"/>
      <c r="AD64" s="6"/>
      <c r="AE64" s="42"/>
      <c r="AF64" s="28"/>
      <c r="AG64" s="6"/>
      <c r="AH64" s="6"/>
      <c r="AI64" s="6"/>
      <c r="AJ64" s="6"/>
      <c r="AK64" s="6"/>
      <c r="AL64" s="6"/>
      <c r="AM64" s="27"/>
      <c r="AN64" s="39"/>
      <c r="AO64" s="237"/>
      <c r="AP64" s="237"/>
    </row>
    <row r="65">
      <c r="A65" s="55" t="s">
        <v>43</v>
      </c>
      <c r="B65" s="17"/>
      <c r="C65" s="17"/>
      <c r="D65" s="18"/>
      <c r="E65" s="25">
        <v>1.0</v>
      </c>
      <c r="F65" s="25" t="s">
        <v>21</v>
      </c>
      <c r="G65" s="7">
        <v>463.0</v>
      </c>
      <c r="H65" s="7" t="s">
        <v>22</v>
      </c>
      <c r="I65" s="26"/>
      <c r="J65" s="7"/>
      <c r="K65" s="7"/>
      <c r="L65" s="7"/>
      <c r="M65" s="7">
        <v>160.0</v>
      </c>
      <c r="N65" s="26"/>
      <c r="O65" s="7"/>
      <c r="P65" s="7">
        <v>120.0</v>
      </c>
      <c r="Q65" s="7"/>
      <c r="R65" s="27"/>
      <c r="S65" s="28">
        <v>150.0</v>
      </c>
      <c r="T65" s="28"/>
      <c r="U65" s="28"/>
      <c r="V65" s="28">
        <v>150.0</v>
      </c>
      <c r="W65" s="28"/>
      <c r="X65" s="28">
        <v>40.0</v>
      </c>
      <c r="Y65" s="28"/>
      <c r="Z65" s="27"/>
      <c r="AA65" s="28"/>
      <c r="AB65" s="27"/>
      <c r="AC65" s="28">
        <v>150.0</v>
      </c>
      <c r="AD65" s="28"/>
      <c r="AE65" s="28"/>
      <c r="AF65" s="28"/>
      <c r="AG65" s="28">
        <v>100.0</v>
      </c>
      <c r="AH65" s="28"/>
      <c r="AI65" s="27"/>
      <c r="AJ65" s="28"/>
      <c r="AK65" s="28"/>
      <c r="AL65" s="28"/>
      <c r="AM65" s="27"/>
      <c r="AN65" s="29">
        <f>G65+SUM(I65:AM65)-SUM(I66:AM66)</f>
        <v>623</v>
      </c>
      <c r="AO65" s="236">
        <f>ROUNDDOWN((AN65/E65)/$H$4,1)</f>
        <v>20.7</v>
      </c>
      <c r="AP65" s="236">
        <f>$M$3+AO65</f>
        <v>989.7</v>
      </c>
    </row>
    <row r="66">
      <c r="A66" s="31"/>
      <c r="B66" s="17"/>
      <c r="C66" s="17"/>
      <c r="D66" s="17"/>
      <c r="E66" s="17"/>
      <c r="F66" s="18"/>
      <c r="G66" s="26"/>
      <c r="H66" s="7" t="s">
        <v>23</v>
      </c>
      <c r="I66" s="7"/>
      <c r="J66" s="7"/>
      <c r="K66" s="7"/>
      <c r="L66" s="7"/>
      <c r="M66" s="7"/>
      <c r="N66" s="7">
        <v>100.0</v>
      </c>
      <c r="O66" s="7"/>
      <c r="P66" s="7"/>
      <c r="Q66" s="7">
        <v>80.0</v>
      </c>
      <c r="R66" s="28"/>
      <c r="S66" s="28">
        <v>50.0</v>
      </c>
      <c r="T66" s="28"/>
      <c r="U66" s="28"/>
      <c r="V66" s="28">
        <v>80.0</v>
      </c>
      <c r="W66" s="28"/>
      <c r="X66" s="28">
        <v>60.0</v>
      </c>
      <c r="Y66" s="28"/>
      <c r="Z66" s="28"/>
      <c r="AA66" s="28"/>
      <c r="AB66" s="28">
        <v>60.0</v>
      </c>
      <c r="AC66" s="28"/>
      <c r="AD66" s="27"/>
      <c r="AE66" s="28">
        <v>80.0</v>
      </c>
      <c r="AF66" s="28"/>
      <c r="AG66" s="28"/>
      <c r="AH66" s="27"/>
      <c r="AI66" s="28">
        <v>100.0</v>
      </c>
      <c r="AJ66" s="27"/>
      <c r="AK66" s="27"/>
      <c r="AL66" s="28">
        <v>100.0</v>
      </c>
      <c r="AM66" s="27"/>
      <c r="AN66" s="32"/>
      <c r="AO66" s="32"/>
      <c r="AP66" s="32"/>
    </row>
    <row r="67">
      <c r="A67" s="33"/>
      <c r="B67" s="33"/>
      <c r="C67" s="33"/>
      <c r="D67" s="33"/>
      <c r="E67" s="25"/>
      <c r="F67" s="25"/>
      <c r="G67" s="7"/>
      <c r="H67" s="7"/>
      <c r="I67" s="26"/>
      <c r="J67" s="26"/>
      <c r="K67" s="7"/>
      <c r="L67" s="36"/>
      <c r="M67" s="36"/>
      <c r="N67" s="37"/>
      <c r="O67" s="36"/>
      <c r="P67" s="35"/>
      <c r="Q67" s="37"/>
      <c r="R67" s="28"/>
      <c r="S67" s="6"/>
      <c r="T67" s="10"/>
      <c r="U67" s="10"/>
      <c r="V67" s="6"/>
      <c r="W67" s="10"/>
      <c r="X67" s="6"/>
      <c r="Y67" s="27"/>
      <c r="Z67" s="10"/>
      <c r="AA67" s="10"/>
      <c r="AB67" s="6"/>
      <c r="AC67" s="10"/>
      <c r="AD67" s="10"/>
      <c r="AE67" s="6"/>
      <c r="AF67" s="28"/>
      <c r="AG67" s="10"/>
      <c r="AH67" s="10"/>
      <c r="AI67" s="6"/>
      <c r="AJ67" s="10"/>
      <c r="AK67" s="10"/>
      <c r="AL67" s="6"/>
      <c r="AM67" s="27"/>
      <c r="AN67" s="39"/>
      <c r="AO67" s="237"/>
      <c r="AP67" s="237"/>
    </row>
    <row r="68">
      <c r="A68" s="24" t="s">
        <v>44</v>
      </c>
      <c r="B68" s="17"/>
      <c r="C68" s="17"/>
      <c r="D68" s="18"/>
      <c r="E68" s="25">
        <v>2.0</v>
      </c>
      <c r="F68" s="25" t="s">
        <v>21</v>
      </c>
      <c r="G68" s="7">
        <v>608.0</v>
      </c>
      <c r="H68" s="7" t="s">
        <v>22</v>
      </c>
      <c r="I68" s="26"/>
      <c r="J68" s="7"/>
      <c r="K68" s="7"/>
      <c r="L68" s="7"/>
      <c r="M68" s="7">
        <v>320.0</v>
      </c>
      <c r="N68" s="26"/>
      <c r="O68" s="7"/>
      <c r="P68" s="7">
        <v>240.0</v>
      </c>
      <c r="Q68" s="7"/>
      <c r="R68" s="27"/>
      <c r="S68" s="28">
        <v>300.0</v>
      </c>
      <c r="T68" s="28"/>
      <c r="U68" s="28"/>
      <c r="V68" s="28">
        <v>300.0</v>
      </c>
      <c r="W68" s="28"/>
      <c r="X68" s="28">
        <v>80.0</v>
      </c>
      <c r="Y68" s="28"/>
      <c r="Z68" s="27"/>
      <c r="AA68" s="28"/>
      <c r="AB68" s="27"/>
      <c r="AC68" s="28">
        <v>300.0</v>
      </c>
      <c r="AD68" s="28"/>
      <c r="AE68" s="28"/>
      <c r="AF68" s="28"/>
      <c r="AG68" s="28">
        <v>200.0</v>
      </c>
      <c r="AH68" s="28"/>
      <c r="AI68" s="27"/>
      <c r="AJ68" s="28"/>
      <c r="AK68" s="28"/>
      <c r="AL68" s="28"/>
      <c r="AM68" s="27"/>
      <c r="AN68" s="29">
        <f>G68+SUM(I68:AM68)-SUM(I69:AM69)</f>
        <v>926</v>
      </c>
      <c r="AO68" s="236">
        <f>ROUNDDOWN((AN68/E68)/$H$4,1)</f>
        <v>15.4</v>
      </c>
      <c r="AP68" s="236">
        <f>$M$5+AO68</f>
        <v>982.4</v>
      </c>
    </row>
    <row r="69">
      <c r="A69" s="31"/>
      <c r="B69" s="17"/>
      <c r="C69" s="17"/>
      <c r="D69" s="17"/>
      <c r="E69" s="17"/>
      <c r="F69" s="18"/>
      <c r="G69" s="26"/>
      <c r="H69" s="7" t="s">
        <v>23</v>
      </c>
      <c r="I69" s="7"/>
      <c r="J69" s="7"/>
      <c r="K69" s="7"/>
      <c r="L69" s="7">
        <v>64.0</v>
      </c>
      <c r="M69" s="7">
        <v>60.0</v>
      </c>
      <c r="N69" s="7">
        <v>80.0</v>
      </c>
      <c r="O69" s="7">
        <v>74.0</v>
      </c>
      <c r="P69" s="7">
        <v>72.0</v>
      </c>
      <c r="Q69" s="7">
        <v>70.0</v>
      </c>
      <c r="R69" s="28"/>
      <c r="S69" s="28"/>
      <c r="T69" s="28">
        <v>60.0</v>
      </c>
      <c r="U69" s="28">
        <v>102.0</v>
      </c>
      <c r="V69" s="28"/>
      <c r="W69" s="28"/>
      <c r="X69" s="28">
        <v>30.0</v>
      </c>
      <c r="Y69" s="28"/>
      <c r="Z69" s="28">
        <v>80.0</v>
      </c>
      <c r="AA69" s="28"/>
      <c r="AB69" s="28">
        <f>56+24</f>
        <v>80</v>
      </c>
      <c r="AC69" s="28">
        <v>80.0</v>
      </c>
      <c r="AD69" s="28">
        <v>80.0</v>
      </c>
      <c r="AE69" s="28">
        <f>80+48</f>
        <v>128</v>
      </c>
      <c r="AF69" s="28"/>
      <c r="AG69" s="28">
        <v>60.0</v>
      </c>
      <c r="AH69" s="28">
        <v>60.0</v>
      </c>
      <c r="AI69" s="28">
        <v>80.0</v>
      </c>
      <c r="AJ69" s="28">
        <v>54.0</v>
      </c>
      <c r="AK69" s="28">
        <v>54.0</v>
      </c>
      <c r="AL69" s="28">
        <v>54.0</v>
      </c>
      <c r="AM69" s="28"/>
      <c r="AN69" s="32"/>
      <c r="AO69" s="32"/>
      <c r="AP69" s="32"/>
    </row>
    <row r="70">
      <c r="A70" s="33"/>
      <c r="B70" s="33"/>
      <c r="C70" s="33"/>
      <c r="D70" s="33"/>
      <c r="E70" s="25"/>
      <c r="F70" s="25"/>
      <c r="G70" s="7"/>
      <c r="H70" s="7"/>
      <c r="I70" s="26"/>
      <c r="J70" s="26"/>
      <c r="K70" s="26"/>
      <c r="L70" s="37"/>
      <c r="M70" s="37"/>
      <c r="N70" s="37"/>
      <c r="O70" s="37"/>
      <c r="P70" s="37"/>
      <c r="Q70" s="37"/>
      <c r="R70" s="27"/>
      <c r="S70" s="10"/>
      <c r="T70" s="6"/>
      <c r="U70" s="6"/>
      <c r="V70" s="10"/>
      <c r="W70" s="10"/>
      <c r="X70" s="6"/>
      <c r="Y70" s="27"/>
      <c r="Z70" s="6"/>
      <c r="AA70" s="10"/>
      <c r="AB70" s="6"/>
      <c r="AC70" s="6"/>
      <c r="AD70" s="6"/>
      <c r="AE70" s="6"/>
      <c r="AF70" s="27"/>
      <c r="AG70" s="6"/>
      <c r="AH70" s="6"/>
      <c r="AI70" s="6"/>
      <c r="AJ70" s="6"/>
      <c r="AK70" s="6"/>
      <c r="AL70" s="6"/>
      <c r="AM70" s="27"/>
      <c r="AN70" s="39"/>
      <c r="AO70" s="237"/>
      <c r="AP70" s="237"/>
    </row>
    <row r="71">
      <c r="A71" s="238" t="s">
        <v>45</v>
      </c>
      <c r="B71" s="17"/>
      <c r="C71" s="17"/>
      <c r="D71" s="18"/>
      <c r="E71" s="25">
        <v>2.0</v>
      </c>
      <c r="F71" s="25" t="s">
        <v>46</v>
      </c>
      <c r="G71" s="7">
        <v>586.0</v>
      </c>
      <c r="H71" s="7" t="s">
        <v>22</v>
      </c>
      <c r="I71" s="26"/>
      <c r="J71" s="26"/>
      <c r="K71" s="26"/>
      <c r="L71" s="7"/>
      <c r="M71" s="26"/>
      <c r="N71" s="26"/>
      <c r="O71" s="26"/>
      <c r="P71" s="26"/>
      <c r="Q71" s="26"/>
      <c r="R71" s="27"/>
      <c r="S71" s="27"/>
      <c r="T71" s="27"/>
      <c r="U71" s="28">
        <v>2040.0</v>
      </c>
      <c r="V71" s="27"/>
      <c r="W71" s="27"/>
      <c r="X71" s="28"/>
      <c r="Y71" s="27"/>
      <c r="Z71" s="27"/>
      <c r="AA71" s="27"/>
      <c r="AB71" s="27"/>
      <c r="AC71" s="27"/>
      <c r="AD71" s="27"/>
      <c r="AE71" s="28"/>
      <c r="AF71" s="27"/>
      <c r="AG71" s="27"/>
      <c r="AH71" s="28"/>
      <c r="AI71" s="27"/>
      <c r="AJ71" s="27"/>
      <c r="AK71" s="27"/>
      <c r="AL71" s="27"/>
      <c r="AM71" s="27"/>
      <c r="AN71" s="29">
        <f>G71+SUM(I71:AM71)-SUM(I72:AM72)</f>
        <v>1158</v>
      </c>
      <c r="AO71" s="236">
        <f>ROUNDDOWN((AN71/E71)/$H$4,1)</f>
        <v>19.3</v>
      </c>
      <c r="AP71" s="236">
        <f>$M$5+AO71</f>
        <v>986.3</v>
      </c>
    </row>
    <row r="72">
      <c r="A72" s="31"/>
      <c r="B72" s="17"/>
      <c r="C72" s="17"/>
      <c r="D72" s="17"/>
      <c r="E72" s="17"/>
      <c r="F72" s="18"/>
      <c r="G72" s="26"/>
      <c r="H72" s="7" t="s">
        <v>23</v>
      </c>
      <c r="I72" s="7"/>
      <c r="J72" s="7"/>
      <c r="K72" s="7"/>
      <c r="L72" s="7">
        <v>64.0</v>
      </c>
      <c r="M72" s="7">
        <v>60.0</v>
      </c>
      <c r="N72" s="7">
        <v>80.0</v>
      </c>
      <c r="O72" s="7">
        <v>74.0</v>
      </c>
      <c r="P72" s="7">
        <v>72.0</v>
      </c>
      <c r="Q72" s="7">
        <v>70.0</v>
      </c>
      <c r="R72" s="28"/>
      <c r="S72" s="28"/>
      <c r="T72" s="28">
        <v>60.0</v>
      </c>
      <c r="U72" s="28">
        <v>60.0</v>
      </c>
      <c r="V72" s="28"/>
      <c r="W72" s="28">
        <v>60.0</v>
      </c>
      <c r="X72" s="28">
        <v>60.0</v>
      </c>
      <c r="Y72" s="28"/>
      <c r="Z72" s="28">
        <v>80.0</v>
      </c>
      <c r="AA72" s="28"/>
      <c r="AB72" s="28">
        <f>56+24</f>
        <v>80</v>
      </c>
      <c r="AC72" s="28">
        <v>80.0</v>
      </c>
      <c r="AD72" s="28">
        <v>80.0</v>
      </c>
      <c r="AE72" s="28">
        <f>80+48</f>
        <v>128</v>
      </c>
      <c r="AF72" s="28"/>
      <c r="AG72" s="28">
        <v>60.0</v>
      </c>
      <c r="AH72" s="28">
        <v>60.0</v>
      </c>
      <c r="AI72" s="28">
        <v>80.0</v>
      </c>
      <c r="AJ72" s="28">
        <v>54.0</v>
      </c>
      <c r="AK72" s="28">
        <v>54.0</v>
      </c>
      <c r="AL72" s="28">
        <v>52.0</v>
      </c>
      <c r="AM72" s="28"/>
      <c r="AN72" s="32"/>
      <c r="AO72" s="32"/>
      <c r="AP72" s="32"/>
    </row>
    <row r="73">
      <c r="A73" s="33"/>
      <c r="B73" s="33"/>
      <c r="C73" s="33"/>
      <c r="D73" s="33"/>
      <c r="E73" s="25"/>
      <c r="F73" s="25"/>
      <c r="G73" s="7"/>
      <c r="H73" s="7"/>
      <c r="I73" s="26"/>
      <c r="J73" s="26"/>
      <c r="K73" s="26"/>
      <c r="L73" s="37"/>
      <c r="M73" s="37"/>
      <c r="N73" s="37"/>
      <c r="O73" s="37"/>
      <c r="P73" s="37"/>
      <c r="Q73" s="37"/>
      <c r="R73" s="27"/>
      <c r="S73" s="10"/>
      <c r="T73" s="6"/>
      <c r="U73" s="6"/>
      <c r="V73" s="10"/>
      <c r="W73" s="6"/>
      <c r="X73" s="6"/>
      <c r="Y73" s="27"/>
      <c r="Z73" s="6"/>
      <c r="AA73" s="10"/>
      <c r="AB73" s="6"/>
      <c r="AC73" s="42"/>
      <c r="AD73" s="6"/>
      <c r="AE73" s="6"/>
      <c r="AF73" s="27"/>
      <c r="AG73" s="6"/>
      <c r="AH73" s="6"/>
      <c r="AI73" s="6"/>
      <c r="AJ73" s="6"/>
      <c r="AK73" s="6"/>
      <c r="AL73" s="6"/>
      <c r="AM73" s="27"/>
      <c r="AN73" s="39"/>
      <c r="AO73" s="237"/>
      <c r="AP73" s="237"/>
    </row>
    <row r="74">
      <c r="A74" s="24" t="s">
        <v>47</v>
      </c>
      <c r="B74" s="17"/>
      <c r="C74" s="17"/>
      <c r="D74" s="18"/>
      <c r="E74" s="25">
        <v>1.0</v>
      </c>
      <c r="F74" s="25" t="s">
        <v>21</v>
      </c>
      <c r="G74" s="7">
        <v>288.0</v>
      </c>
      <c r="H74" s="7" t="s">
        <v>22</v>
      </c>
      <c r="I74" s="26"/>
      <c r="J74" s="26"/>
      <c r="K74" s="7"/>
      <c r="L74" s="7">
        <v>1020.0</v>
      </c>
      <c r="M74" s="7"/>
      <c r="N74" s="26"/>
      <c r="O74" s="26"/>
      <c r="P74" s="26"/>
      <c r="Q74" s="26"/>
      <c r="R74" s="27"/>
      <c r="S74" s="27"/>
      <c r="T74" s="28"/>
      <c r="U74" s="27"/>
      <c r="V74" s="27"/>
      <c r="W74" s="27"/>
      <c r="X74" s="28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9">
        <f>G74+SUM(I74:AM74)-SUM(I75:AM75)</f>
        <v>274</v>
      </c>
      <c r="AO74" s="236">
        <f>ROUNDDOWN((AN74/E74)/$H$4,1)</f>
        <v>9.1</v>
      </c>
      <c r="AP74" s="236">
        <f>$M$5+AO74</f>
        <v>976.1</v>
      </c>
    </row>
    <row r="75">
      <c r="A75" s="31"/>
      <c r="B75" s="17"/>
      <c r="C75" s="17"/>
      <c r="D75" s="17"/>
      <c r="E75" s="17"/>
      <c r="F75" s="18"/>
      <c r="G75" s="26"/>
      <c r="H75" s="7" t="s">
        <v>23</v>
      </c>
      <c r="I75" s="7"/>
      <c r="J75" s="7"/>
      <c r="K75" s="7"/>
      <c r="L75" s="7">
        <v>32.0</v>
      </c>
      <c r="M75" s="7">
        <v>30.0</v>
      </c>
      <c r="N75" s="7">
        <v>40.0</v>
      </c>
      <c r="O75" s="7">
        <v>37.0</v>
      </c>
      <c r="P75" s="7">
        <v>36.0</v>
      </c>
      <c r="Q75" s="7">
        <v>35.0</v>
      </c>
      <c r="R75" s="28"/>
      <c r="S75" s="28"/>
      <c r="T75" s="28">
        <v>30.0</v>
      </c>
      <c r="U75" s="28">
        <v>360.0</v>
      </c>
      <c r="V75" s="28"/>
      <c r="W75" s="28"/>
      <c r="X75" s="28">
        <v>30.0</v>
      </c>
      <c r="Y75" s="28"/>
      <c r="Z75" s="28">
        <v>40.0</v>
      </c>
      <c r="AA75" s="28"/>
      <c r="AB75" s="28">
        <f>28+12</f>
        <v>40</v>
      </c>
      <c r="AC75" s="28">
        <v>40.0</v>
      </c>
      <c r="AD75" s="28">
        <v>40.0</v>
      </c>
      <c r="AE75" s="28">
        <f>40+24</f>
        <v>64</v>
      </c>
      <c r="AF75" s="28"/>
      <c r="AG75" s="28">
        <v>30.0</v>
      </c>
      <c r="AH75" s="28">
        <v>30.0</v>
      </c>
      <c r="AI75" s="28">
        <v>40.0</v>
      </c>
      <c r="AJ75" s="28">
        <v>27.0</v>
      </c>
      <c r="AK75" s="28">
        <v>27.0</v>
      </c>
      <c r="AL75" s="28">
        <v>26.0</v>
      </c>
      <c r="AM75" s="28"/>
      <c r="AN75" s="32"/>
      <c r="AO75" s="32"/>
      <c r="AP75" s="32"/>
    </row>
    <row r="76">
      <c r="A76" s="33"/>
      <c r="B76" s="33"/>
      <c r="C76" s="33"/>
      <c r="D76" s="33"/>
      <c r="E76" s="25"/>
      <c r="F76" s="25"/>
      <c r="G76" s="7"/>
      <c r="H76" s="7"/>
      <c r="I76" s="26"/>
      <c r="J76" s="26"/>
      <c r="K76" s="7"/>
      <c r="L76" s="41"/>
      <c r="M76" s="37"/>
      <c r="N76" s="37"/>
      <c r="O76" s="37"/>
      <c r="P76" s="37"/>
      <c r="Q76" s="37"/>
      <c r="R76" s="27"/>
      <c r="S76" s="10"/>
      <c r="T76" s="6"/>
      <c r="U76" s="42"/>
      <c r="V76" s="10"/>
      <c r="W76" s="10"/>
      <c r="X76" s="6"/>
      <c r="Y76" s="27"/>
      <c r="Z76" s="42"/>
      <c r="AA76" s="38"/>
      <c r="AB76" s="6"/>
      <c r="AC76" s="6"/>
      <c r="AD76" s="42"/>
      <c r="AE76" s="6"/>
      <c r="AF76" s="27"/>
      <c r="AG76" s="6"/>
      <c r="AH76" s="6"/>
      <c r="AI76" s="6"/>
      <c r="AJ76" s="6"/>
      <c r="AK76" s="6"/>
      <c r="AL76" s="6"/>
      <c r="AM76" s="27"/>
      <c r="AN76" s="39"/>
      <c r="AO76" s="237"/>
      <c r="AP76" s="237"/>
    </row>
    <row r="77">
      <c r="A77" s="24" t="s">
        <v>48</v>
      </c>
      <c r="B77" s="17"/>
      <c r="C77" s="17"/>
      <c r="D77" s="18"/>
      <c r="E77" s="25">
        <v>2.0</v>
      </c>
      <c r="F77" s="25" t="s">
        <v>21</v>
      </c>
      <c r="G77" s="7">
        <v>330.0</v>
      </c>
      <c r="H77" s="7" t="s">
        <v>22</v>
      </c>
      <c r="I77" s="7"/>
      <c r="J77" s="7"/>
      <c r="K77" s="7"/>
      <c r="L77" s="7">
        <v>60.0</v>
      </c>
      <c r="M77" s="7">
        <v>60.0</v>
      </c>
      <c r="N77" s="7">
        <f>60+120</f>
        <v>180</v>
      </c>
      <c r="O77" s="7">
        <v>120.0</v>
      </c>
      <c r="P77" s="7">
        <v>120.0</v>
      </c>
      <c r="Q77" s="7"/>
      <c r="R77" s="28"/>
      <c r="S77" s="28">
        <v>180.0</v>
      </c>
      <c r="T77" s="28">
        <v>180.0</v>
      </c>
      <c r="U77" s="28"/>
      <c r="V77" s="28">
        <v>120.0</v>
      </c>
      <c r="W77" s="28"/>
      <c r="X77" s="28"/>
      <c r="Y77" s="28"/>
      <c r="Z77" s="28">
        <v>180.0</v>
      </c>
      <c r="AA77" s="28"/>
      <c r="AB77" s="28"/>
      <c r="AC77" s="28"/>
      <c r="AD77" s="28">
        <v>60.0</v>
      </c>
      <c r="AE77" s="28"/>
      <c r="AF77" s="28"/>
      <c r="AG77" s="27"/>
      <c r="AH77" s="28">
        <v>240.0</v>
      </c>
      <c r="AI77" s="28"/>
      <c r="AJ77" s="28">
        <v>120.0</v>
      </c>
      <c r="AK77" s="28">
        <v>60.0</v>
      </c>
      <c r="AL77" s="28"/>
      <c r="AM77" s="28"/>
      <c r="AN77" s="29">
        <f>G77+SUM(I77:AM77)-SUM(I78:AM78)</f>
        <v>554</v>
      </c>
      <c r="AO77" s="236">
        <f>ROUNDDOWN((AN77/E77)/$H$4,1)</f>
        <v>9.2</v>
      </c>
      <c r="AP77" s="236">
        <f>$M$3+AO77</f>
        <v>978.2</v>
      </c>
    </row>
    <row r="78">
      <c r="A78" s="31"/>
      <c r="B78" s="17"/>
      <c r="C78" s="17"/>
      <c r="D78" s="17"/>
      <c r="E78" s="17"/>
      <c r="F78" s="18"/>
      <c r="G78" s="26"/>
      <c r="H78" s="7" t="s">
        <v>23</v>
      </c>
      <c r="I78" s="7"/>
      <c r="J78" s="7"/>
      <c r="K78" s="7"/>
      <c r="L78" s="7">
        <v>60.0</v>
      </c>
      <c r="M78" s="7">
        <f>44+30</f>
        <v>74</v>
      </c>
      <c r="N78" s="7">
        <f>60+18</f>
        <v>78</v>
      </c>
      <c r="O78" s="7">
        <f>60+10</f>
        <v>70</v>
      </c>
      <c r="P78" s="7">
        <v>60.0</v>
      </c>
      <c r="Q78" s="7">
        <v>60.0</v>
      </c>
      <c r="R78" s="28"/>
      <c r="S78" s="28">
        <f>60+10</f>
        <v>70</v>
      </c>
      <c r="T78" s="28">
        <v>74.0</v>
      </c>
      <c r="U78" s="28">
        <v>60.0</v>
      </c>
      <c r="V78" s="28">
        <v>62.0</v>
      </c>
      <c r="W78" s="28">
        <v>58.0</v>
      </c>
      <c r="X78" s="28"/>
      <c r="Y78" s="28"/>
      <c r="Z78" s="28">
        <v>60.0</v>
      </c>
      <c r="AA78" s="28">
        <v>24.0</v>
      </c>
      <c r="AB78" s="28">
        <v>60.0</v>
      </c>
      <c r="AC78" s="28">
        <v>60.0</v>
      </c>
      <c r="AD78" s="28">
        <v>60.0</v>
      </c>
      <c r="AE78" s="28">
        <v>60.0</v>
      </c>
      <c r="AF78" s="28"/>
      <c r="AG78" s="28">
        <v>68.0</v>
      </c>
      <c r="AH78" s="28">
        <v>84.0</v>
      </c>
      <c r="AI78" s="28">
        <v>80.0</v>
      </c>
      <c r="AJ78" s="28">
        <v>60.0</v>
      </c>
      <c r="AK78" s="28">
        <v>62.0</v>
      </c>
      <c r="AL78" s="28">
        <v>52.0</v>
      </c>
      <c r="AM78" s="28"/>
      <c r="AN78" s="32"/>
      <c r="AO78" s="32"/>
      <c r="AP78" s="32"/>
    </row>
    <row r="79">
      <c r="A79" s="33"/>
      <c r="B79" s="33"/>
      <c r="C79" s="33"/>
      <c r="D79" s="33"/>
      <c r="E79" s="25"/>
      <c r="F79" s="25"/>
      <c r="G79" s="7"/>
      <c r="H79" s="7"/>
      <c r="I79" s="26"/>
      <c r="J79" s="26"/>
      <c r="K79" s="7"/>
      <c r="L79" s="41"/>
      <c r="M79" s="37"/>
      <c r="N79" s="37"/>
      <c r="O79" s="37"/>
      <c r="P79" s="37"/>
      <c r="Q79" s="37"/>
      <c r="R79" s="27"/>
      <c r="S79" s="6"/>
      <c r="T79" s="6"/>
      <c r="U79" s="42"/>
      <c r="V79" s="6"/>
      <c r="W79" s="6"/>
      <c r="X79" s="10"/>
      <c r="Y79" s="27"/>
      <c r="Z79" s="42"/>
      <c r="AA79" s="42"/>
      <c r="AB79" s="6"/>
      <c r="AC79" s="6"/>
      <c r="AD79" s="42"/>
      <c r="AE79" s="42"/>
      <c r="AF79" s="27"/>
      <c r="AG79" s="6"/>
      <c r="AH79" s="6"/>
      <c r="AI79" s="6"/>
      <c r="AJ79" s="6"/>
      <c r="AK79" s="6"/>
      <c r="AL79" s="6"/>
      <c r="AM79" s="27"/>
      <c r="AN79" s="39"/>
      <c r="AO79" s="237"/>
      <c r="AP79" s="237"/>
    </row>
    <row r="80">
      <c r="A80" s="24" t="s">
        <v>49</v>
      </c>
      <c r="B80" s="17"/>
      <c r="C80" s="17"/>
      <c r="D80" s="18"/>
      <c r="E80" s="25">
        <v>3.0</v>
      </c>
      <c r="F80" s="25" t="s">
        <v>21</v>
      </c>
      <c r="G80" s="7">
        <v>960.0</v>
      </c>
      <c r="H80" s="7" t="s">
        <v>22</v>
      </c>
      <c r="I80" s="7"/>
      <c r="J80" s="7"/>
      <c r="K80" s="7"/>
      <c r="L80" s="7">
        <v>90.0</v>
      </c>
      <c r="M80" s="7">
        <v>90.0</v>
      </c>
      <c r="N80" s="7">
        <f>90+180</f>
        <v>270</v>
      </c>
      <c r="O80" s="7">
        <v>180.0</v>
      </c>
      <c r="P80" s="7">
        <v>180.0</v>
      </c>
      <c r="Q80" s="7"/>
      <c r="R80" s="28"/>
      <c r="S80" s="28">
        <v>270.0</v>
      </c>
      <c r="T80" s="28">
        <v>270.0</v>
      </c>
      <c r="U80" s="28"/>
      <c r="V80" s="28">
        <v>180.0</v>
      </c>
      <c r="W80" s="28"/>
      <c r="X80" s="28"/>
      <c r="Y80" s="28"/>
      <c r="Z80" s="28">
        <v>270.0</v>
      </c>
      <c r="AA80" s="28"/>
      <c r="AB80" s="28"/>
      <c r="AC80" s="28"/>
      <c r="AD80" s="28">
        <v>90.0</v>
      </c>
      <c r="AE80" s="28"/>
      <c r="AF80" s="28"/>
      <c r="AG80" s="27"/>
      <c r="AH80" s="28">
        <v>360.0</v>
      </c>
      <c r="AI80" s="28"/>
      <c r="AJ80" s="28">
        <v>180.0</v>
      </c>
      <c r="AK80" s="28">
        <v>90.0</v>
      </c>
      <c r="AL80" s="28"/>
      <c r="AM80" s="28"/>
      <c r="AN80" s="29">
        <f>G80+SUM(I80:AM80)-SUM(I81:AM81)</f>
        <v>1296</v>
      </c>
      <c r="AO80" s="236">
        <f>ROUNDDOWN((AN80/E80)/$H$4,1)</f>
        <v>14.4</v>
      </c>
      <c r="AP80" s="236">
        <f>$M$3+AO80</f>
        <v>983.4</v>
      </c>
    </row>
    <row r="81">
      <c r="A81" s="56"/>
      <c r="B81" s="56"/>
      <c r="C81" s="56"/>
      <c r="D81" s="56"/>
      <c r="E81" s="57"/>
      <c r="F81" s="57"/>
      <c r="G81" s="26"/>
      <c r="H81" s="7" t="s">
        <v>23</v>
      </c>
      <c r="I81" s="7"/>
      <c r="J81" s="7"/>
      <c r="K81" s="7"/>
      <c r="L81" s="7">
        <v>90.0</v>
      </c>
      <c r="M81" s="7">
        <f>66+45</f>
        <v>111</v>
      </c>
      <c r="N81" s="7">
        <f>90+27</f>
        <v>117</v>
      </c>
      <c r="O81" s="7">
        <f>90+15</f>
        <v>105</v>
      </c>
      <c r="P81" s="7">
        <v>90.0</v>
      </c>
      <c r="Q81" s="7">
        <v>90.0</v>
      </c>
      <c r="R81" s="28"/>
      <c r="S81" s="28">
        <f>90+15</f>
        <v>105</v>
      </c>
      <c r="T81" s="28">
        <v>111.0</v>
      </c>
      <c r="U81" s="28">
        <v>90.0</v>
      </c>
      <c r="V81" s="28">
        <v>93.0</v>
      </c>
      <c r="W81" s="28">
        <v>87.0</v>
      </c>
      <c r="X81" s="28"/>
      <c r="Y81" s="28"/>
      <c r="Z81" s="28">
        <v>90.0</v>
      </c>
      <c r="AA81" s="28">
        <v>36.0</v>
      </c>
      <c r="AB81" s="28">
        <v>90.0</v>
      </c>
      <c r="AC81" s="28">
        <v>90.0</v>
      </c>
      <c r="AD81" s="28">
        <v>90.0</v>
      </c>
      <c r="AE81" s="28">
        <v>90.0</v>
      </c>
      <c r="AF81" s="28"/>
      <c r="AG81" s="28">
        <v>102.0</v>
      </c>
      <c r="AH81" s="28">
        <v>126.0</v>
      </c>
      <c r="AI81" s="28">
        <v>120.0</v>
      </c>
      <c r="AJ81" s="28">
        <v>90.0</v>
      </c>
      <c r="AK81" s="28">
        <v>93.0</v>
      </c>
      <c r="AL81" s="28">
        <v>78.0</v>
      </c>
      <c r="AM81" s="28"/>
      <c r="AN81" s="32"/>
      <c r="AO81" s="32"/>
      <c r="AP81" s="32"/>
    </row>
    <row r="82">
      <c r="A82" s="58"/>
      <c r="B82" s="58"/>
      <c r="C82" s="58"/>
      <c r="D82" s="58"/>
      <c r="E82" s="58"/>
      <c r="F82" s="58"/>
      <c r="G82" s="59"/>
      <c r="H82" s="59"/>
      <c r="I82" s="269"/>
      <c r="J82" s="269"/>
      <c r="K82" s="269"/>
      <c r="L82" s="60"/>
      <c r="M82" s="60"/>
      <c r="N82" s="60"/>
      <c r="O82" s="60"/>
      <c r="P82" s="60"/>
      <c r="Q82" s="60"/>
      <c r="R82" s="239"/>
      <c r="S82" s="61"/>
      <c r="T82" s="61"/>
      <c r="U82" s="61"/>
      <c r="V82" s="61"/>
      <c r="W82" s="240"/>
      <c r="X82" s="62"/>
      <c r="Y82" s="239"/>
      <c r="Z82" s="61"/>
      <c r="AA82" s="61"/>
      <c r="AB82" s="61"/>
      <c r="AC82" s="61"/>
      <c r="AD82" s="61"/>
      <c r="AE82" s="61"/>
      <c r="AF82" s="239"/>
      <c r="AG82" s="61"/>
      <c r="AH82" s="61"/>
      <c r="AI82" s="61"/>
      <c r="AJ82" s="61"/>
      <c r="AK82" s="61"/>
      <c r="AL82" s="61"/>
      <c r="AM82" s="239"/>
      <c r="AN82" s="63"/>
      <c r="AO82" s="63"/>
      <c r="AP82" s="63"/>
    </row>
    <row r="83">
      <c r="A83" s="16" t="s">
        <v>50</v>
      </c>
      <c r="B83" s="17"/>
      <c r="C83" s="17"/>
      <c r="D83" s="17"/>
      <c r="E83" s="17"/>
      <c r="F83" s="18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</row>
    <row r="84">
      <c r="A84" s="24" t="s">
        <v>51</v>
      </c>
      <c r="B84" s="17"/>
      <c r="C84" s="17"/>
      <c r="D84" s="18"/>
      <c r="E84" s="25">
        <v>1.0</v>
      </c>
      <c r="F84" s="25" t="s">
        <v>21</v>
      </c>
      <c r="G84" s="7">
        <f>483+240+27</f>
        <v>750</v>
      </c>
      <c r="H84" s="7" t="s">
        <v>22</v>
      </c>
      <c r="I84" s="26"/>
      <c r="J84" s="7"/>
      <c r="K84" s="26"/>
      <c r="L84" s="26"/>
      <c r="M84" s="26"/>
      <c r="N84" s="26"/>
      <c r="O84" s="7"/>
      <c r="P84" s="7"/>
      <c r="Q84" s="7"/>
      <c r="R84" s="28"/>
      <c r="S84" s="27"/>
      <c r="T84" s="27"/>
      <c r="U84" s="28">
        <v>155.0</v>
      </c>
      <c r="V84" s="27"/>
      <c r="W84" s="27"/>
      <c r="X84" s="28"/>
      <c r="Y84" s="27"/>
      <c r="Z84" s="28"/>
      <c r="AA84" s="28">
        <f>155+200</f>
        <v>355</v>
      </c>
      <c r="AB84" s="27"/>
      <c r="AC84" s="27"/>
      <c r="AD84" s="27"/>
      <c r="AE84" s="28"/>
      <c r="AF84" s="27"/>
      <c r="AG84" s="28"/>
      <c r="AH84" s="28"/>
      <c r="AI84" s="27"/>
      <c r="AJ84" s="28"/>
      <c r="AK84" s="27"/>
      <c r="AL84" s="27"/>
      <c r="AM84" s="27"/>
      <c r="AN84" s="29">
        <f>G84+SUM(I84:AM84)-SUM(I85:AM85)</f>
        <v>550</v>
      </c>
      <c r="AO84" s="236">
        <f>ROUNDDOWN((AN84/E84)/$H$4,1)</f>
        <v>18.3</v>
      </c>
      <c r="AP84" s="236">
        <f>$M$3+AO84</f>
        <v>987.3</v>
      </c>
    </row>
    <row r="85">
      <c r="A85" s="31"/>
      <c r="B85" s="17"/>
      <c r="C85" s="17"/>
      <c r="D85" s="17"/>
      <c r="E85" s="17"/>
      <c r="F85" s="18"/>
      <c r="G85" s="26"/>
      <c r="H85" s="7" t="s">
        <v>23</v>
      </c>
      <c r="I85" s="7"/>
      <c r="J85" s="7"/>
      <c r="K85" s="7"/>
      <c r="L85" s="7">
        <v>27.0</v>
      </c>
      <c r="M85" s="7">
        <v>40.0</v>
      </c>
      <c r="N85" s="7">
        <v>39.0</v>
      </c>
      <c r="O85" s="7">
        <v>35.0</v>
      </c>
      <c r="P85" s="7">
        <v>34.0</v>
      </c>
      <c r="Q85" s="7">
        <v>31.0</v>
      </c>
      <c r="R85" s="28"/>
      <c r="S85" s="28">
        <v>35.0</v>
      </c>
      <c r="T85" s="28">
        <v>37.0</v>
      </c>
      <c r="U85" s="28">
        <v>29.0</v>
      </c>
      <c r="V85" s="28">
        <v>32.0</v>
      </c>
      <c r="W85" s="28">
        <v>29.0</v>
      </c>
      <c r="X85" s="28"/>
      <c r="Y85" s="28"/>
      <c r="Z85" s="28">
        <v>42.0</v>
      </c>
      <c r="AA85" s="28"/>
      <c r="AB85" s="28">
        <v>27.0</v>
      </c>
      <c r="AC85" s="28">
        <v>30.0</v>
      </c>
      <c r="AD85" s="28">
        <v>25.0</v>
      </c>
      <c r="AE85" s="28">
        <v>22.0</v>
      </c>
      <c r="AF85" s="28"/>
      <c r="AG85" s="28">
        <v>30.0</v>
      </c>
      <c r="AH85" s="28">
        <v>39.0</v>
      </c>
      <c r="AI85" s="28">
        <v>40.0</v>
      </c>
      <c r="AJ85" s="28">
        <v>34.0</v>
      </c>
      <c r="AK85" s="28">
        <v>27.0</v>
      </c>
      <c r="AL85" s="28">
        <v>26.0</v>
      </c>
      <c r="AM85" s="28"/>
      <c r="AN85" s="32"/>
      <c r="AO85" s="32"/>
      <c r="AP85" s="32"/>
    </row>
    <row r="86">
      <c r="A86" s="33"/>
      <c r="B86" s="33"/>
      <c r="C86" s="33"/>
      <c r="D86" s="33"/>
      <c r="E86" s="25"/>
      <c r="F86" s="25"/>
      <c r="G86" s="7"/>
      <c r="H86" s="7"/>
      <c r="I86" s="26"/>
      <c r="J86" s="26"/>
      <c r="K86" s="26"/>
      <c r="L86" s="37"/>
      <c r="M86" s="37"/>
      <c r="N86" s="37"/>
      <c r="O86" s="37"/>
      <c r="P86" s="37"/>
      <c r="Q86" s="37"/>
      <c r="R86" s="27"/>
      <c r="S86" s="6"/>
      <c r="T86" s="6"/>
      <c r="U86" s="6"/>
      <c r="V86" s="6"/>
      <c r="W86" s="6"/>
      <c r="X86" s="10"/>
      <c r="Y86" s="27"/>
      <c r="Z86" s="6"/>
      <c r="AA86" s="10"/>
      <c r="AB86" s="6"/>
      <c r="AC86" s="6"/>
      <c r="AD86" s="6"/>
      <c r="AE86" s="6"/>
      <c r="AF86" s="27"/>
      <c r="AG86" s="6"/>
      <c r="AH86" s="6"/>
      <c r="AI86" s="6"/>
      <c r="AJ86" s="6"/>
      <c r="AK86" s="6"/>
      <c r="AL86" s="6"/>
      <c r="AM86" s="27"/>
      <c r="AN86" s="39"/>
      <c r="AO86" s="237"/>
      <c r="AP86" s="237"/>
    </row>
    <row r="87">
      <c r="A87" s="24" t="s">
        <v>52</v>
      </c>
      <c r="B87" s="17"/>
      <c r="C87" s="17"/>
      <c r="D87" s="18"/>
      <c r="E87" s="25">
        <v>1.0</v>
      </c>
      <c r="F87" s="25" t="s">
        <v>21</v>
      </c>
      <c r="G87" s="7">
        <v>545.0</v>
      </c>
      <c r="H87" s="7" t="s">
        <v>22</v>
      </c>
      <c r="I87" s="26"/>
      <c r="J87" s="26"/>
      <c r="K87" s="7"/>
      <c r="L87" s="26"/>
      <c r="M87" s="26"/>
      <c r="N87" s="7"/>
      <c r="O87" s="26"/>
      <c r="P87" s="7"/>
      <c r="Q87" s="7">
        <v>150.0</v>
      </c>
      <c r="R87" s="28"/>
      <c r="S87" s="27"/>
      <c r="T87" s="28"/>
      <c r="U87" s="28"/>
      <c r="V87" s="27"/>
      <c r="W87" s="27"/>
      <c r="X87" s="28">
        <v>150.0</v>
      </c>
      <c r="Y87" s="28"/>
      <c r="Z87" s="27"/>
      <c r="AA87" s="28"/>
      <c r="AB87" s="28">
        <v>150.0</v>
      </c>
      <c r="AC87" s="27"/>
      <c r="AD87" s="28"/>
      <c r="AE87" s="28">
        <v>150.0</v>
      </c>
      <c r="AF87" s="27"/>
      <c r="AG87" s="28"/>
      <c r="AH87" s="27"/>
      <c r="AI87" s="28">
        <v>210.0</v>
      </c>
      <c r="AJ87" s="27"/>
      <c r="AK87" s="27"/>
      <c r="AL87" s="28"/>
      <c r="AM87" s="28"/>
      <c r="AN87" s="29">
        <f>G87+SUM(I87:AM87)-SUM(I88:AM88)</f>
        <v>660</v>
      </c>
      <c r="AO87" s="236">
        <f>ROUNDDOWN((AN87/E87)/$H$4,1)</f>
        <v>22</v>
      </c>
      <c r="AP87" s="236">
        <f>$M$3+AO87</f>
        <v>991</v>
      </c>
    </row>
    <row r="88">
      <c r="A88" s="31"/>
      <c r="B88" s="17"/>
      <c r="C88" s="17"/>
      <c r="D88" s="17"/>
      <c r="E88" s="17"/>
      <c r="F88" s="18"/>
      <c r="G88" s="26"/>
      <c r="H88" s="7" t="s">
        <v>23</v>
      </c>
      <c r="I88" s="7"/>
      <c r="J88" s="7"/>
      <c r="K88" s="7"/>
      <c r="L88" s="7">
        <v>30.0</v>
      </c>
      <c r="M88" s="7">
        <f>22+15</f>
        <v>37</v>
      </c>
      <c r="N88" s="7">
        <f>30+9</f>
        <v>39</v>
      </c>
      <c r="O88" s="7">
        <f>30+5</f>
        <v>35</v>
      </c>
      <c r="P88" s="7">
        <v>30.0</v>
      </c>
      <c r="Q88" s="7">
        <v>30.0</v>
      </c>
      <c r="R88" s="28"/>
      <c r="S88" s="28">
        <f>30+5</f>
        <v>35</v>
      </c>
      <c r="T88" s="28">
        <v>37.0</v>
      </c>
      <c r="U88" s="28">
        <v>30.0</v>
      </c>
      <c r="V88" s="28">
        <v>32.0</v>
      </c>
      <c r="W88" s="28">
        <v>29.0</v>
      </c>
      <c r="X88" s="28"/>
      <c r="Y88" s="28"/>
      <c r="Z88" s="28">
        <v>30.0</v>
      </c>
      <c r="AA88" s="28">
        <v>12.0</v>
      </c>
      <c r="AB88" s="28">
        <v>30.0</v>
      </c>
      <c r="AC88" s="28">
        <v>30.0</v>
      </c>
      <c r="AD88" s="28">
        <v>30.0</v>
      </c>
      <c r="AE88" s="28">
        <v>30.0</v>
      </c>
      <c r="AF88" s="28"/>
      <c r="AG88" s="28"/>
      <c r="AH88" s="28">
        <v>42.0</v>
      </c>
      <c r="AI88" s="28">
        <v>40.0</v>
      </c>
      <c r="AJ88" s="28">
        <v>30.0</v>
      </c>
      <c r="AK88" s="28">
        <v>31.0</v>
      </c>
      <c r="AL88" s="28">
        <v>26.0</v>
      </c>
      <c r="AM88" s="28"/>
      <c r="AN88" s="32"/>
      <c r="AO88" s="32"/>
      <c r="AP88" s="32"/>
    </row>
    <row r="89">
      <c r="A89" s="33"/>
      <c r="B89" s="33"/>
      <c r="C89" s="33"/>
      <c r="D89" s="33"/>
      <c r="E89" s="25"/>
      <c r="F89" s="25"/>
      <c r="G89" s="7"/>
      <c r="H89" s="7"/>
      <c r="I89" s="26"/>
      <c r="J89" s="26"/>
      <c r="K89" s="26"/>
      <c r="L89" s="37"/>
      <c r="M89" s="41"/>
      <c r="N89" s="37"/>
      <c r="O89" s="37"/>
      <c r="P89" s="37"/>
      <c r="Q89" s="37"/>
      <c r="R89" s="27"/>
      <c r="S89" s="6"/>
      <c r="T89" s="42"/>
      <c r="U89" s="6"/>
      <c r="V89" s="6"/>
      <c r="W89" s="6"/>
      <c r="X89" s="10"/>
      <c r="Y89" s="27"/>
      <c r="Z89" s="6"/>
      <c r="AA89" s="6"/>
      <c r="AB89" s="6"/>
      <c r="AC89" s="6"/>
      <c r="AD89" s="6"/>
      <c r="AE89" s="6"/>
      <c r="AF89" s="27"/>
      <c r="AG89" s="10"/>
      <c r="AH89" s="42"/>
      <c r="AI89" s="6"/>
      <c r="AJ89" s="6"/>
      <c r="AK89" s="6"/>
      <c r="AL89" s="6"/>
      <c r="AM89" s="27"/>
      <c r="AN89" s="39"/>
      <c r="AO89" s="237"/>
      <c r="AP89" s="237"/>
    </row>
    <row r="90">
      <c r="A90" s="24" t="s">
        <v>53</v>
      </c>
      <c r="B90" s="17"/>
      <c r="C90" s="17"/>
      <c r="D90" s="18"/>
      <c r="E90" s="25">
        <v>1.0</v>
      </c>
      <c r="F90" s="25" t="s">
        <v>30</v>
      </c>
      <c r="G90" s="7">
        <v>134.0</v>
      </c>
      <c r="H90" s="7" t="s">
        <v>22</v>
      </c>
      <c r="I90" s="7"/>
      <c r="J90" s="26"/>
      <c r="K90" s="7"/>
      <c r="L90" s="7">
        <v>60.0</v>
      </c>
      <c r="M90" s="7"/>
      <c r="N90" s="7"/>
      <c r="O90" s="7">
        <v>60.0</v>
      </c>
      <c r="P90" s="7"/>
      <c r="Q90" s="7">
        <v>30.0</v>
      </c>
      <c r="R90" s="28"/>
      <c r="S90" s="28">
        <v>60.0</v>
      </c>
      <c r="T90" s="28"/>
      <c r="U90" s="28">
        <v>60.0</v>
      </c>
      <c r="V90" s="28">
        <v>60.0</v>
      </c>
      <c r="W90" s="28"/>
      <c r="X90" s="28">
        <v>30.0</v>
      </c>
      <c r="Y90" s="28"/>
      <c r="Z90" s="28"/>
      <c r="AA90" s="28">
        <v>90.0</v>
      </c>
      <c r="AB90" s="28">
        <v>60.0</v>
      </c>
      <c r="AC90" s="28">
        <v>60.0</v>
      </c>
      <c r="AD90" s="28"/>
      <c r="AE90" s="28">
        <v>60.0</v>
      </c>
      <c r="AF90" s="28"/>
      <c r="AG90" s="27"/>
      <c r="AH90" s="28">
        <v>60.0</v>
      </c>
      <c r="AI90" s="28"/>
      <c r="AJ90" s="28"/>
      <c r="AK90" s="28">
        <v>60.0</v>
      </c>
      <c r="AL90" s="28"/>
      <c r="AM90" s="28"/>
      <c r="AN90" s="29">
        <f>G90+SUM(I90:AM90)-SUM(I91:AM91)</f>
        <v>174</v>
      </c>
      <c r="AO90" s="236">
        <f>ROUNDDOWN((AN90/E90)/$H$4,1)</f>
        <v>5.8</v>
      </c>
      <c r="AP90" s="236">
        <f>$M$3+AO90</f>
        <v>974.8</v>
      </c>
    </row>
    <row r="91">
      <c r="A91" s="56"/>
      <c r="B91" s="56"/>
      <c r="C91" s="56"/>
      <c r="D91" s="56"/>
      <c r="E91" s="57"/>
      <c r="F91" s="57"/>
      <c r="G91" s="26"/>
      <c r="H91" s="7" t="s">
        <v>23</v>
      </c>
      <c r="I91" s="7"/>
      <c r="J91" s="7"/>
      <c r="K91" s="7"/>
      <c r="L91" s="7">
        <v>27.0</v>
      </c>
      <c r="M91" s="7">
        <v>40.0</v>
      </c>
      <c r="N91" s="7">
        <v>39.0</v>
      </c>
      <c r="O91" s="7">
        <v>35.0</v>
      </c>
      <c r="P91" s="7">
        <v>34.0</v>
      </c>
      <c r="Q91" s="7">
        <v>31.0</v>
      </c>
      <c r="R91" s="28"/>
      <c r="S91" s="28">
        <v>35.0</v>
      </c>
      <c r="T91" s="28">
        <v>37.0</v>
      </c>
      <c r="U91" s="28">
        <v>29.0</v>
      </c>
      <c r="V91" s="28">
        <v>32.0</v>
      </c>
      <c r="W91" s="28">
        <v>29.0</v>
      </c>
      <c r="X91" s="28"/>
      <c r="Y91" s="28"/>
      <c r="Z91" s="28">
        <v>42.0</v>
      </c>
      <c r="AA91" s="28"/>
      <c r="AB91" s="28">
        <v>27.0</v>
      </c>
      <c r="AC91" s="28">
        <v>30.0</v>
      </c>
      <c r="AD91" s="28">
        <v>25.0</v>
      </c>
      <c r="AE91" s="28">
        <v>22.0</v>
      </c>
      <c r="AF91" s="28"/>
      <c r="AG91" s="28">
        <v>30.0</v>
      </c>
      <c r="AH91" s="28">
        <v>39.0</v>
      </c>
      <c r="AI91" s="28">
        <v>40.0</v>
      </c>
      <c r="AJ91" s="28">
        <v>34.0</v>
      </c>
      <c r="AK91" s="28">
        <v>27.0</v>
      </c>
      <c r="AL91" s="28">
        <v>26.0</v>
      </c>
      <c r="AM91" s="28"/>
      <c r="AN91" s="32"/>
      <c r="AO91" s="32"/>
      <c r="AP91" s="32"/>
    </row>
    <row r="92">
      <c r="A92" s="58"/>
      <c r="B92" s="58"/>
      <c r="C92" s="58"/>
      <c r="D92" s="58"/>
      <c r="E92" s="58"/>
      <c r="F92" s="58"/>
      <c r="G92" s="68"/>
      <c r="H92" s="48"/>
      <c r="I92" s="27"/>
      <c r="J92" s="27"/>
      <c r="K92" s="27"/>
      <c r="L92" s="37"/>
      <c r="M92" s="6"/>
      <c r="N92" s="6"/>
      <c r="O92" s="6"/>
      <c r="P92" s="6"/>
      <c r="Q92" s="6"/>
      <c r="R92" s="27"/>
      <c r="S92" s="6"/>
      <c r="T92" s="6"/>
      <c r="U92" s="6"/>
      <c r="V92" s="6"/>
      <c r="W92" s="6"/>
      <c r="X92" s="10"/>
      <c r="Y92" s="27"/>
      <c r="Z92" s="6"/>
      <c r="AA92" s="10"/>
      <c r="AB92" s="6"/>
      <c r="AC92" s="6"/>
      <c r="AD92" s="6"/>
      <c r="AE92" s="6"/>
      <c r="AF92" s="27"/>
      <c r="AG92" s="6"/>
      <c r="AH92" s="6"/>
      <c r="AI92" s="6"/>
      <c r="AJ92" s="6"/>
      <c r="AK92" s="6"/>
      <c r="AL92" s="6"/>
      <c r="AM92" s="27"/>
      <c r="AN92" s="48"/>
      <c r="AO92" s="48"/>
      <c r="AP92" s="48"/>
    </row>
    <row r="93">
      <c r="A93" s="16" t="s">
        <v>54</v>
      </c>
      <c r="B93" s="17"/>
      <c r="C93" s="17"/>
      <c r="D93" s="17"/>
      <c r="E93" s="17"/>
      <c r="F93" s="18"/>
      <c r="G93" s="19"/>
      <c r="H93" s="21"/>
      <c r="I93" s="21"/>
      <c r="J93" s="21"/>
      <c r="K93" s="21"/>
      <c r="L93" s="20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</row>
    <row r="94">
      <c r="A94" s="24" t="s">
        <v>55</v>
      </c>
      <c r="B94" s="17"/>
      <c r="C94" s="17"/>
      <c r="D94" s="18"/>
      <c r="E94" s="25">
        <v>1.0</v>
      </c>
      <c r="F94" s="25" t="s">
        <v>21</v>
      </c>
      <c r="G94" s="7">
        <f>330+27</f>
        <v>357</v>
      </c>
      <c r="H94" s="7" t="s">
        <v>22</v>
      </c>
      <c r="I94" s="26"/>
      <c r="J94" s="26"/>
      <c r="K94" s="26"/>
      <c r="L94" s="7"/>
      <c r="M94" s="7">
        <f>1000+100</f>
        <v>1100</v>
      </c>
      <c r="N94" s="26"/>
      <c r="O94" s="26"/>
      <c r="P94" s="26"/>
      <c r="Q94" s="26"/>
      <c r="R94" s="27"/>
      <c r="S94" s="28"/>
      <c r="T94" s="27"/>
      <c r="U94" s="27"/>
      <c r="V94" s="27"/>
      <c r="W94" s="27"/>
      <c r="X94" s="27"/>
      <c r="Y94" s="27"/>
      <c r="Z94" s="27"/>
      <c r="AA94" s="28"/>
      <c r="AB94" s="27"/>
      <c r="AC94" s="27"/>
      <c r="AD94" s="28"/>
      <c r="AE94" s="27"/>
      <c r="AF94" s="27"/>
      <c r="AG94" s="27"/>
      <c r="AH94" s="28"/>
      <c r="AI94" s="27"/>
      <c r="AJ94" s="27"/>
      <c r="AK94" s="27"/>
      <c r="AL94" s="27"/>
      <c r="AM94" s="27"/>
      <c r="AN94" s="29">
        <f>G94+SUM(I94:AM94)-SUM(I95:AM95)</f>
        <v>747</v>
      </c>
      <c r="AO94" s="236">
        <f>ROUNDDOWN((AN94/E94)/$H$4,1)</f>
        <v>24.9</v>
      </c>
      <c r="AP94" s="236">
        <f>$M$3+AO94</f>
        <v>993.9</v>
      </c>
    </row>
    <row r="95">
      <c r="A95" s="31"/>
      <c r="B95" s="17"/>
      <c r="C95" s="17"/>
      <c r="D95" s="17"/>
      <c r="E95" s="17"/>
      <c r="F95" s="18"/>
      <c r="G95" s="26"/>
      <c r="H95" s="7" t="s">
        <v>23</v>
      </c>
      <c r="I95" s="7"/>
      <c r="J95" s="7"/>
      <c r="K95" s="7"/>
      <c r="L95" s="7">
        <v>27.0</v>
      </c>
      <c r="M95" s="7">
        <v>40.0</v>
      </c>
      <c r="N95" s="7">
        <v>39.0</v>
      </c>
      <c r="O95" s="7">
        <v>35.0</v>
      </c>
      <c r="P95" s="7">
        <v>34.0</v>
      </c>
      <c r="Q95" s="7">
        <v>31.0</v>
      </c>
      <c r="R95" s="28"/>
      <c r="S95" s="28">
        <v>35.0</v>
      </c>
      <c r="T95" s="28">
        <v>37.0</v>
      </c>
      <c r="U95" s="28">
        <v>29.0</v>
      </c>
      <c r="V95" s="28">
        <v>32.0</v>
      </c>
      <c r="W95" s="28">
        <v>29.0</v>
      </c>
      <c r="X95" s="28"/>
      <c r="Y95" s="28"/>
      <c r="Z95" s="28">
        <v>42.0</v>
      </c>
      <c r="AA95" s="28"/>
      <c r="AB95" s="28">
        <v>27.0</v>
      </c>
      <c r="AC95" s="28">
        <v>30.0</v>
      </c>
      <c r="AD95" s="28">
        <v>25.0</v>
      </c>
      <c r="AE95" s="28">
        <v>22.0</v>
      </c>
      <c r="AF95" s="28"/>
      <c r="AG95" s="28">
        <v>30.0</v>
      </c>
      <c r="AH95" s="28">
        <v>39.0</v>
      </c>
      <c r="AI95" s="28">
        <v>40.0</v>
      </c>
      <c r="AJ95" s="28">
        <v>34.0</v>
      </c>
      <c r="AK95" s="28">
        <v>27.0</v>
      </c>
      <c r="AL95" s="28">
        <v>26.0</v>
      </c>
      <c r="AM95" s="28"/>
      <c r="AN95" s="32"/>
      <c r="AO95" s="32"/>
      <c r="AP95" s="32"/>
    </row>
    <row r="96">
      <c r="A96" s="33"/>
      <c r="B96" s="33"/>
      <c r="C96" s="33"/>
      <c r="D96" s="33"/>
      <c r="E96" s="25"/>
      <c r="F96" s="25"/>
      <c r="G96" s="7"/>
      <c r="H96" s="7"/>
      <c r="I96" s="26"/>
      <c r="J96" s="26"/>
      <c r="K96" s="26"/>
      <c r="L96" s="37"/>
      <c r="M96" s="37"/>
      <c r="N96" s="37"/>
      <c r="O96" s="41"/>
      <c r="P96" s="37"/>
      <c r="Q96" s="37"/>
      <c r="R96" s="27"/>
      <c r="S96" s="6"/>
      <c r="T96" s="6"/>
      <c r="U96" s="6"/>
      <c r="V96" s="6"/>
      <c r="W96" s="6"/>
      <c r="X96" s="10"/>
      <c r="Y96" s="27"/>
      <c r="Z96" s="6"/>
      <c r="AA96" s="10"/>
      <c r="AB96" s="6"/>
      <c r="AC96" s="6"/>
      <c r="AD96" s="6"/>
      <c r="AE96" s="6"/>
      <c r="AF96" s="27"/>
      <c r="AG96" s="6"/>
      <c r="AH96" s="6"/>
      <c r="AI96" s="6"/>
      <c r="AJ96" s="6"/>
      <c r="AK96" s="6"/>
      <c r="AL96" s="6"/>
      <c r="AM96" s="27"/>
      <c r="AN96" s="39"/>
      <c r="AO96" s="237"/>
      <c r="AP96" s="237"/>
    </row>
    <row r="97">
      <c r="A97" s="24" t="s">
        <v>56</v>
      </c>
      <c r="B97" s="17"/>
      <c r="C97" s="17"/>
      <c r="D97" s="18"/>
      <c r="E97" s="25">
        <v>1.0</v>
      </c>
      <c r="F97" s="25" t="s">
        <v>21</v>
      </c>
      <c r="G97" s="7">
        <v>1290.0</v>
      </c>
      <c r="H97" s="7" t="s">
        <v>22</v>
      </c>
      <c r="I97" s="26"/>
      <c r="J97" s="26"/>
      <c r="K97" s="26"/>
      <c r="L97" s="26"/>
      <c r="M97" s="26"/>
      <c r="N97" s="7"/>
      <c r="O97" s="7"/>
      <c r="P97" s="26"/>
      <c r="Q97" s="26"/>
      <c r="R97" s="27"/>
      <c r="S97" s="27"/>
      <c r="T97" s="27"/>
      <c r="U97" s="27"/>
      <c r="V97" s="27"/>
      <c r="W97" s="28"/>
      <c r="X97" s="28"/>
      <c r="Y97" s="27"/>
      <c r="Z97" s="27"/>
      <c r="AA97" s="27"/>
      <c r="AB97" s="27"/>
      <c r="AC97" s="27"/>
      <c r="AD97" s="28"/>
      <c r="AE97" s="27"/>
      <c r="AF97" s="27"/>
      <c r="AG97" s="28"/>
      <c r="AH97" s="27"/>
      <c r="AI97" s="27"/>
      <c r="AJ97" s="28"/>
      <c r="AK97" s="28">
        <v>510.0</v>
      </c>
      <c r="AL97" s="27"/>
      <c r="AM97" s="27"/>
      <c r="AN97" s="29">
        <f>G97+SUM(I97:AM97)-SUM(I98:AM98)</f>
        <v>1090</v>
      </c>
      <c r="AO97" s="236">
        <f>ROUNDDOWN((AN97/E97)/$H$4,1)</f>
        <v>36.3</v>
      </c>
      <c r="AP97" s="236">
        <f>$M$3+AO97</f>
        <v>1005.3</v>
      </c>
    </row>
    <row r="98">
      <c r="A98" s="56"/>
      <c r="B98" s="56"/>
      <c r="C98" s="56"/>
      <c r="D98" s="56"/>
      <c r="E98" s="57"/>
      <c r="F98" s="57"/>
      <c r="G98" s="26"/>
      <c r="H98" s="7" t="s">
        <v>23</v>
      </c>
      <c r="I98" s="7"/>
      <c r="J98" s="7"/>
      <c r="K98" s="7"/>
      <c r="L98" s="7">
        <v>27.0</v>
      </c>
      <c r="M98" s="7">
        <v>40.0</v>
      </c>
      <c r="N98" s="7">
        <v>39.0</v>
      </c>
      <c r="O98" s="7">
        <v>35.0</v>
      </c>
      <c r="P98" s="7">
        <v>34.0</v>
      </c>
      <c r="Q98" s="7">
        <v>31.0</v>
      </c>
      <c r="R98" s="28"/>
      <c r="S98" s="28">
        <v>35.0</v>
      </c>
      <c r="T98" s="28">
        <v>37.0</v>
      </c>
      <c r="U98" s="28">
        <v>29.0</v>
      </c>
      <c r="V98" s="28">
        <v>32.0</v>
      </c>
      <c r="W98" s="28">
        <v>29.0</v>
      </c>
      <c r="X98" s="28"/>
      <c r="Y98" s="28"/>
      <c r="Z98" s="28">
        <v>42.0</v>
      </c>
      <c r="AA98" s="28"/>
      <c r="AB98" s="28">
        <v>27.0</v>
      </c>
      <c r="AC98" s="28">
        <v>30.0</v>
      </c>
      <c r="AD98" s="28">
        <v>25.0</v>
      </c>
      <c r="AE98" s="28">
        <v>22.0</v>
      </c>
      <c r="AF98" s="27"/>
      <c r="AG98" s="28">
        <v>30.0</v>
      </c>
      <c r="AH98" s="28">
        <v>39.0</v>
      </c>
      <c r="AI98" s="28">
        <v>40.0</v>
      </c>
      <c r="AJ98" s="28">
        <v>34.0</v>
      </c>
      <c r="AK98" s="28">
        <v>27.0</v>
      </c>
      <c r="AL98" s="28">
        <v>26.0</v>
      </c>
      <c r="AM98" s="28"/>
      <c r="AN98" s="32"/>
      <c r="AO98" s="32"/>
      <c r="AP98" s="32"/>
    </row>
    <row r="99">
      <c r="A99" s="58"/>
      <c r="B99" s="58"/>
      <c r="C99" s="58"/>
      <c r="D99" s="58"/>
      <c r="E99" s="58"/>
      <c r="F99" s="58"/>
      <c r="G99" s="68"/>
      <c r="H99" s="69"/>
      <c r="I99" s="26"/>
      <c r="J99" s="26"/>
      <c r="K99" s="26"/>
      <c r="L99" s="37"/>
      <c r="M99" s="37"/>
      <c r="N99" s="37"/>
      <c r="O99" s="37"/>
      <c r="P99" s="37"/>
      <c r="Q99" s="37"/>
      <c r="R99" s="27"/>
      <c r="S99" s="6"/>
      <c r="T99" s="6"/>
      <c r="U99" s="6"/>
      <c r="V99" s="6"/>
      <c r="W99" s="6"/>
      <c r="X99" s="10"/>
      <c r="Y99" s="27"/>
      <c r="Z99" s="6"/>
      <c r="AA99" s="10"/>
      <c r="AB99" s="6"/>
      <c r="AC99" s="6"/>
      <c r="AD99" s="6"/>
      <c r="AE99" s="6"/>
      <c r="AF99" s="27"/>
      <c r="AG99" s="6"/>
      <c r="AH99" s="6"/>
      <c r="AI99" s="6"/>
      <c r="AJ99" s="6"/>
      <c r="AK99" s="6"/>
      <c r="AL99" s="6"/>
      <c r="AM99" s="27"/>
      <c r="AN99" s="48"/>
      <c r="AO99" s="48"/>
      <c r="AP99" s="48"/>
    </row>
    <row r="100">
      <c r="A100" s="16" t="s">
        <v>57</v>
      </c>
      <c r="B100" s="17"/>
      <c r="C100" s="17"/>
      <c r="D100" s="17"/>
      <c r="E100" s="17"/>
      <c r="F100" s="18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</row>
    <row r="101">
      <c r="A101" s="55" t="s">
        <v>58</v>
      </c>
      <c r="B101" s="17"/>
      <c r="C101" s="17"/>
      <c r="D101" s="18"/>
      <c r="E101" s="25">
        <v>2.0</v>
      </c>
      <c r="F101" s="25" t="s">
        <v>21</v>
      </c>
      <c r="G101" s="7">
        <v>714.0</v>
      </c>
      <c r="H101" s="7" t="s">
        <v>22</v>
      </c>
      <c r="I101" s="26"/>
      <c r="J101" s="26"/>
      <c r="K101" s="26"/>
      <c r="L101" s="7"/>
      <c r="M101" s="26"/>
      <c r="N101" s="7">
        <v>2040.0</v>
      </c>
      <c r="O101" s="26"/>
      <c r="P101" s="26"/>
      <c r="Q101" s="26"/>
      <c r="R101" s="27"/>
      <c r="S101" s="28"/>
      <c r="T101" s="27"/>
      <c r="U101" s="27"/>
      <c r="V101" s="27"/>
      <c r="W101" s="27"/>
      <c r="X101" s="27"/>
      <c r="Y101" s="27"/>
      <c r="Z101" s="28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9">
        <f>G101+SUM(I101:AM101)-SUM(I102:AM102)</f>
        <v>1334</v>
      </c>
      <c r="AO101" s="236">
        <f>ROUNDDOWN((AN101/E101)/$H$4,1)</f>
        <v>22.2</v>
      </c>
      <c r="AP101" s="236">
        <f>$M$3+AO101</f>
        <v>991.2</v>
      </c>
    </row>
    <row r="102">
      <c r="A102" s="70"/>
      <c r="B102" s="17"/>
      <c r="C102" s="17"/>
      <c r="D102" s="17"/>
      <c r="E102" s="17"/>
      <c r="F102" s="18"/>
      <c r="G102" s="26"/>
      <c r="H102" s="7" t="s">
        <v>23</v>
      </c>
      <c r="I102" s="7"/>
      <c r="J102" s="7"/>
      <c r="K102" s="7"/>
      <c r="L102" s="7">
        <v>54.0</v>
      </c>
      <c r="M102" s="7">
        <v>80.0</v>
      </c>
      <c r="N102" s="7">
        <v>78.0</v>
      </c>
      <c r="O102" s="7">
        <v>70.0</v>
      </c>
      <c r="P102" s="7">
        <v>68.0</v>
      </c>
      <c r="Q102" s="7">
        <v>62.0</v>
      </c>
      <c r="R102" s="28"/>
      <c r="S102" s="28">
        <v>70.0</v>
      </c>
      <c r="T102" s="28">
        <v>74.0</v>
      </c>
      <c r="U102" s="270">
        <v>58.0</v>
      </c>
      <c r="V102" s="28">
        <v>64.0</v>
      </c>
      <c r="W102" s="28">
        <v>58.0</v>
      </c>
      <c r="X102" s="28"/>
      <c r="Y102" s="28"/>
      <c r="Z102" s="28">
        <v>84.0</v>
      </c>
      <c r="AA102" s="28"/>
      <c r="AB102" s="28">
        <v>54.0</v>
      </c>
      <c r="AC102" s="28">
        <v>60.0</v>
      </c>
      <c r="AD102" s="28">
        <v>50.0</v>
      </c>
      <c r="AE102" s="28">
        <v>44.0</v>
      </c>
      <c r="AF102" s="28"/>
      <c r="AG102" s="28">
        <v>60.0</v>
      </c>
      <c r="AH102" s="28">
        <v>78.0</v>
      </c>
      <c r="AI102" s="28">
        <v>80.0</v>
      </c>
      <c r="AJ102" s="28">
        <v>68.0</v>
      </c>
      <c r="AK102" s="28">
        <v>54.0</v>
      </c>
      <c r="AL102" s="28">
        <v>52.0</v>
      </c>
      <c r="AM102" s="28"/>
      <c r="AN102" s="32"/>
      <c r="AO102" s="32"/>
      <c r="AP102" s="32"/>
    </row>
    <row r="103">
      <c r="A103" s="54"/>
      <c r="B103" s="54"/>
      <c r="C103" s="54"/>
      <c r="D103" s="54"/>
      <c r="E103" s="25"/>
      <c r="F103" s="25"/>
      <c r="G103" s="7"/>
      <c r="H103" s="7"/>
      <c r="I103" s="26"/>
      <c r="J103" s="26"/>
      <c r="K103" s="26"/>
      <c r="L103" s="37"/>
      <c r="M103" s="37"/>
      <c r="N103" s="37"/>
      <c r="O103" s="37"/>
      <c r="P103" s="37"/>
      <c r="Q103" s="37"/>
      <c r="R103" s="27"/>
      <c r="S103" s="42"/>
      <c r="T103" s="6"/>
      <c r="U103" s="6"/>
      <c r="V103" s="6"/>
      <c r="W103" s="6"/>
      <c r="X103" s="10"/>
      <c r="Y103" s="27"/>
      <c r="Z103" s="6"/>
      <c r="AA103" s="10"/>
      <c r="AB103" s="6"/>
      <c r="AC103" s="6"/>
      <c r="AD103" s="6"/>
      <c r="AE103" s="6"/>
      <c r="AF103" s="27"/>
      <c r="AG103" s="6"/>
      <c r="AH103" s="6"/>
      <c r="AI103" s="6"/>
      <c r="AJ103" s="6"/>
      <c r="AK103" s="6"/>
      <c r="AL103" s="6"/>
      <c r="AM103" s="27"/>
      <c r="AN103" s="39"/>
      <c r="AO103" s="237"/>
      <c r="AP103" s="237"/>
    </row>
    <row r="104">
      <c r="A104" s="55" t="s">
        <v>59</v>
      </c>
      <c r="B104" s="17"/>
      <c r="C104" s="17"/>
      <c r="D104" s="18"/>
      <c r="E104" s="25">
        <v>2.0</v>
      </c>
      <c r="F104" s="25" t="s">
        <v>21</v>
      </c>
      <c r="G104" s="7">
        <v>698.0</v>
      </c>
      <c r="H104" s="7" t="s">
        <v>22</v>
      </c>
      <c r="I104" s="26"/>
      <c r="J104" s="26"/>
      <c r="K104" s="26"/>
      <c r="L104" s="7"/>
      <c r="M104" s="26"/>
      <c r="N104" s="7">
        <v>2040.0</v>
      </c>
      <c r="O104" s="26"/>
      <c r="P104" s="26"/>
      <c r="Q104" s="26"/>
      <c r="R104" s="27"/>
      <c r="S104" s="28"/>
      <c r="T104" s="27"/>
      <c r="U104" s="28"/>
      <c r="V104" s="27"/>
      <c r="W104" s="27"/>
      <c r="X104" s="27"/>
      <c r="Y104" s="27"/>
      <c r="Z104" s="28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9">
        <f>G104+SUM(I104:AM104)-SUM(I105:AM105)</f>
        <v>1318</v>
      </c>
      <c r="AO104" s="236">
        <f>ROUNDDOWN((AN104/E104)/$H$4,1)</f>
        <v>21.9</v>
      </c>
      <c r="AP104" s="236">
        <f>$M$3+AO104</f>
        <v>990.9</v>
      </c>
    </row>
    <row r="105">
      <c r="A105" s="70"/>
      <c r="B105" s="17"/>
      <c r="C105" s="17"/>
      <c r="D105" s="17"/>
      <c r="E105" s="17"/>
      <c r="F105" s="18"/>
      <c r="G105" s="26"/>
      <c r="H105" s="7" t="s">
        <v>23</v>
      </c>
      <c r="I105" s="7"/>
      <c r="J105" s="7"/>
      <c r="K105" s="7"/>
      <c r="L105" s="7">
        <v>54.0</v>
      </c>
      <c r="M105" s="7">
        <v>80.0</v>
      </c>
      <c r="N105" s="7">
        <v>78.0</v>
      </c>
      <c r="O105" s="7">
        <v>70.0</v>
      </c>
      <c r="P105" s="7">
        <v>68.0</v>
      </c>
      <c r="Q105" s="7">
        <v>62.0</v>
      </c>
      <c r="R105" s="28"/>
      <c r="S105" s="28">
        <v>70.0</v>
      </c>
      <c r="T105" s="28">
        <v>74.0</v>
      </c>
      <c r="U105" s="28">
        <v>58.0</v>
      </c>
      <c r="V105" s="28">
        <v>64.0</v>
      </c>
      <c r="W105" s="28">
        <v>58.0</v>
      </c>
      <c r="X105" s="28"/>
      <c r="Y105" s="28"/>
      <c r="Z105" s="28">
        <v>84.0</v>
      </c>
      <c r="AA105" s="28"/>
      <c r="AB105" s="28">
        <v>54.0</v>
      </c>
      <c r="AC105" s="28">
        <v>60.0</v>
      </c>
      <c r="AD105" s="28">
        <v>50.0</v>
      </c>
      <c r="AE105" s="28">
        <v>44.0</v>
      </c>
      <c r="AF105" s="28"/>
      <c r="AG105" s="28">
        <v>60.0</v>
      </c>
      <c r="AH105" s="28">
        <v>78.0</v>
      </c>
      <c r="AI105" s="28">
        <v>80.0</v>
      </c>
      <c r="AJ105" s="28">
        <v>68.0</v>
      </c>
      <c r="AK105" s="28">
        <v>54.0</v>
      </c>
      <c r="AL105" s="28">
        <v>52.0</v>
      </c>
      <c r="AM105" s="28"/>
      <c r="AN105" s="32"/>
      <c r="AO105" s="32"/>
      <c r="AP105" s="32"/>
    </row>
    <row r="106">
      <c r="A106" s="54"/>
      <c r="B106" s="54"/>
      <c r="C106" s="54"/>
      <c r="D106" s="54"/>
      <c r="E106" s="25"/>
      <c r="F106" s="25"/>
      <c r="G106" s="7"/>
      <c r="H106" s="7"/>
      <c r="I106" s="26"/>
      <c r="J106" s="26"/>
      <c r="K106" s="26"/>
      <c r="L106" s="37"/>
      <c r="M106" s="37"/>
      <c r="N106" s="37"/>
      <c r="O106" s="37"/>
      <c r="P106" s="37"/>
      <c r="Q106" s="37"/>
      <c r="R106" s="27"/>
      <c r="S106" s="6"/>
      <c r="T106" s="6"/>
      <c r="U106" s="6"/>
      <c r="V106" s="6"/>
      <c r="W106" s="6"/>
      <c r="X106" s="10"/>
      <c r="Y106" s="27"/>
      <c r="Z106" s="6"/>
      <c r="AA106" s="10"/>
      <c r="AB106" s="6"/>
      <c r="AC106" s="6"/>
      <c r="AD106" s="6"/>
      <c r="AE106" s="6"/>
      <c r="AF106" s="27"/>
      <c r="AG106" s="6"/>
      <c r="AH106" s="42"/>
      <c r="AI106" s="6"/>
      <c r="AJ106" s="6"/>
      <c r="AK106" s="6"/>
      <c r="AL106" s="6"/>
      <c r="AM106" s="27"/>
      <c r="AN106" s="39"/>
      <c r="AO106" s="237"/>
      <c r="AP106" s="237"/>
    </row>
    <row r="107" hidden="1">
      <c r="A107" s="241" t="s">
        <v>175</v>
      </c>
      <c r="B107" s="17"/>
      <c r="C107" s="17"/>
      <c r="D107" s="18"/>
      <c r="E107" s="86">
        <v>1.0</v>
      </c>
      <c r="F107" s="86" t="s">
        <v>21</v>
      </c>
      <c r="G107" s="88"/>
      <c r="H107" s="88" t="s">
        <v>22</v>
      </c>
      <c r="I107" s="85"/>
      <c r="J107" s="85"/>
      <c r="K107" s="85"/>
      <c r="L107" s="242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7"/>
      <c r="Y107" s="243"/>
      <c r="Z107" s="85"/>
      <c r="AA107" s="85"/>
      <c r="AB107" s="85"/>
      <c r="AC107" s="85"/>
      <c r="AD107" s="85"/>
      <c r="AE107" s="85"/>
      <c r="AF107" s="85"/>
      <c r="AG107" s="87"/>
      <c r="AH107" s="87"/>
      <c r="AI107" s="85"/>
      <c r="AJ107" s="85"/>
      <c r="AK107" s="85"/>
      <c r="AL107" s="85"/>
      <c r="AM107" s="85"/>
      <c r="AN107" s="29">
        <f>G107+SUM(I107:AM107)-SUM(I108:AM108)</f>
        <v>0</v>
      </c>
      <c r="AO107" s="244">
        <f>ROUNDDOWN((AN107/E107)/$H$4,1)</f>
        <v>0</v>
      </c>
      <c r="AP107" s="245">
        <f>$M$3+AO107</f>
        <v>969</v>
      </c>
    </row>
    <row r="108" hidden="1">
      <c r="A108" s="96"/>
      <c r="B108" s="17"/>
      <c r="C108" s="17"/>
      <c r="D108" s="17"/>
      <c r="E108" s="17"/>
      <c r="F108" s="18"/>
      <c r="G108" s="87"/>
      <c r="H108" s="88" t="s">
        <v>23</v>
      </c>
      <c r="I108" s="85"/>
      <c r="J108" s="246"/>
      <c r="K108" s="85"/>
      <c r="L108" s="247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7"/>
      <c r="Y108" s="85"/>
      <c r="Z108" s="85"/>
      <c r="AA108" s="85"/>
      <c r="AB108" s="85"/>
      <c r="AC108" s="85"/>
      <c r="AD108" s="85"/>
      <c r="AE108" s="85"/>
      <c r="AF108" s="85"/>
      <c r="AG108" s="87"/>
      <c r="AH108" s="87"/>
      <c r="AI108" s="85"/>
      <c r="AJ108" s="85"/>
      <c r="AK108" s="85"/>
      <c r="AL108" s="85"/>
      <c r="AM108" s="85"/>
      <c r="AN108" s="32"/>
      <c r="AO108" s="32"/>
      <c r="AP108" s="32"/>
    </row>
    <row r="109" hidden="1">
      <c r="A109" s="87"/>
      <c r="B109" s="87"/>
      <c r="C109" s="87"/>
      <c r="D109" s="87"/>
      <c r="E109" s="87"/>
      <c r="F109" s="87"/>
      <c r="G109" s="87"/>
      <c r="H109" s="87"/>
      <c r="I109" s="85"/>
      <c r="J109" s="85"/>
      <c r="K109" s="85"/>
      <c r="L109" s="247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7"/>
      <c r="Y109" s="85"/>
      <c r="Z109" s="85"/>
      <c r="AA109" s="85"/>
      <c r="AB109" s="85"/>
      <c r="AC109" s="85"/>
      <c r="AD109" s="85"/>
      <c r="AE109" s="85"/>
      <c r="AF109" s="85"/>
      <c r="AG109" s="87"/>
      <c r="AH109" s="87"/>
      <c r="AI109" s="85"/>
      <c r="AJ109" s="85"/>
      <c r="AK109" s="85"/>
      <c r="AL109" s="85"/>
      <c r="AM109" s="85"/>
      <c r="AN109" s="87"/>
      <c r="AO109" s="251"/>
      <c r="AP109" s="251"/>
    </row>
    <row r="110">
      <c r="A110" s="55" t="s">
        <v>60</v>
      </c>
      <c r="B110" s="17"/>
      <c r="C110" s="17"/>
      <c r="D110" s="18"/>
      <c r="E110" s="25">
        <v>1.0</v>
      </c>
      <c r="F110" s="25" t="s">
        <v>21</v>
      </c>
      <c r="G110" s="7">
        <v>240.0</v>
      </c>
      <c r="H110" s="7" t="s">
        <v>22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7"/>
      <c r="S110" s="27"/>
      <c r="T110" s="27"/>
      <c r="U110" s="28">
        <v>1020.0</v>
      </c>
      <c r="V110" s="27"/>
      <c r="W110" s="27"/>
      <c r="X110" s="28"/>
      <c r="Y110" s="27"/>
      <c r="Z110" s="27"/>
      <c r="AA110" s="27"/>
      <c r="AB110" s="27"/>
      <c r="AC110" s="27"/>
      <c r="AD110" s="27"/>
      <c r="AE110" s="27"/>
      <c r="AF110" s="28"/>
      <c r="AG110" s="28"/>
      <c r="AH110" s="28"/>
      <c r="AI110" s="27"/>
      <c r="AJ110" s="27"/>
      <c r="AK110" s="28">
        <v>510.0</v>
      </c>
      <c r="AL110" s="27"/>
      <c r="AM110" s="27"/>
      <c r="AN110" s="29">
        <f>G110+SUM(I110:AM110)-SUM(I111:AM111)</f>
        <v>1070</v>
      </c>
      <c r="AO110" s="236">
        <f>ROUNDDOWN((AN110/E110)/$H$4,1)</f>
        <v>35.6</v>
      </c>
      <c r="AP110" s="236">
        <f>$M$3+AO110</f>
        <v>1004.6</v>
      </c>
    </row>
    <row r="111">
      <c r="A111" s="70"/>
      <c r="B111" s="17"/>
      <c r="C111" s="17"/>
      <c r="D111" s="17"/>
      <c r="E111" s="17"/>
      <c r="F111" s="18"/>
      <c r="G111" s="26"/>
      <c r="H111" s="7" t="s">
        <v>23</v>
      </c>
      <c r="I111" s="7"/>
      <c r="J111" s="7"/>
      <c r="K111" s="26"/>
      <c r="L111" s="7"/>
      <c r="M111" s="7">
        <v>100.0</v>
      </c>
      <c r="N111" s="26"/>
      <c r="O111" s="7">
        <v>100.0</v>
      </c>
      <c r="P111" s="26"/>
      <c r="Q111" s="7"/>
      <c r="R111" s="28"/>
      <c r="S111" s="27"/>
      <c r="T111" s="28"/>
      <c r="U111" s="28"/>
      <c r="V111" s="28">
        <v>100.0</v>
      </c>
      <c r="W111" s="28"/>
      <c r="X111" s="28"/>
      <c r="Y111" s="27"/>
      <c r="Z111" s="28"/>
      <c r="AA111" s="28"/>
      <c r="AB111" s="28">
        <v>100.0</v>
      </c>
      <c r="AC111" s="27"/>
      <c r="AD111" s="28"/>
      <c r="AE111" s="28">
        <v>100.0</v>
      </c>
      <c r="AF111" s="28"/>
      <c r="AG111" s="28"/>
      <c r="AH111" s="28"/>
      <c r="AI111" s="28">
        <v>100.0</v>
      </c>
      <c r="AJ111" s="27"/>
      <c r="AK111" s="28">
        <v>100.0</v>
      </c>
      <c r="AL111" s="27"/>
      <c r="AM111" s="27"/>
      <c r="AN111" s="32"/>
      <c r="AO111" s="32"/>
      <c r="AP111" s="32"/>
    </row>
    <row r="112">
      <c r="A112" s="33"/>
      <c r="B112" s="33"/>
      <c r="C112" s="33"/>
      <c r="D112" s="33"/>
      <c r="E112" s="25"/>
      <c r="F112" s="25"/>
      <c r="G112" s="7"/>
      <c r="H112" s="7"/>
      <c r="I112" s="7"/>
      <c r="J112" s="26"/>
      <c r="K112" s="7"/>
      <c r="L112" s="36"/>
      <c r="M112" s="37"/>
      <c r="N112" s="36"/>
      <c r="O112" s="37"/>
      <c r="P112" s="36"/>
      <c r="Q112" s="36"/>
      <c r="R112" s="27"/>
      <c r="S112" s="10"/>
      <c r="T112" s="10"/>
      <c r="U112" s="10"/>
      <c r="V112" s="6"/>
      <c r="W112" s="10"/>
      <c r="X112" s="10"/>
      <c r="Y112" s="27"/>
      <c r="Z112" s="10"/>
      <c r="AA112" s="10"/>
      <c r="AB112" s="6"/>
      <c r="AC112" s="10"/>
      <c r="AD112" s="10"/>
      <c r="AE112" s="6"/>
      <c r="AF112" s="27"/>
      <c r="AG112" s="10"/>
      <c r="AH112" s="38"/>
      <c r="AI112" s="6"/>
      <c r="AJ112" s="10"/>
      <c r="AK112" s="6"/>
      <c r="AL112" s="10"/>
      <c r="AM112" s="27"/>
      <c r="AN112" s="39"/>
      <c r="AO112" s="237"/>
      <c r="AP112" s="237"/>
    </row>
    <row r="113">
      <c r="A113" s="24" t="s">
        <v>61</v>
      </c>
      <c r="B113" s="17"/>
      <c r="C113" s="17"/>
      <c r="D113" s="18"/>
      <c r="E113" s="25">
        <v>1.0</v>
      </c>
      <c r="F113" s="25" t="s">
        <v>21</v>
      </c>
      <c r="G113" s="7">
        <v>456.0</v>
      </c>
      <c r="H113" s="7" t="s">
        <v>22</v>
      </c>
      <c r="I113" s="7"/>
      <c r="J113" s="26"/>
      <c r="K113" s="7"/>
      <c r="L113" s="7"/>
      <c r="M113" s="26"/>
      <c r="N113" s="26"/>
      <c r="O113" s="26"/>
      <c r="P113" s="26"/>
      <c r="Q113" s="26"/>
      <c r="R113" s="27"/>
      <c r="S113" s="27"/>
      <c r="T113" s="27"/>
      <c r="U113" s="28">
        <v>500.0</v>
      </c>
      <c r="V113" s="27"/>
      <c r="W113" s="27"/>
      <c r="X113" s="28"/>
      <c r="Y113" s="27"/>
      <c r="Z113" s="27"/>
      <c r="AA113" s="27"/>
      <c r="AB113" s="27"/>
      <c r="AC113" s="27"/>
      <c r="AD113" s="27"/>
      <c r="AE113" s="27"/>
      <c r="AF113" s="28"/>
      <c r="AG113" s="28"/>
      <c r="AH113" s="28"/>
      <c r="AI113" s="27"/>
      <c r="AJ113" s="27"/>
      <c r="AK113" s="27">
        <f>510+520</f>
        <v>1030</v>
      </c>
      <c r="AL113" s="27"/>
      <c r="AM113" s="27"/>
      <c r="AN113" s="29">
        <f>G113+SUM(I113:AM113)-SUM(I114:AM114)</f>
        <v>1364</v>
      </c>
      <c r="AO113" s="236">
        <f>ROUNDDOWN((AN113/E113)/$H$4,1)</f>
        <v>45.4</v>
      </c>
      <c r="AP113" s="236">
        <f>M6+AO113</f>
        <v>45.4</v>
      </c>
    </row>
    <row r="114">
      <c r="A114" s="31"/>
      <c r="B114" s="17"/>
      <c r="C114" s="17"/>
      <c r="D114" s="17"/>
      <c r="E114" s="17"/>
      <c r="F114" s="18"/>
      <c r="G114" s="26"/>
      <c r="H114" s="7" t="s">
        <v>23</v>
      </c>
      <c r="I114" s="7"/>
      <c r="J114" s="7"/>
      <c r="K114" s="7"/>
      <c r="L114" s="7"/>
      <c r="M114" s="7">
        <v>24.0</v>
      </c>
      <c r="N114" s="7"/>
      <c r="O114" s="7">
        <v>24.0</v>
      </c>
      <c r="P114" s="7">
        <v>60.0</v>
      </c>
      <c r="Q114" s="7"/>
      <c r="R114" s="28"/>
      <c r="S114" s="28"/>
      <c r="T114" s="28"/>
      <c r="U114" s="28">
        <v>48.0</v>
      </c>
      <c r="V114" s="28"/>
      <c r="W114" s="28"/>
      <c r="X114" s="28">
        <v>36.0</v>
      </c>
      <c r="Y114" s="28"/>
      <c r="Z114" s="28">
        <v>48.0</v>
      </c>
      <c r="AA114" s="28">
        <v>46.0</v>
      </c>
      <c r="AB114" s="28">
        <v>48.0</v>
      </c>
      <c r="AC114" s="28">
        <v>36.0</v>
      </c>
      <c r="AD114" s="28">
        <v>24.0</v>
      </c>
      <c r="AE114" s="28">
        <v>48.0</v>
      </c>
      <c r="AF114" s="28"/>
      <c r="AG114" s="28">
        <v>48.0</v>
      </c>
      <c r="AH114" s="28">
        <v>36.0</v>
      </c>
      <c r="AI114" s="28">
        <v>48.0</v>
      </c>
      <c r="AJ114" s="28"/>
      <c r="AK114" s="28">
        <v>48.0</v>
      </c>
      <c r="AL114" s="27"/>
      <c r="AM114" s="27"/>
      <c r="AN114" s="32"/>
      <c r="AO114" s="32"/>
      <c r="AP114" s="32"/>
    </row>
    <row r="115">
      <c r="A115" s="72"/>
      <c r="B115" s="72"/>
      <c r="C115" s="72"/>
      <c r="D115" s="72"/>
      <c r="E115" s="72"/>
      <c r="F115" s="72"/>
      <c r="G115" s="69"/>
      <c r="H115" s="48"/>
      <c r="I115" s="27"/>
      <c r="J115" s="27"/>
      <c r="K115" s="27"/>
      <c r="L115" s="36"/>
      <c r="M115" s="6"/>
      <c r="N115" s="10"/>
      <c r="O115" s="6"/>
      <c r="P115" s="6"/>
      <c r="Q115" s="10"/>
      <c r="R115" s="27"/>
      <c r="S115" s="10"/>
      <c r="T115" s="10"/>
      <c r="U115" s="6"/>
      <c r="V115" s="10"/>
      <c r="W115" s="10"/>
      <c r="X115" s="6"/>
      <c r="Y115" s="27"/>
      <c r="Z115" s="6"/>
      <c r="AA115" s="6"/>
      <c r="AB115" s="6"/>
      <c r="AC115" s="6"/>
      <c r="AD115" s="6"/>
      <c r="AE115" s="6"/>
      <c r="AF115" s="27"/>
      <c r="AG115" s="6"/>
      <c r="AH115" s="6"/>
      <c r="AI115" s="6"/>
      <c r="AJ115" s="10"/>
      <c r="AK115" s="6"/>
      <c r="AL115" s="10"/>
      <c r="AM115" s="27"/>
      <c r="AN115" s="48"/>
      <c r="AO115" s="48"/>
      <c r="AP115" s="48"/>
    </row>
    <row r="116">
      <c r="A116" s="73" t="s">
        <v>62</v>
      </c>
      <c r="B116" s="17"/>
      <c r="C116" s="17"/>
      <c r="D116" s="17"/>
      <c r="E116" s="17"/>
      <c r="F116" s="18"/>
      <c r="G116" s="20"/>
      <c r="H116" s="21"/>
      <c r="I116" s="21"/>
      <c r="J116" s="21"/>
      <c r="K116" s="21"/>
      <c r="L116" s="20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</row>
    <row r="117">
      <c r="A117" s="24" t="s">
        <v>131</v>
      </c>
      <c r="B117" s="17"/>
      <c r="C117" s="17"/>
      <c r="D117" s="18"/>
      <c r="E117" s="25">
        <v>8.0</v>
      </c>
      <c r="F117" s="25" t="s">
        <v>21</v>
      </c>
      <c r="G117" s="7">
        <v>848.0</v>
      </c>
      <c r="H117" s="7" t="s">
        <v>22</v>
      </c>
      <c r="I117" s="26"/>
      <c r="J117" s="26"/>
      <c r="K117" s="26"/>
      <c r="L117" s="26"/>
      <c r="M117" s="26"/>
      <c r="N117" s="7">
        <v>8160.0</v>
      </c>
      <c r="O117" s="26"/>
      <c r="P117" s="26"/>
      <c r="Q117" s="26"/>
      <c r="R117" s="27"/>
      <c r="S117" s="27"/>
      <c r="T117" s="27"/>
      <c r="U117" s="27"/>
      <c r="V117" s="27"/>
      <c r="W117" s="27"/>
      <c r="X117" s="27"/>
      <c r="Y117" s="28"/>
      <c r="Z117" s="27"/>
      <c r="AA117" s="27"/>
      <c r="AB117" s="27"/>
      <c r="AC117" s="27"/>
      <c r="AD117" s="27"/>
      <c r="AE117" s="27"/>
      <c r="AF117" s="27"/>
      <c r="AG117" s="27"/>
      <c r="AH117" s="28"/>
      <c r="AI117" s="27"/>
      <c r="AJ117" s="27"/>
      <c r="AK117" s="27"/>
      <c r="AL117" s="27"/>
      <c r="AM117" s="27"/>
      <c r="AN117" s="29">
        <f>G117+SUM(I117:AM117)-SUM(I118:AM118)</f>
        <v>3184</v>
      </c>
      <c r="AO117" s="236">
        <f>ROUNDDOWN((AN117/E117)/$H$4,1)</f>
        <v>13.2</v>
      </c>
      <c r="AP117" s="236">
        <f>$M$3+AO117</f>
        <v>982.2</v>
      </c>
    </row>
    <row r="118">
      <c r="A118" s="31"/>
      <c r="B118" s="17"/>
      <c r="C118" s="17"/>
      <c r="D118" s="17"/>
      <c r="E118" s="17"/>
      <c r="F118" s="18"/>
      <c r="G118" s="26"/>
      <c r="H118" s="7" t="s">
        <v>23</v>
      </c>
      <c r="I118" s="7"/>
      <c r="J118" s="7"/>
      <c r="K118" s="7"/>
      <c r="L118" s="7">
        <v>240.0</v>
      </c>
      <c r="M118" s="7">
        <f>176+120</f>
        <v>296</v>
      </c>
      <c r="N118" s="7">
        <f>240+72</f>
        <v>312</v>
      </c>
      <c r="O118" s="7">
        <f>240++40</f>
        <v>280</v>
      </c>
      <c r="P118" s="7">
        <v>240.0</v>
      </c>
      <c r="Q118" s="7">
        <v>240.0</v>
      </c>
      <c r="R118" s="28"/>
      <c r="S118" s="28">
        <f>240+40</f>
        <v>280</v>
      </c>
      <c r="T118" s="28">
        <v>296.0</v>
      </c>
      <c r="U118" s="28">
        <v>240.0</v>
      </c>
      <c r="V118" s="28">
        <v>248.0</v>
      </c>
      <c r="W118" s="28">
        <v>232.0</v>
      </c>
      <c r="X118" s="28"/>
      <c r="Y118" s="28"/>
      <c r="Z118" s="28">
        <v>240.0</v>
      </c>
      <c r="AA118" s="28">
        <v>96.0</v>
      </c>
      <c r="AB118" s="28">
        <v>240.0</v>
      </c>
      <c r="AC118" s="28">
        <v>240.0</v>
      </c>
      <c r="AD118" s="28">
        <v>240.0</v>
      </c>
      <c r="AE118" s="28">
        <v>240.0</v>
      </c>
      <c r="AF118" s="28"/>
      <c r="AG118" s="28">
        <v>272.0</v>
      </c>
      <c r="AH118" s="28">
        <v>336.0</v>
      </c>
      <c r="AI118" s="28">
        <v>320.0</v>
      </c>
      <c r="AJ118" s="28">
        <v>240.0</v>
      </c>
      <c r="AK118" s="28">
        <v>248.0</v>
      </c>
      <c r="AL118" s="28">
        <v>208.0</v>
      </c>
      <c r="AM118" s="28"/>
      <c r="AN118" s="32"/>
      <c r="AO118" s="32"/>
      <c r="AP118" s="32"/>
    </row>
    <row r="119">
      <c r="A119" s="33"/>
      <c r="B119" s="33"/>
      <c r="C119" s="33"/>
      <c r="D119" s="33"/>
      <c r="E119" s="25"/>
      <c r="F119" s="25"/>
      <c r="G119" s="7"/>
      <c r="H119" s="7"/>
      <c r="I119" s="26"/>
      <c r="J119" s="26"/>
      <c r="K119" s="26"/>
      <c r="L119" s="37"/>
      <c r="M119" s="37"/>
      <c r="N119" s="41"/>
      <c r="O119" s="37"/>
      <c r="P119" s="37"/>
      <c r="Q119" s="37"/>
      <c r="R119" s="27"/>
      <c r="S119" s="6"/>
      <c r="T119" s="6"/>
      <c r="U119" s="6"/>
      <c r="V119" s="6"/>
      <c r="W119" s="6"/>
      <c r="X119" s="10"/>
      <c r="Y119" s="27"/>
      <c r="Z119" s="42"/>
      <c r="AA119" s="6"/>
      <c r="AB119" s="6"/>
      <c r="AC119" s="6"/>
      <c r="AD119" s="6"/>
      <c r="AE119" s="6"/>
      <c r="AF119" s="27"/>
      <c r="AG119" s="6"/>
      <c r="AH119" s="6"/>
      <c r="AI119" s="42"/>
      <c r="AJ119" s="6"/>
      <c r="AK119" s="6"/>
      <c r="AL119" s="6"/>
      <c r="AM119" s="27"/>
      <c r="AN119" s="39"/>
      <c r="AO119" s="237"/>
      <c r="AP119" s="237"/>
    </row>
    <row r="120">
      <c r="A120" s="24" t="s">
        <v>64</v>
      </c>
      <c r="B120" s="17"/>
      <c r="C120" s="17"/>
      <c r="D120" s="18"/>
      <c r="E120" s="25">
        <v>26.0</v>
      </c>
      <c r="F120" s="25" t="s">
        <v>21</v>
      </c>
      <c r="G120" s="252">
        <v>36988.0</v>
      </c>
      <c r="H120" s="7" t="s">
        <v>22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8"/>
      <c r="AC120" s="28"/>
      <c r="AD120" s="27"/>
      <c r="AE120" s="27"/>
      <c r="AF120" s="27"/>
      <c r="AG120" s="27"/>
      <c r="AH120" s="27"/>
      <c r="AI120" s="28"/>
      <c r="AJ120" s="28"/>
      <c r="AK120" s="28"/>
      <c r="AL120" s="27"/>
      <c r="AM120" s="27"/>
      <c r="AN120" s="29">
        <f>G120+SUM(I120:AM120)-SUM(I121:AM121)</f>
        <v>18528</v>
      </c>
      <c r="AO120" s="236">
        <f>ROUNDDOWN((AN120/E120)/$H$4,1)</f>
        <v>23.7</v>
      </c>
      <c r="AP120" s="236">
        <f>$M$3+AO120</f>
        <v>992.7</v>
      </c>
    </row>
    <row r="121">
      <c r="A121" s="31"/>
      <c r="B121" s="17"/>
      <c r="C121" s="17"/>
      <c r="D121" s="17"/>
      <c r="E121" s="17"/>
      <c r="F121" s="18"/>
      <c r="G121" s="26"/>
      <c r="H121" s="7" t="s">
        <v>23</v>
      </c>
      <c r="I121" s="7"/>
      <c r="J121" s="7"/>
      <c r="K121" s="7"/>
      <c r="L121" s="7">
        <v>702.0</v>
      </c>
      <c r="M121" s="7">
        <v>1040.0</v>
      </c>
      <c r="N121" s="7">
        <v>1014.0</v>
      </c>
      <c r="O121" s="7">
        <v>910.0</v>
      </c>
      <c r="P121" s="7">
        <v>884.0</v>
      </c>
      <c r="Q121" s="7">
        <v>806.0</v>
      </c>
      <c r="R121" s="28"/>
      <c r="S121" s="28">
        <v>910.0</v>
      </c>
      <c r="T121" s="28">
        <v>962.0</v>
      </c>
      <c r="U121" s="28">
        <v>754.0</v>
      </c>
      <c r="V121" s="28">
        <v>832.0</v>
      </c>
      <c r="W121" s="28">
        <v>754.0</v>
      </c>
      <c r="X121" s="28"/>
      <c r="Y121" s="28"/>
      <c r="Z121" s="28">
        <v>1092.0</v>
      </c>
      <c r="AA121" s="28"/>
      <c r="AB121" s="28">
        <v>702.0</v>
      </c>
      <c r="AC121" s="28">
        <v>780.0</v>
      </c>
      <c r="AD121" s="28">
        <v>650.0</v>
      </c>
      <c r="AE121" s="28">
        <v>572.0</v>
      </c>
      <c r="AF121" s="28"/>
      <c r="AG121" s="28">
        <v>780.0</v>
      </c>
      <c r="AH121" s="28">
        <v>1014.0</v>
      </c>
      <c r="AI121" s="28">
        <v>1040.0</v>
      </c>
      <c r="AJ121" s="28">
        <v>884.0</v>
      </c>
      <c r="AK121" s="28">
        <v>702.0</v>
      </c>
      <c r="AL121" s="28">
        <v>676.0</v>
      </c>
      <c r="AM121" s="28"/>
      <c r="AN121" s="32"/>
      <c r="AO121" s="32"/>
      <c r="AP121" s="32"/>
    </row>
    <row r="122">
      <c r="A122" s="33"/>
      <c r="B122" s="33"/>
      <c r="C122" s="33"/>
      <c r="D122" s="33"/>
      <c r="E122" s="25"/>
      <c r="F122" s="25"/>
      <c r="G122" s="7"/>
      <c r="H122" s="7"/>
      <c r="I122" s="26"/>
      <c r="J122" s="26"/>
      <c r="K122" s="26"/>
      <c r="L122" s="37"/>
      <c r="M122" s="37"/>
      <c r="N122" s="37"/>
      <c r="O122" s="37"/>
      <c r="P122" s="37"/>
      <c r="Q122" s="37"/>
      <c r="R122" s="27"/>
      <c r="S122" s="6"/>
      <c r="T122" s="6"/>
      <c r="U122" s="6"/>
      <c r="V122" s="6"/>
      <c r="W122" s="6"/>
      <c r="X122" s="10"/>
      <c r="Y122" s="27"/>
      <c r="Z122" s="6"/>
      <c r="AA122" s="10"/>
      <c r="AB122" s="6"/>
      <c r="AC122" s="6"/>
      <c r="AD122" s="6"/>
      <c r="AE122" s="6"/>
      <c r="AF122" s="27"/>
      <c r="AG122" s="6"/>
      <c r="AH122" s="6"/>
      <c r="AI122" s="6"/>
      <c r="AJ122" s="6"/>
      <c r="AK122" s="6"/>
      <c r="AL122" s="6"/>
      <c r="AM122" s="27"/>
      <c r="AN122" s="39"/>
      <c r="AO122" s="237"/>
      <c r="AP122" s="237"/>
    </row>
    <row r="123">
      <c r="A123" s="24" t="s">
        <v>65</v>
      </c>
      <c r="B123" s="17"/>
      <c r="C123" s="17"/>
      <c r="D123" s="18"/>
      <c r="E123" s="25">
        <v>2.0</v>
      </c>
      <c r="F123" s="25" t="s">
        <v>21</v>
      </c>
      <c r="G123" s="7">
        <v>42745.0</v>
      </c>
      <c r="H123" s="7" t="s">
        <v>22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8"/>
      <c r="AK123" s="27"/>
      <c r="AL123" s="27"/>
      <c r="AM123" s="27"/>
      <c r="AN123" s="29">
        <f>G123+SUM(I123:AM123)-SUM(I124:AM124)</f>
        <v>41383</v>
      </c>
      <c r="AO123" s="236">
        <f>ROUNDDOWN((AN123/E123)/$H$4,1)</f>
        <v>689.7</v>
      </c>
      <c r="AP123" s="236">
        <f>$M$3+AO123</f>
        <v>1658.7</v>
      </c>
    </row>
    <row r="124">
      <c r="A124" s="31"/>
      <c r="B124" s="17"/>
      <c r="C124" s="17"/>
      <c r="D124" s="17"/>
      <c r="E124" s="17"/>
      <c r="F124" s="18"/>
      <c r="G124" s="26"/>
      <c r="H124" s="7" t="s">
        <v>23</v>
      </c>
      <c r="I124" s="7"/>
      <c r="J124" s="7"/>
      <c r="K124" s="7"/>
      <c r="L124" s="7">
        <v>54.0</v>
      </c>
      <c r="M124" s="7">
        <v>80.0</v>
      </c>
      <c r="N124" s="7">
        <v>78.0</v>
      </c>
      <c r="O124" s="7">
        <v>70.0</v>
      </c>
      <c r="P124" s="7">
        <v>68.0</v>
      </c>
      <c r="Q124" s="7">
        <v>62.0</v>
      </c>
      <c r="R124" s="28"/>
      <c r="S124" s="28">
        <v>70.0</v>
      </c>
      <c r="T124" s="28">
        <v>74.0</v>
      </c>
      <c r="U124" s="28">
        <v>58.0</v>
      </c>
      <c r="V124" s="28">
        <v>64.0</v>
      </c>
      <c r="W124" s="28"/>
      <c r="X124" s="28"/>
      <c r="Y124" s="28"/>
      <c r="Z124" s="28">
        <v>84.0</v>
      </c>
      <c r="AA124" s="28"/>
      <c r="AB124" s="28">
        <v>54.0</v>
      </c>
      <c r="AC124" s="28">
        <v>60.0</v>
      </c>
      <c r="AD124" s="28">
        <v>50.0</v>
      </c>
      <c r="AE124" s="28">
        <v>44.0</v>
      </c>
      <c r="AF124" s="28"/>
      <c r="AG124" s="28">
        <v>60.0</v>
      </c>
      <c r="AH124" s="28">
        <v>78.0</v>
      </c>
      <c r="AI124" s="28">
        <v>80.0</v>
      </c>
      <c r="AJ124" s="28">
        <v>68.0</v>
      </c>
      <c r="AK124" s="28">
        <v>54.0</v>
      </c>
      <c r="AL124" s="28">
        <v>52.0</v>
      </c>
      <c r="AM124" s="28"/>
      <c r="AN124" s="32"/>
      <c r="AO124" s="32"/>
      <c r="AP124" s="32"/>
    </row>
    <row r="125">
      <c r="A125" s="33"/>
      <c r="B125" s="33"/>
      <c r="C125" s="33"/>
      <c r="D125" s="33"/>
      <c r="E125" s="25"/>
      <c r="F125" s="25"/>
      <c r="G125" s="43"/>
      <c r="H125" s="7"/>
      <c r="I125" s="26"/>
      <c r="J125" s="26"/>
      <c r="K125" s="26"/>
      <c r="L125" s="37"/>
      <c r="M125" s="37"/>
      <c r="N125" s="37"/>
      <c r="O125" s="37"/>
      <c r="P125" s="37"/>
      <c r="Q125" s="37"/>
      <c r="R125" s="27"/>
      <c r="S125" s="6"/>
      <c r="T125" s="6"/>
      <c r="U125" s="6"/>
      <c r="V125" s="6"/>
      <c r="W125" s="10"/>
      <c r="X125" s="10"/>
      <c r="Y125" s="27"/>
      <c r="Z125" s="6"/>
      <c r="AA125" s="10"/>
      <c r="AB125" s="6"/>
      <c r="AC125" s="6"/>
      <c r="AD125" s="6"/>
      <c r="AE125" s="6"/>
      <c r="AF125" s="27"/>
      <c r="AG125" s="6"/>
      <c r="AH125" s="6"/>
      <c r="AI125" s="6"/>
      <c r="AJ125" s="6"/>
      <c r="AK125" s="6"/>
      <c r="AL125" s="6"/>
      <c r="AM125" s="27"/>
      <c r="AN125" s="39"/>
      <c r="AO125" s="237"/>
      <c r="AP125" s="237"/>
    </row>
    <row r="126">
      <c r="A126" s="24" t="s">
        <v>66</v>
      </c>
      <c r="B126" s="17"/>
      <c r="C126" s="17"/>
      <c r="D126" s="18"/>
      <c r="E126" s="25">
        <v>10.0</v>
      </c>
      <c r="F126" s="25" t="s">
        <v>21</v>
      </c>
      <c r="G126" s="43">
        <v>4543.0</v>
      </c>
      <c r="H126" s="7" t="s">
        <v>22</v>
      </c>
      <c r="I126" s="26"/>
      <c r="J126" s="26"/>
      <c r="K126" s="26"/>
      <c r="L126" s="7"/>
      <c r="M126" s="26"/>
      <c r="N126" s="7">
        <v>10200.0</v>
      </c>
      <c r="O126" s="26"/>
      <c r="P126" s="26"/>
      <c r="Q126" s="26"/>
      <c r="R126" s="27"/>
      <c r="S126" s="27"/>
      <c r="T126" s="27"/>
      <c r="U126" s="27"/>
      <c r="V126" s="27"/>
      <c r="W126" s="27"/>
      <c r="X126" s="27"/>
      <c r="Y126" s="28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9">
        <f>G126+SUM(I126:AM126)-SUM(I127:AM127)</f>
        <v>7613</v>
      </c>
      <c r="AO126" s="236">
        <f>ROUNDDOWN((AN126/E126)/$H$4,1)</f>
        <v>25.3</v>
      </c>
      <c r="AP126" s="236">
        <f>$M$3+AO126</f>
        <v>994.3</v>
      </c>
    </row>
    <row r="127">
      <c r="A127" s="31"/>
      <c r="B127" s="17"/>
      <c r="C127" s="17"/>
      <c r="D127" s="17"/>
      <c r="E127" s="17"/>
      <c r="F127" s="18"/>
      <c r="G127" s="26"/>
      <c r="H127" s="7" t="s">
        <v>23</v>
      </c>
      <c r="I127" s="7"/>
      <c r="J127" s="7"/>
      <c r="K127" s="7"/>
      <c r="L127" s="7">
        <f>162+128</f>
        <v>290</v>
      </c>
      <c r="M127" s="7">
        <f>240+120</f>
        <v>360</v>
      </c>
      <c r="N127" s="7">
        <f>234+160</f>
        <v>394</v>
      </c>
      <c r="O127" s="7">
        <f>210+148</f>
        <v>358</v>
      </c>
      <c r="P127" s="7">
        <f>204+144</f>
        <v>348</v>
      </c>
      <c r="Q127" s="7">
        <f>186+140</f>
        <v>326</v>
      </c>
      <c r="R127" s="28"/>
      <c r="S127" s="28">
        <v>210.0</v>
      </c>
      <c r="T127" s="28">
        <f>222+120</f>
        <v>342</v>
      </c>
      <c r="U127" s="28">
        <f>174+120</f>
        <v>294</v>
      </c>
      <c r="V127" s="28">
        <v>192.0</v>
      </c>
      <c r="W127" s="28">
        <v>174.0</v>
      </c>
      <c r="X127" s="28">
        <v>120.0</v>
      </c>
      <c r="Y127" s="28"/>
      <c r="Z127" s="28">
        <f>252+160</f>
        <v>412</v>
      </c>
      <c r="AA127" s="28"/>
      <c r="AB127" s="28">
        <f>162+112+48</f>
        <v>322</v>
      </c>
      <c r="AC127" s="28">
        <f>180+160</f>
        <v>340</v>
      </c>
      <c r="AD127" s="28">
        <f>150+160</f>
        <v>310</v>
      </c>
      <c r="AE127" s="28">
        <f>132+160+96</f>
        <v>388</v>
      </c>
      <c r="AF127" s="28"/>
      <c r="AG127" s="28">
        <f>180+120</f>
        <v>300</v>
      </c>
      <c r="AH127" s="28">
        <f>234+120</f>
        <v>354</v>
      </c>
      <c r="AI127" s="28">
        <f>240+160</f>
        <v>400</v>
      </c>
      <c r="AJ127" s="28">
        <f>204+108</f>
        <v>312</v>
      </c>
      <c r="AK127" s="28">
        <f>162+162</f>
        <v>324</v>
      </c>
      <c r="AL127" s="28">
        <f>156+104</f>
        <v>260</v>
      </c>
      <c r="AM127" s="28"/>
      <c r="AN127" s="32"/>
      <c r="AO127" s="32"/>
      <c r="AP127" s="32"/>
    </row>
    <row r="128">
      <c r="A128" s="33"/>
      <c r="B128" s="33"/>
      <c r="C128" s="33"/>
      <c r="D128" s="33"/>
      <c r="E128" s="25"/>
      <c r="F128" s="25"/>
      <c r="G128" s="7"/>
      <c r="H128" s="7"/>
      <c r="I128" s="26"/>
      <c r="J128" s="26"/>
      <c r="K128" s="26"/>
      <c r="L128" s="37"/>
      <c r="M128" s="37"/>
      <c r="N128" s="37"/>
      <c r="O128" s="37"/>
      <c r="P128" s="37"/>
      <c r="Q128" s="37"/>
      <c r="R128" s="27"/>
      <c r="S128" s="6"/>
      <c r="T128" s="6"/>
      <c r="U128" s="6"/>
      <c r="V128" s="6"/>
      <c r="W128" s="6"/>
      <c r="X128" s="6"/>
      <c r="Y128" s="27"/>
      <c r="Z128" s="6"/>
      <c r="AA128" s="10"/>
      <c r="AB128" s="6"/>
      <c r="AC128" s="6"/>
      <c r="AD128" s="6"/>
      <c r="AE128" s="6"/>
      <c r="AF128" s="27"/>
      <c r="AG128" s="6"/>
      <c r="AH128" s="6"/>
      <c r="AI128" s="6"/>
      <c r="AJ128" s="6"/>
      <c r="AK128" s="6"/>
      <c r="AL128" s="6"/>
      <c r="AM128" s="27"/>
      <c r="AN128" s="39"/>
      <c r="AO128" s="237"/>
      <c r="AP128" s="237"/>
    </row>
    <row r="129">
      <c r="A129" s="24" t="s">
        <v>67</v>
      </c>
      <c r="B129" s="17"/>
      <c r="C129" s="17"/>
      <c r="D129" s="18"/>
      <c r="E129" s="25">
        <v>6.0</v>
      </c>
      <c r="F129" s="25" t="s">
        <v>21</v>
      </c>
      <c r="G129" s="7">
        <v>58392.0</v>
      </c>
      <c r="H129" s="7" t="s">
        <v>22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9">
        <f>G129+SUM(I129:AM129)-SUM(I130:AM130)</f>
        <v>54168</v>
      </c>
      <c r="AO129" s="236">
        <f>ROUNDDOWN((AN129/E129)/$H$4,1)</f>
        <v>300.9</v>
      </c>
      <c r="AP129" s="236">
        <f>$M$3+AO129</f>
        <v>1269.9</v>
      </c>
    </row>
    <row r="130">
      <c r="A130" s="31"/>
      <c r="B130" s="17"/>
      <c r="C130" s="17"/>
      <c r="D130" s="17"/>
      <c r="E130" s="17"/>
      <c r="F130" s="18"/>
      <c r="G130" s="26"/>
      <c r="H130" s="7" t="s">
        <v>23</v>
      </c>
      <c r="I130" s="7"/>
      <c r="J130" s="7"/>
      <c r="K130" s="7"/>
      <c r="L130" s="7">
        <v>192.0</v>
      </c>
      <c r="M130" s="7">
        <v>180.0</v>
      </c>
      <c r="N130" s="7">
        <v>240.0</v>
      </c>
      <c r="O130" s="7">
        <v>222.0</v>
      </c>
      <c r="P130" s="7">
        <v>216.0</v>
      </c>
      <c r="Q130" s="7">
        <v>210.0</v>
      </c>
      <c r="R130" s="28"/>
      <c r="S130" s="28"/>
      <c r="T130" s="28">
        <v>180.0</v>
      </c>
      <c r="U130" s="28">
        <v>180.0</v>
      </c>
      <c r="V130" s="28"/>
      <c r="W130" s="28"/>
      <c r="X130" s="28">
        <v>180.0</v>
      </c>
      <c r="Y130" s="28"/>
      <c r="Z130" s="28">
        <v>240.0</v>
      </c>
      <c r="AA130" s="28"/>
      <c r="AB130" s="28">
        <f>168+72</f>
        <v>240</v>
      </c>
      <c r="AC130" s="28">
        <v>240.0</v>
      </c>
      <c r="AD130" s="28">
        <v>240.0</v>
      </c>
      <c r="AE130" s="28">
        <f>240+144</f>
        <v>384</v>
      </c>
      <c r="AF130" s="28"/>
      <c r="AG130" s="28">
        <v>180.0</v>
      </c>
      <c r="AH130" s="28">
        <v>180.0</v>
      </c>
      <c r="AI130" s="28">
        <v>240.0</v>
      </c>
      <c r="AJ130" s="28">
        <v>162.0</v>
      </c>
      <c r="AK130" s="28">
        <v>162.0</v>
      </c>
      <c r="AL130" s="28">
        <v>156.0</v>
      </c>
      <c r="AM130" s="28"/>
      <c r="AN130" s="32"/>
      <c r="AO130" s="32"/>
      <c r="AP130" s="32"/>
    </row>
    <row r="131">
      <c r="A131" s="33"/>
      <c r="B131" s="33"/>
      <c r="C131" s="33"/>
      <c r="D131" s="33"/>
      <c r="E131" s="25"/>
      <c r="F131" s="25"/>
      <c r="G131" s="7"/>
      <c r="H131" s="7"/>
      <c r="I131" s="26"/>
      <c r="J131" s="26"/>
      <c r="K131" s="26"/>
      <c r="L131" s="37"/>
      <c r="M131" s="37"/>
      <c r="N131" s="37"/>
      <c r="O131" s="37"/>
      <c r="P131" s="37"/>
      <c r="Q131" s="37"/>
      <c r="R131" s="27"/>
      <c r="S131" s="10"/>
      <c r="T131" s="6"/>
      <c r="U131" s="6"/>
      <c r="V131" s="10"/>
      <c r="W131" s="10"/>
      <c r="X131" s="6"/>
      <c r="Y131" s="27"/>
      <c r="Z131" s="6"/>
      <c r="AA131" s="10"/>
      <c r="AB131" s="6"/>
      <c r="AC131" s="6"/>
      <c r="AD131" s="6"/>
      <c r="AE131" s="6"/>
      <c r="AF131" s="27"/>
      <c r="AG131" s="6"/>
      <c r="AH131" s="6"/>
      <c r="AI131" s="42"/>
      <c r="AJ131" s="6"/>
      <c r="AK131" s="6"/>
      <c r="AL131" s="6"/>
      <c r="AM131" s="27"/>
      <c r="AN131" s="39"/>
      <c r="AO131" s="237"/>
      <c r="AP131" s="237"/>
    </row>
    <row r="132">
      <c r="A132" s="24" t="s">
        <v>68</v>
      </c>
      <c r="B132" s="17"/>
      <c r="C132" s="17"/>
      <c r="D132" s="18"/>
      <c r="E132" s="25">
        <v>12.0</v>
      </c>
      <c r="F132" s="25" t="s">
        <v>21</v>
      </c>
      <c r="G132" s="7">
        <f>1248+15176</f>
        <v>16424</v>
      </c>
      <c r="H132" s="7" t="s">
        <v>22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8"/>
      <c r="AC132" s="28"/>
      <c r="AD132" s="27"/>
      <c r="AE132" s="27"/>
      <c r="AF132" s="27"/>
      <c r="AG132" s="27"/>
      <c r="AH132" s="27"/>
      <c r="AI132" s="28"/>
      <c r="AJ132" s="28"/>
      <c r="AK132" s="28"/>
      <c r="AL132" s="27"/>
      <c r="AM132" s="27"/>
      <c r="AN132" s="29">
        <f>G132+SUM(I132:AM132)-SUM(I133:AM133)</f>
        <v>7940</v>
      </c>
      <c r="AO132" s="236">
        <f>ROUNDDOWN((AN132/E132)/$H$4,1)</f>
        <v>22</v>
      </c>
      <c r="AP132" s="236">
        <f>$M$3+AO132</f>
        <v>991</v>
      </c>
    </row>
    <row r="133">
      <c r="A133" s="31"/>
      <c r="B133" s="17"/>
      <c r="C133" s="17"/>
      <c r="D133" s="17"/>
      <c r="E133" s="17"/>
      <c r="F133" s="18"/>
      <c r="G133" s="26"/>
      <c r="H133" s="7" t="s">
        <v>23</v>
      </c>
      <c r="I133" s="7"/>
      <c r="J133" s="7"/>
      <c r="K133" s="7"/>
      <c r="L133" s="7">
        <f>162+192</f>
        <v>354</v>
      </c>
      <c r="M133" s="7">
        <f>240+180</f>
        <v>420</v>
      </c>
      <c r="N133" s="7">
        <f>234+240</f>
        <v>474</v>
      </c>
      <c r="O133" s="7">
        <f>210+222</f>
        <v>432</v>
      </c>
      <c r="P133" s="7">
        <f>204+216</f>
        <v>420</v>
      </c>
      <c r="Q133" s="7">
        <f>186+210</f>
        <v>396</v>
      </c>
      <c r="R133" s="28"/>
      <c r="S133" s="28">
        <v>210.0</v>
      </c>
      <c r="T133" s="28">
        <f>222+180</f>
        <v>402</v>
      </c>
      <c r="U133" s="28">
        <f>174+180</f>
        <v>354</v>
      </c>
      <c r="V133" s="28">
        <v>192.0</v>
      </c>
      <c r="W133" s="28">
        <v>174.0</v>
      </c>
      <c r="X133" s="28">
        <v>180.0</v>
      </c>
      <c r="Y133" s="28"/>
      <c r="Z133" s="28">
        <f>252+240</f>
        <v>492</v>
      </c>
      <c r="AA133" s="28"/>
      <c r="AB133" s="28">
        <f>162+168+72</f>
        <v>402</v>
      </c>
      <c r="AC133" s="28">
        <f>180+240</f>
        <v>420</v>
      </c>
      <c r="AD133" s="28">
        <f>150+240</f>
        <v>390</v>
      </c>
      <c r="AE133" s="28">
        <f>132+240+144</f>
        <v>516</v>
      </c>
      <c r="AF133" s="28"/>
      <c r="AG133" s="28">
        <f>180+180</f>
        <v>360</v>
      </c>
      <c r="AH133" s="28">
        <f>234+180</f>
        <v>414</v>
      </c>
      <c r="AI133" s="28">
        <f>240+240</f>
        <v>480</v>
      </c>
      <c r="AJ133" s="28">
        <f>204+162</f>
        <v>366</v>
      </c>
      <c r="AK133" s="28">
        <f>162+162</f>
        <v>324</v>
      </c>
      <c r="AL133" s="28">
        <f>156+156</f>
        <v>312</v>
      </c>
      <c r="AM133" s="28"/>
      <c r="AN133" s="32"/>
      <c r="AO133" s="32"/>
      <c r="AP133" s="32"/>
    </row>
    <row r="134">
      <c r="A134" s="33"/>
      <c r="B134" s="33"/>
      <c r="C134" s="33"/>
      <c r="D134" s="33"/>
      <c r="E134" s="25"/>
      <c r="F134" s="25"/>
      <c r="G134" s="7"/>
      <c r="H134" s="7"/>
      <c r="I134" s="26"/>
      <c r="J134" s="26"/>
      <c r="K134" s="26"/>
      <c r="L134" s="37"/>
      <c r="M134" s="37"/>
      <c r="N134" s="37"/>
      <c r="O134" s="37"/>
      <c r="P134" s="41"/>
      <c r="Q134" s="37"/>
      <c r="R134" s="27"/>
      <c r="S134" s="6"/>
      <c r="T134" s="6"/>
      <c r="U134" s="6"/>
      <c r="V134" s="42"/>
      <c r="W134" s="6"/>
      <c r="X134" s="6"/>
      <c r="Y134" s="27"/>
      <c r="Z134" s="6"/>
      <c r="AA134" s="10"/>
      <c r="AB134" s="6"/>
      <c r="AC134" s="6"/>
      <c r="AD134" s="6"/>
      <c r="AE134" s="6"/>
      <c r="AF134" s="271"/>
      <c r="AG134" s="6"/>
      <c r="AH134" s="6"/>
      <c r="AI134" s="6"/>
      <c r="AJ134" s="6"/>
      <c r="AK134" s="6"/>
      <c r="AL134" s="6"/>
      <c r="AM134" s="27"/>
      <c r="AN134" s="39"/>
      <c r="AO134" s="237"/>
      <c r="AP134" s="237"/>
    </row>
    <row r="135">
      <c r="A135" s="24" t="s">
        <v>132</v>
      </c>
      <c r="B135" s="17"/>
      <c r="C135" s="17"/>
      <c r="D135" s="18"/>
      <c r="E135" s="25">
        <v>6.0</v>
      </c>
      <c r="F135" s="25" t="s">
        <v>21</v>
      </c>
      <c r="G135" s="7">
        <v>18937.0</v>
      </c>
      <c r="H135" s="7" t="s">
        <v>22</v>
      </c>
      <c r="I135" s="26"/>
      <c r="J135" s="26"/>
      <c r="K135" s="26"/>
      <c r="L135" s="26"/>
      <c r="M135" s="26"/>
      <c r="N135" s="26"/>
      <c r="O135" s="26"/>
      <c r="P135" s="26"/>
      <c r="Q135" s="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9">
        <f>G135+SUM(I135:AM135)-SUM(I136:AM136)</f>
        <v>14797</v>
      </c>
      <c r="AO135" s="236">
        <f>ROUNDDOWN((AN135/E135)/$H$4,1)</f>
        <v>82.2</v>
      </c>
      <c r="AP135" s="236">
        <f>$M$3+AO135</f>
        <v>1051.2</v>
      </c>
    </row>
    <row r="136">
      <c r="A136" s="31"/>
      <c r="B136" s="17"/>
      <c r="C136" s="17"/>
      <c r="D136" s="17"/>
      <c r="E136" s="17"/>
      <c r="F136" s="18"/>
      <c r="G136" s="26"/>
      <c r="H136" s="7" t="s">
        <v>23</v>
      </c>
      <c r="I136" s="7"/>
      <c r="J136" s="7"/>
      <c r="K136" s="7"/>
      <c r="L136" s="7">
        <v>180.0</v>
      </c>
      <c r="M136" s="7">
        <v>180.0</v>
      </c>
      <c r="N136" s="7">
        <v>180.0</v>
      </c>
      <c r="O136" s="7">
        <v>180.0</v>
      </c>
      <c r="P136" s="7">
        <v>180.0</v>
      </c>
      <c r="Q136" s="7">
        <v>360.0</v>
      </c>
      <c r="R136" s="28"/>
      <c r="S136" s="28">
        <v>180.0</v>
      </c>
      <c r="T136" s="28">
        <v>180.0</v>
      </c>
      <c r="U136" s="28">
        <v>180.0</v>
      </c>
      <c r="V136" s="28">
        <v>180.0</v>
      </c>
      <c r="W136" s="28"/>
      <c r="X136" s="28">
        <v>180.0</v>
      </c>
      <c r="Y136" s="28"/>
      <c r="Z136" s="28">
        <v>180.0</v>
      </c>
      <c r="AA136" s="28">
        <v>180.0</v>
      </c>
      <c r="AB136" s="28">
        <v>180.0</v>
      </c>
      <c r="AC136" s="28">
        <v>180.0</v>
      </c>
      <c r="AD136" s="28">
        <v>180.0</v>
      </c>
      <c r="AE136" s="28">
        <v>180.0</v>
      </c>
      <c r="AF136" s="28"/>
      <c r="AG136" s="28">
        <v>180.0</v>
      </c>
      <c r="AH136" s="28">
        <v>180.0</v>
      </c>
      <c r="AI136" s="28"/>
      <c r="AJ136" s="28">
        <v>180.0</v>
      </c>
      <c r="AK136" s="28">
        <v>180.0</v>
      </c>
      <c r="AL136" s="28">
        <v>180.0</v>
      </c>
      <c r="AM136" s="28"/>
      <c r="AN136" s="32"/>
      <c r="AO136" s="32"/>
      <c r="AP136" s="32"/>
    </row>
    <row r="137">
      <c r="A137" s="33"/>
      <c r="B137" s="33"/>
      <c r="C137" s="33"/>
      <c r="D137" s="33"/>
      <c r="E137" s="25"/>
      <c r="F137" s="25"/>
      <c r="G137" s="7"/>
      <c r="H137" s="7"/>
      <c r="I137" s="26"/>
      <c r="J137" s="26"/>
      <c r="K137" s="26"/>
      <c r="L137" s="37"/>
      <c r="M137" s="37"/>
      <c r="N137" s="37"/>
      <c r="O137" s="37"/>
      <c r="P137" s="37"/>
      <c r="Q137" s="37"/>
      <c r="R137" s="27"/>
      <c r="S137" s="6"/>
      <c r="T137" s="6"/>
      <c r="U137" s="6"/>
      <c r="V137" s="6"/>
      <c r="W137" s="10"/>
      <c r="X137" s="6"/>
      <c r="Y137" s="27"/>
      <c r="Z137" s="6"/>
      <c r="AA137" s="6"/>
      <c r="AB137" s="6"/>
      <c r="AC137" s="6"/>
      <c r="AD137" s="6"/>
      <c r="AE137" s="6"/>
      <c r="AF137" s="27"/>
      <c r="AG137" s="6"/>
      <c r="AH137" s="6"/>
      <c r="AI137" s="10"/>
      <c r="AJ137" s="6"/>
      <c r="AK137" s="6"/>
      <c r="AL137" s="6"/>
      <c r="AM137" s="27"/>
      <c r="AN137" s="39"/>
      <c r="AO137" s="237"/>
      <c r="AP137" s="237"/>
    </row>
    <row r="138">
      <c r="A138" s="24" t="s">
        <v>70</v>
      </c>
      <c r="B138" s="17"/>
      <c r="C138" s="17"/>
      <c r="D138" s="18"/>
      <c r="E138" s="25">
        <v>8.0</v>
      </c>
      <c r="F138" s="25" t="s">
        <v>21</v>
      </c>
      <c r="G138" s="7">
        <v>9784.0</v>
      </c>
      <c r="H138" s="7" t="s">
        <v>22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8"/>
      <c r="AC138" s="28"/>
      <c r="AD138" s="27"/>
      <c r="AE138" s="27"/>
      <c r="AF138" s="27"/>
      <c r="AG138" s="27"/>
      <c r="AH138" s="27"/>
      <c r="AI138" s="27"/>
      <c r="AJ138" s="28"/>
      <c r="AK138" s="27"/>
      <c r="AL138" s="27"/>
      <c r="AM138" s="27"/>
      <c r="AN138" s="29">
        <f>G138+SUM(I138:AM138)-SUM(I139:AM139)</f>
        <v>4224</v>
      </c>
      <c r="AO138" s="236">
        <f>ROUNDDOWN((AN138/E138)/$H$4,1)</f>
        <v>17.6</v>
      </c>
      <c r="AP138" s="236">
        <f>$M$3+AO138</f>
        <v>986.6</v>
      </c>
    </row>
    <row r="139">
      <c r="A139" s="31"/>
      <c r="B139" s="17"/>
      <c r="C139" s="17"/>
      <c r="D139" s="17"/>
      <c r="E139" s="17"/>
      <c r="F139" s="18"/>
      <c r="G139" s="26"/>
      <c r="H139" s="7" t="s">
        <v>23</v>
      </c>
      <c r="I139" s="7"/>
      <c r="J139" s="7"/>
      <c r="K139" s="7"/>
      <c r="L139" s="7">
        <f>54+180</f>
        <v>234</v>
      </c>
      <c r="M139" s="7">
        <f>80+180</f>
        <v>260</v>
      </c>
      <c r="N139" s="7">
        <f>78+180</f>
        <v>258</v>
      </c>
      <c r="O139" s="7">
        <f>70+180</f>
        <v>250</v>
      </c>
      <c r="P139" s="7">
        <f>68+180</f>
        <v>248</v>
      </c>
      <c r="Q139" s="7">
        <f>62+360</f>
        <v>422</v>
      </c>
      <c r="R139" s="28"/>
      <c r="S139" s="28">
        <f>70+180</f>
        <v>250</v>
      </c>
      <c r="T139" s="28">
        <f>74+180</f>
        <v>254</v>
      </c>
      <c r="U139" s="28">
        <f>58+180</f>
        <v>238</v>
      </c>
      <c r="V139" s="28">
        <f>64+180</f>
        <v>244</v>
      </c>
      <c r="W139" s="28">
        <v>58.0</v>
      </c>
      <c r="X139" s="28">
        <v>180.0</v>
      </c>
      <c r="Y139" s="28"/>
      <c r="Z139" s="28">
        <f>84+180</f>
        <v>264</v>
      </c>
      <c r="AA139" s="28">
        <v>180.0</v>
      </c>
      <c r="AB139" s="28">
        <f>54+180</f>
        <v>234</v>
      </c>
      <c r="AC139" s="28">
        <f>60+180</f>
        <v>240</v>
      </c>
      <c r="AD139" s="28">
        <f>50+180</f>
        <v>230</v>
      </c>
      <c r="AE139" s="28">
        <f>44+180</f>
        <v>224</v>
      </c>
      <c r="AF139" s="28"/>
      <c r="AG139" s="28">
        <f>60+180</f>
        <v>240</v>
      </c>
      <c r="AH139" s="28">
        <f>78+180</f>
        <v>258</v>
      </c>
      <c r="AI139" s="28">
        <v>80.0</v>
      </c>
      <c r="AJ139" s="28">
        <f>68+180</f>
        <v>248</v>
      </c>
      <c r="AK139" s="28">
        <f>54+180</f>
        <v>234</v>
      </c>
      <c r="AL139" s="28">
        <f>52+180</f>
        <v>232</v>
      </c>
      <c r="AM139" s="28"/>
      <c r="AN139" s="32"/>
      <c r="AO139" s="32"/>
      <c r="AP139" s="32"/>
    </row>
    <row r="140">
      <c r="A140" s="33"/>
      <c r="B140" s="33"/>
      <c r="C140" s="33"/>
      <c r="D140" s="33"/>
      <c r="E140" s="25"/>
      <c r="F140" s="25"/>
      <c r="G140" s="7"/>
      <c r="H140" s="7"/>
      <c r="I140" s="26"/>
      <c r="J140" s="26"/>
      <c r="K140" s="26"/>
      <c r="L140" s="37"/>
      <c r="M140" s="37"/>
      <c r="N140" s="37"/>
      <c r="O140" s="37"/>
      <c r="P140" s="37"/>
      <c r="Q140" s="6"/>
      <c r="R140" s="27"/>
      <c r="S140" s="6"/>
      <c r="T140" s="6"/>
      <c r="U140" s="6"/>
      <c r="V140" s="6"/>
      <c r="W140" s="6"/>
      <c r="X140" s="6"/>
      <c r="Y140" s="27"/>
      <c r="Z140" s="6"/>
      <c r="AA140" s="6"/>
      <c r="AB140" s="6"/>
      <c r="AC140" s="6"/>
      <c r="AD140" s="6"/>
      <c r="AE140" s="6"/>
      <c r="AF140" s="27"/>
      <c r="AG140" s="6"/>
      <c r="AH140" s="6"/>
      <c r="AI140" s="42"/>
      <c r="AJ140" s="6"/>
      <c r="AK140" s="6"/>
      <c r="AL140" s="6"/>
      <c r="AM140" s="27"/>
      <c r="AN140" s="39"/>
      <c r="AO140" s="237"/>
      <c r="AP140" s="237"/>
    </row>
    <row r="141">
      <c r="A141" s="24" t="s">
        <v>71</v>
      </c>
      <c r="B141" s="17"/>
      <c r="C141" s="17"/>
      <c r="D141" s="18"/>
      <c r="E141" s="25">
        <v>8.0</v>
      </c>
      <c r="F141" s="25" t="s">
        <v>21</v>
      </c>
      <c r="G141" s="7">
        <v>10040.0</v>
      </c>
      <c r="H141" s="7" t="s">
        <v>22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8"/>
      <c r="AC141" s="28"/>
      <c r="AD141" s="27"/>
      <c r="AE141" s="27"/>
      <c r="AF141" s="27"/>
      <c r="AG141" s="27"/>
      <c r="AH141" s="27"/>
      <c r="AI141" s="28"/>
      <c r="AJ141" s="28"/>
      <c r="AK141" s="28"/>
      <c r="AL141" s="27"/>
      <c r="AM141" s="27"/>
      <c r="AN141" s="29">
        <f>G141+SUM(I141:AM141)-SUM(I142:AM142)</f>
        <v>4480</v>
      </c>
      <c r="AO141" s="236">
        <f>ROUNDDOWN((AN141/E141)/$H$4,1)</f>
        <v>18.6</v>
      </c>
      <c r="AP141" s="236">
        <f>$M$3+AO141</f>
        <v>987.6</v>
      </c>
    </row>
    <row r="142">
      <c r="A142" s="31"/>
      <c r="B142" s="17"/>
      <c r="C142" s="17"/>
      <c r="D142" s="17"/>
      <c r="E142" s="17"/>
      <c r="F142" s="18"/>
      <c r="G142" s="26"/>
      <c r="H142" s="7" t="s">
        <v>23</v>
      </c>
      <c r="I142" s="7"/>
      <c r="J142" s="7"/>
      <c r="K142" s="7"/>
      <c r="L142" s="7">
        <f>54+180</f>
        <v>234</v>
      </c>
      <c r="M142" s="7">
        <f>80+180</f>
        <v>260</v>
      </c>
      <c r="N142" s="7">
        <f>78+180</f>
        <v>258</v>
      </c>
      <c r="O142" s="7">
        <f>70+180</f>
        <v>250</v>
      </c>
      <c r="P142" s="7">
        <f>68+180</f>
        <v>248</v>
      </c>
      <c r="Q142" s="7">
        <f>62+360</f>
        <v>422</v>
      </c>
      <c r="R142" s="28"/>
      <c r="S142" s="28">
        <f>70+180</f>
        <v>250</v>
      </c>
      <c r="T142" s="28">
        <f>74+180</f>
        <v>254</v>
      </c>
      <c r="U142" s="28">
        <f>58+180</f>
        <v>238</v>
      </c>
      <c r="V142" s="28">
        <f>64+180</f>
        <v>244</v>
      </c>
      <c r="W142" s="28">
        <v>58.0</v>
      </c>
      <c r="X142" s="28">
        <v>180.0</v>
      </c>
      <c r="Y142" s="28"/>
      <c r="Z142" s="28">
        <f>84+180</f>
        <v>264</v>
      </c>
      <c r="AA142" s="28">
        <v>180.0</v>
      </c>
      <c r="AB142" s="28">
        <f>54+180</f>
        <v>234</v>
      </c>
      <c r="AC142" s="28">
        <f>60+180</f>
        <v>240</v>
      </c>
      <c r="AD142" s="28">
        <f>50+180</f>
        <v>230</v>
      </c>
      <c r="AE142" s="28">
        <f>44+180</f>
        <v>224</v>
      </c>
      <c r="AF142" s="28"/>
      <c r="AG142" s="28">
        <f>60+180</f>
        <v>240</v>
      </c>
      <c r="AH142" s="28">
        <f>78+180</f>
        <v>258</v>
      </c>
      <c r="AI142" s="28">
        <v>80.0</v>
      </c>
      <c r="AJ142" s="28">
        <f>68+180</f>
        <v>248</v>
      </c>
      <c r="AK142" s="28">
        <f>54+180</f>
        <v>234</v>
      </c>
      <c r="AL142" s="28">
        <f>52+180</f>
        <v>232</v>
      </c>
      <c r="AM142" s="28"/>
      <c r="AN142" s="32"/>
      <c r="AO142" s="32"/>
      <c r="AP142" s="32"/>
    </row>
    <row r="143">
      <c r="A143" s="33"/>
      <c r="B143" s="33"/>
      <c r="C143" s="33"/>
      <c r="D143" s="33"/>
      <c r="E143" s="25"/>
      <c r="F143" s="25"/>
      <c r="G143" s="7"/>
      <c r="H143" s="7"/>
      <c r="I143" s="26"/>
      <c r="J143" s="26"/>
      <c r="K143" s="26"/>
      <c r="L143" s="37"/>
      <c r="M143" s="37"/>
      <c r="N143" s="37"/>
      <c r="O143" s="37"/>
      <c r="P143" s="37"/>
      <c r="Q143" s="37"/>
      <c r="R143" s="27"/>
      <c r="S143" s="6"/>
      <c r="T143" s="6"/>
      <c r="U143" s="6"/>
      <c r="V143" s="6"/>
      <c r="W143" s="6"/>
      <c r="X143" s="6"/>
      <c r="Y143" s="27"/>
      <c r="Z143" s="6"/>
      <c r="AA143" s="6"/>
      <c r="AB143" s="6"/>
      <c r="AC143" s="6"/>
      <c r="AD143" s="6"/>
      <c r="AE143" s="6"/>
      <c r="AF143" s="27"/>
      <c r="AG143" s="6"/>
      <c r="AH143" s="6"/>
      <c r="AI143" s="42"/>
      <c r="AJ143" s="6"/>
      <c r="AK143" s="6"/>
      <c r="AL143" s="6"/>
      <c r="AM143" s="27"/>
      <c r="AN143" s="39"/>
      <c r="AO143" s="237"/>
      <c r="AP143" s="237"/>
    </row>
    <row r="144">
      <c r="A144" s="24" t="s">
        <v>72</v>
      </c>
      <c r="B144" s="17"/>
      <c r="C144" s="17"/>
      <c r="D144" s="18"/>
      <c r="E144" s="25">
        <v>12.0</v>
      </c>
      <c r="F144" s="25" t="s">
        <v>21</v>
      </c>
      <c r="G144" s="7">
        <v>17319.0</v>
      </c>
      <c r="H144" s="7" t="s">
        <v>22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8"/>
      <c r="AC144" s="28"/>
      <c r="AD144" s="27"/>
      <c r="AE144" s="27"/>
      <c r="AF144" s="27"/>
      <c r="AG144" s="27"/>
      <c r="AH144" s="27"/>
      <c r="AI144" s="28"/>
      <c r="AJ144" s="28"/>
      <c r="AK144" s="28"/>
      <c r="AL144" s="27"/>
      <c r="AM144" s="27"/>
      <c r="AN144" s="29">
        <f>G144+SUM(I144:AM144)-SUM(I145:AM145)</f>
        <v>8871</v>
      </c>
      <c r="AO144" s="236">
        <f>ROUNDDOWN((AN144/E144)/$H$4,1)</f>
        <v>24.6</v>
      </c>
      <c r="AP144" s="236">
        <f>$M$5+AO144</f>
        <v>991.6</v>
      </c>
    </row>
    <row r="145">
      <c r="A145" s="31"/>
      <c r="B145" s="17"/>
      <c r="C145" s="17"/>
      <c r="D145" s="17"/>
      <c r="E145" s="17"/>
      <c r="F145" s="18"/>
      <c r="G145" s="26"/>
      <c r="H145" s="7" t="s">
        <v>23</v>
      </c>
      <c r="I145" s="7"/>
      <c r="J145" s="7"/>
      <c r="K145" s="7"/>
      <c r="L145" s="7">
        <v>384.0</v>
      </c>
      <c r="M145" s="7">
        <v>360.0</v>
      </c>
      <c r="N145" s="7">
        <v>480.0</v>
      </c>
      <c r="O145" s="7">
        <v>444.0</v>
      </c>
      <c r="P145" s="7">
        <v>432.0</v>
      </c>
      <c r="Q145" s="7">
        <v>420.0</v>
      </c>
      <c r="R145" s="28"/>
      <c r="S145" s="28"/>
      <c r="T145" s="28">
        <v>360.0</v>
      </c>
      <c r="U145" s="28">
        <v>360.0</v>
      </c>
      <c r="V145" s="28"/>
      <c r="W145" s="28"/>
      <c r="X145" s="28">
        <v>360.0</v>
      </c>
      <c r="Y145" s="28"/>
      <c r="Z145" s="28">
        <v>480.0</v>
      </c>
      <c r="AA145" s="28"/>
      <c r="AB145" s="28">
        <f>336+144</f>
        <v>480</v>
      </c>
      <c r="AC145" s="28">
        <v>480.0</v>
      </c>
      <c r="AD145" s="28">
        <v>480.0</v>
      </c>
      <c r="AE145" s="28">
        <f>480+288</f>
        <v>768</v>
      </c>
      <c r="AF145" s="28"/>
      <c r="AG145" s="28">
        <v>360.0</v>
      </c>
      <c r="AH145" s="28">
        <v>360.0</v>
      </c>
      <c r="AI145" s="28">
        <v>480.0</v>
      </c>
      <c r="AJ145" s="28">
        <v>324.0</v>
      </c>
      <c r="AK145" s="28">
        <v>324.0</v>
      </c>
      <c r="AL145" s="28">
        <v>312.0</v>
      </c>
      <c r="AM145" s="28"/>
      <c r="AN145" s="32"/>
      <c r="AO145" s="32"/>
      <c r="AP145" s="32"/>
    </row>
    <row r="146">
      <c r="A146" s="33"/>
      <c r="B146" s="33"/>
      <c r="C146" s="33"/>
      <c r="D146" s="33"/>
      <c r="E146" s="25"/>
      <c r="F146" s="25"/>
      <c r="G146" s="7"/>
      <c r="H146" s="7"/>
      <c r="I146" s="26"/>
      <c r="J146" s="26"/>
      <c r="K146" s="26"/>
      <c r="L146" s="37"/>
      <c r="M146" s="37"/>
      <c r="N146" s="37"/>
      <c r="O146" s="37"/>
      <c r="P146" s="37"/>
      <c r="Q146" s="37"/>
      <c r="R146" s="27"/>
      <c r="S146" s="10"/>
      <c r="T146" s="6"/>
      <c r="U146" s="6"/>
      <c r="V146" s="10"/>
      <c r="W146" s="10"/>
      <c r="X146" s="6"/>
      <c r="Y146" s="27"/>
      <c r="Z146" s="6"/>
      <c r="AA146" s="10"/>
      <c r="AB146" s="6"/>
      <c r="AC146" s="6"/>
      <c r="AD146" s="6"/>
      <c r="AE146" s="6"/>
      <c r="AF146" s="27"/>
      <c r="AG146" s="6"/>
      <c r="AH146" s="6"/>
      <c r="AI146" s="42"/>
      <c r="AJ146" s="6"/>
      <c r="AK146" s="6"/>
      <c r="AL146" s="6"/>
      <c r="AM146" s="27"/>
      <c r="AN146" s="39"/>
      <c r="AO146" s="237"/>
      <c r="AP146" s="237"/>
    </row>
    <row r="147">
      <c r="A147" s="24" t="s">
        <v>73</v>
      </c>
      <c r="B147" s="17"/>
      <c r="C147" s="17"/>
      <c r="D147" s="18"/>
      <c r="E147" s="25">
        <v>12.0</v>
      </c>
      <c r="F147" s="25" t="s">
        <v>21</v>
      </c>
      <c r="G147" s="7">
        <v>15157.0</v>
      </c>
      <c r="H147" s="7" t="s">
        <v>22</v>
      </c>
      <c r="I147" s="26"/>
      <c r="J147" s="26"/>
      <c r="K147" s="26"/>
      <c r="L147" s="26"/>
      <c r="M147" s="26"/>
      <c r="N147" s="26"/>
      <c r="O147" s="26"/>
      <c r="P147" s="26"/>
      <c r="Q147" s="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8"/>
      <c r="AC147" s="28"/>
      <c r="AD147" s="27"/>
      <c r="AE147" s="27"/>
      <c r="AF147" s="27"/>
      <c r="AG147" s="27"/>
      <c r="AH147" s="27"/>
      <c r="AI147" s="28"/>
      <c r="AJ147" s="28"/>
      <c r="AK147" s="28"/>
      <c r="AL147" s="27"/>
      <c r="AM147" s="27"/>
      <c r="AN147" s="29">
        <f>G147+SUM(I147:AM147)-SUM(I148:AM148)</f>
        <v>6709</v>
      </c>
      <c r="AO147" s="236">
        <f>ROUNDDOWN((AN147/E147)/$H$4,1)</f>
        <v>18.6</v>
      </c>
      <c r="AP147" s="236">
        <f>$M$5+AO147</f>
        <v>985.6</v>
      </c>
    </row>
    <row r="148">
      <c r="A148" s="31"/>
      <c r="B148" s="17"/>
      <c r="C148" s="17"/>
      <c r="D148" s="17"/>
      <c r="E148" s="17"/>
      <c r="F148" s="18"/>
      <c r="G148" s="26"/>
      <c r="H148" s="7" t="s">
        <v>23</v>
      </c>
      <c r="I148" s="7"/>
      <c r="J148" s="7"/>
      <c r="K148" s="7"/>
      <c r="L148" s="7">
        <v>384.0</v>
      </c>
      <c r="M148" s="7">
        <v>360.0</v>
      </c>
      <c r="N148" s="7">
        <v>480.0</v>
      </c>
      <c r="O148" s="7">
        <v>444.0</v>
      </c>
      <c r="P148" s="7">
        <v>432.0</v>
      </c>
      <c r="Q148" s="7">
        <v>420.0</v>
      </c>
      <c r="R148" s="28"/>
      <c r="S148" s="28"/>
      <c r="T148" s="28">
        <v>360.0</v>
      </c>
      <c r="U148" s="28">
        <v>360.0</v>
      </c>
      <c r="V148" s="28"/>
      <c r="W148" s="28"/>
      <c r="X148" s="28">
        <v>360.0</v>
      </c>
      <c r="Y148" s="28"/>
      <c r="Z148" s="28">
        <v>480.0</v>
      </c>
      <c r="AA148" s="28"/>
      <c r="AB148" s="28">
        <f>336+144</f>
        <v>480</v>
      </c>
      <c r="AC148" s="28">
        <v>480.0</v>
      </c>
      <c r="AD148" s="28">
        <v>480.0</v>
      </c>
      <c r="AE148" s="28">
        <f>480+288</f>
        <v>768</v>
      </c>
      <c r="AF148" s="28"/>
      <c r="AG148" s="28">
        <v>360.0</v>
      </c>
      <c r="AH148" s="28">
        <v>360.0</v>
      </c>
      <c r="AI148" s="28">
        <v>480.0</v>
      </c>
      <c r="AJ148" s="28">
        <v>324.0</v>
      </c>
      <c r="AK148" s="28">
        <v>324.0</v>
      </c>
      <c r="AL148" s="28">
        <v>312.0</v>
      </c>
      <c r="AM148" s="28"/>
      <c r="AN148" s="32"/>
      <c r="AO148" s="32"/>
      <c r="AP148" s="32"/>
    </row>
    <row r="149">
      <c r="A149" s="33"/>
      <c r="B149" s="33"/>
      <c r="C149" s="33"/>
      <c r="D149" s="33"/>
      <c r="E149" s="25"/>
      <c r="F149" s="25"/>
      <c r="G149" s="7"/>
      <c r="H149" s="7"/>
      <c r="I149" s="26"/>
      <c r="J149" s="26"/>
      <c r="K149" s="26"/>
      <c r="L149" s="37"/>
      <c r="M149" s="37"/>
      <c r="N149" s="37"/>
      <c r="O149" s="37"/>
      <c r="P149" s="37"/>
      <c r="Q149" s="37"/>
      <c r="R149" s="27"/>
      <c r="S149" s="10"/>
      <c r="T149" s="6"/>
      <c r="U149" s="6"/>
      <c r="V149" s="10"/>
      <c r="W149" s="10"/>
      <c r="X149" s="6"/>
      <c r="Y149" s="27"/>
      <c r="Z149" s="6"/>
      <c r="AA149" s="10"/>
      <c r="AB149" s="6"/>
      <c r="AC149" s="6"/>
      <c r="AD149" s="6"/>
      <c r="AE149" s="6"/>
      <c r="AF149" s="27"/>
      <c r="AG149" s="6"/>
      <c r="AH149" s="6"/>
      <c r="AI149" s="6"/>
      <c r="AJ149" s="6"/>
      <c r="AK149" s="6"/>
      <c r="AL149" s="6"/>
      <c r="AM149" s="27"/>
      <c r="AN149" s="39"/>
      <c r="AO149" s="237"/>
      <c r="AP149" s="237"/>
    </row>
    <row r="150">
      <c r="A150" s="24" t="s">
        <v>176</v>
      </c>
      <c r="B150" s="17"/>
      <c r="C150" s="17"/>
      <c r="D150" s="18"/>
      <c r="E150" s="25">
        <v>18.0</v>
      </c>
      <c r="F150" s="25" t="s">
        <v>21</v>
      </c>
      <c r="G150" s="7">
        <v>26106.0</v>
      </c>
      <c r="H150" s="7" t="s">
        <v>22</v>
      </c>
      <c r="I150" s="26"/>
      <c r="J150" s="26"/>
      <c r="K150" s="26"/>
      <c r="L150" s="26"/>
      <c r="M150" s="26"/>
      <c r="N150" s="26"/>
      <c r="O150" s="26"/>
      <c r="P150" s="7"/>
      <c r="Q150" s="26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8"/>
      <c r="AC150" s="28"/>
      <c r="AD150" s="27"/>
      <c r="AE150" s="27"/>
      <c r="AF150" s="27"/>
      <c r="AG150" s="27"/>
      <c r="AH150" s="27"/>
      <c r="AI150" s="27"/>
      <c r="AJ150" s="28"/>
      <c r="AK150" s="28"/>
      <c r="AL150" s="27"/>
      <c r="AM150" s="27"/>
      <c r="AN150" s="29">
        <f>G150+SUM(I150:AM150)-SUM(I151:AM151)</f>
        <v>13326</v>
      </c>
      <c r="AO150" s="236">
        <f>ROUNDDOWN((AN150/E150)/$H$4,1)</f>
        <v>24.6</v>
      </c>
      <c r="AP150" s="236">
        <f>$M$5+AO150</f>
        <v>991.6</v>
      </c>
    </row>
    <row r="151">
      <c r="A151" s="31"/>
      <c r="B151" s="17"/>
      <c r="C151" s="17"/>
      <c r="D151" s="17"/>
      <c r="E151" s="17"/>
      <c r="F151" s="18"/>
      <c r="G151" s="26"/>
      <c r="H151" s="7" t="s">
        <v>23</v>
      </c>
      <c r="I151" s="7"/>
      <c r="J151" s="7"/>
      <c r="K151" s="7"/>
      <c r="L151" s="7">
        <v>486.0</v>
      </c>
      <c r="M151" s="7">
        <v>720.0</v>
      </c>
      <c r="N151" s="7">
        <v>702.0</v>
      </c>
      <c r="O151" s="7">
        <v>630.0</v>
      </c>
      <c r="P151" s="7">
        <v>612.0</v>
      </c>
      <c r="Q151" s="7">
        <v>558.0</v>
      </c>
      <c r="R151" s="28"/>
      <c r="S151" s="28">
        <v>630.0</v>
      </c>
      <c r="T151" s="28">
        <v>666.0</v>
      </c>
      <c r="U151" s="28">
        <v>522.0</v>
      </c>
      <c r="V151" s="28">
        <v>576.0</v>
      </c>
      <c r="W151" s="28">
        <v>522.0</v>
      </c>
      <c r="X151" s="28"/>
      <c r="Y151" s="28"/>
      <c r="Z151" s="28">
        <v>756.0</v>
      </c>
      <c r="AA151" s="28"/>
      <c r="AB151" s="28">
        <v>486.0</v>
      </c>
      <c r="AC151" s="28">
        <v>540.0</v>
      </c>
      <c r="AD151" s="28">
        <v>450.0</v>
      </c>
      <c r="AE151" s="28">
        <v>396.0</v>
      </c>
      <c r="AF151" s="28"/>
      <c r="AG151" s="28">
        <v>540.0</v>
      </c>
      <c r="AH151" s="28">
        <v>702.0</v>
      </c>
      <c r="AI151" s="28">
        <v>720.0</v>
      </c>
      <c r="AJ151" s="28">
        <v>612.0</v>
      </c>
      <c r="AK151" s="28">
        <v>486.0</v>
      </c>
      <c r="AL151" s="28">
        <v>468.0</v>
      </c>
      <c r="AM151" s="28"/>
      <c r="AN151" s="32"/>
      <c r="AO151" s="32"/>
      <c r="AP151" s="32"/>
    </row>
    <row r="152">
      <c r="A152" s="33"/>
      <c r="B152" s="33"/>
      <c r="C152" s="33"/>
      <c r="D152" s="33"/>
      <c r="E152" s="25"/>
      <c r="F152" s="25"/>
      <c r="G152" s="7"/>
      <c r="H152" s="7"/>
      <c r="I152" s="26"/>
      <c r="J152" s="26"/>
      <c r="K152" s="26"/>
      <c r="L152" s="37"/>
      <c r="M152" s="37"/>
      <c r="N152" s="37"/>
      <c r="O152" s="37"/>
      <c r="P152" s="37"/>
      <c r="Q152" s="37"/>
      <c r="R152" s="27"/>
      <c r="S152" s="6"/>
      <c r="T152" s="6"/>
      <c r="U152" s="6"/>
      <c r="V152" s="6"/>
      <c r="W152" s="6"/>
      <c r="X152" s="10"/>
      <c r="Y152" s="27"/>
      <c r="Z152" s="6"/>
      <c r="AA152" s="10"/>
      <c r="AB152" s="6"/>
      <c r="AC152" s="6"/>
      <c r="AD152" s="6"/>
      <c r="AE152" s="6"/>
      <c r="AF152" s="27"/>
      <c r="AG152" s="6"/>
      <c r="AH152" s="6"/>
      <c r="AI152" s="6"/>
      <c r="AJ152" s="6"/>
      <c r="AK152" s="6"/>
      <c r="AL152" s="6"/>
      <c r="AM152" s="27"/>
      <c r="AN152" s="39"/>
      <c r="AO152" s="237"/>
      <c r="AP152" s="237"/>
    </row>
    <row r="153">
      <c r="A153" s="24" t="s">
        <v>75</v>
      </c>
      <c r="B153" s="17"/>
      <c r="C153" s="17"/>
      <c r="D153" s="18"/>
      <c r="E153" s="25">
        <v>12.0</v>
      </c>
      <c r="F153" s="25" t="s">
        <v>21</v>
      </c>
      <c r="G153" s="7">
        <v>17060.0</v>
      </c>
      <c r="H153" s="7" t="s">
        <v>22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8">
        <v>6000.0</v>
      </c>
      <c r="AK153" s="28"/>
      <c r="AL153" s="27"/>
      <c r="AM153" s="27"/>
      <c r="AN153" s="29">
        <f>G153+SUM(I153:AM153)-SUM(I154:AM154)</f>
        <v>13940</v>
      </c>
      <c r="AO153" s="236">
        <f>ROUNDDOWN((AN153/E153)/$H$4,1)</f>
        <v>38.7</v>
      </c>
      <c r="AP153" s="236">
        <f>$M$4+AO153</f>
        <v>1010.7</v>
      </c>
    </row>
    <row r="154">
      <c r="A154" s="31"/>
      <c r="B154" s="17"/>
      <c r="C154" s="17"/>
      <c r="D154" s="17"/>
      <c r="E154" s="17"/>
      <c r="F154" s="18"/>
      <c r="G154" s="26"/>
      <c r="H154" s="7" t="s">
        <v>23</v>
      </c>
      <c r="I154" s="7"/>
      <c r="J154" s="7"/>
      <c r="K154" s="7"/>
      <c r="L154" s="7">
        <f>120+1000+810</f>
        <v>1930</v>
      </c>
      <c r="M154" s="7"/>
      <c r="N154" s="7">
        <f>120+540</f>
        <v>660</v>
      </c>
      <c r="O154" s="7">
        <v>120.0</v>
      </c>
      <c r="P154" s="7">
        <v>540.0</v>
      </c>
      <c r="Q154" s="7">
        <v>120.0</v>
      </c>
      <c r="R154" s="28"/>
      <c r="S154" s="28"/>
      <c r="T154" s="28">
        <v>120.0</v>
      </c>
      <c r="U154" s="28"/>
      <c r="V154" s="28">
        <v>350.0</v>
      </c>
      <c r="W154" s="28">
        <f>270+120</f>
        <v>390</v>
      </c>
      <c r="X154" s="28"/>
      <c r="Y154" s="28"/>
      <c r="Z154" s="28">
        <f>270+120</f>
        <v>390</v>
      </c>
      <c r="AA154" s="28">
        <v>270.0</v>
      </c>
      <c r="AB154" s="28">
        <f>120+540</f>
        <v>660</v>
      </c>
      <c r="AC154" s="28">
        <v>270.0</v>
      </c>
      <c r="AD154" s="28">
        <f>120+540</f>
        <v>660</v>
      </c>
      <c r="AE154" s="28">
        <v>120.0</v>
      </c>
      <c r="AF154" s="28"/>
      <c r="AG154" s="28">
        <v>540.0</v>
      </c>
      <c r="AH154" s="28">
        <f>120+540</f>
        <v>660</v>
      </c>
      <c r="AI154" s="28"/>
      <c r="AJ154" s="28">
        <f t="shared" ref="AJ154:AK154" si="1">120+540</f>
        <v>660</v>
      </c>
      <c r="AK154" s="28">
        <f t="shared" si="1"/>
        <v>660</v>
      </c>
      <c r="AL154" s="28"/>
      <c r="AM154" s="28"/>
      <c r="AN154" s="32"/>
      <c r="AO154" s="32"/>
      <c r="AP154" s="32"/>
    </row>
    <row r="155">
      <c r="A155" s="33"/>
      <c r="B155" s="33"/>
      <c r="C155" s="33"/>
      <c r="D155" s="33"/>
      <c r="E155" s="25"/>
      <c r="F155" s="25"/>
      <c r="G155" s="7"/>
      <c r="H155" s="7"/>
      <c r="I155" s="26"/>
      <c r="J155" s="26"/>
      <c r="K155" s="26"/>
      <c r="L155" s="37"/>
      <c r="M155" s="36"/>
      <c r="N155" s="37"/>
      <c r="O155" s="37"/>
      <c r="P155" s="37"/>
      <c r="Q155" s="37"/>
      <c r="R155" s="27"/>
      <c r="S155" s="10"/>
      <c r="T155" s="6"/>
      <c r="U155" s="10"/>
      <c r="V155" s="6"/>
      <c r="W155" s="6"/>
      <c r="X155" s="10"/>
      <c r="Y155" s="27"/>
      <c r="Z155" s="6"/>
      <c r="AA155" s="6"/>
      <c r="AB155" s="6"/>
      <c r="AC155" s="6"/>
      <c r="AD155" s="6"/>
      <c r="AE155" s="6"/>
      <c r="AF155" s="27"/>
      <c r="AG155" s="6"/>
      <c r="AH155" s="6"/>
      <c r="AI155" s="10"/>
      <c r="AJ155" s="6"/>
      <c r="AK155" s="6"/>
      <c r="AL155" s="10"/>
      <c r="AM155" s="27"/>
      <c r="AN155" s="39"/>
      <c r="AO155" s="237"/>
      <c r="AP155" s="237"/>
    </row>
    <row r="156">
      <c r="A156" s="24" t="s">
        <v>76</v>
      </c>
      <c r="B156" s="17"/>
      <c r="C156" s="17"/>
      <c r="D156" s="18"/>
      <c r="E156" s="25">
        <v>1.0</v>
      </c>
      <c r="F156" s="25" t="s">
        <v>21</v>
      </c>
      <c r="G156" s="7">
        <v>1387.0</v>
      </c>
      <c r="H156" s="7" t="s">
        <v>22</v>
      </c>
      <c r="I156" s="26"/>
      <c r="J156" s="26"/>
      <c r="K156" s="26"/>
      <c r="L156" s="26"/>
      <c r="M156" s="26"/>
      <c r="N156" s="26"/>
      <c r="O156" s="26"/>
      <c r="P156" s="26"/>
      <c r="Q156" s="7"/>
      <c r="R156" s="28"/>
      <c r="S156" s="27"/>
      <c r="T156" s="27"/>
      <c r="U156" s="27"/>
      <c r="V156" s="27"/>
      <c r="W156" s="27"/>
      <c r="X156" s="28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8">
        <v>500.0</v>
      </c>
      <c r="AK156" s="28"/>
      <c r="AL156" s="27"/>
      <c r="AM156" s="27"/>
      <c r="AN156" s="29">
        <f>G156+SUM(I156:AM156)-SUM(I157:AM157)</f>
        <v>897</v>
      </c>
      <c r="AO156" s="236">
        <f>ROUNDDOWN((AN156/E156)/$H$4,1)</f>
        <v>29.9</v>
      </c>
      <c r="AP156" s="236">
        <f>$M$4+AO156</f>
        <v>1001.9</v>
      </c>
    </row>
    <row r="157">
      <c r="A157" s="31"/>
      <c r="B157" s="17"/>
      <c r="C157" s="17"/>
      <c r="D157" s="17"/>
      <c r="E157" s="17"/>
      <c r="F157" s="18"/>
      <c r="G157" s="26"/>
      <c r="H157" s="7" t="s">
        <v>23</v>
      </c>
      <c r="I157" s="7"/>
      <c r="J157" s="26"/>
      <c r="K157" s="7"/>
      <c r="L157" s="7">
        <v>270.0</v>
      </c>
      <c r="M157" s="7"/>
      <c r="N157" s="7">
        <v>90.0</v>
      </c>
      <c r="O157" s="7"/>
      <c r="P157" s="7">
        <v>90.0</v>
      </c>
      <c r="Q157" s="7"/>
      <c r="R157" s="28"/>
      <c r="S157" s="28"/>
      <c r="T157" s="28"/>
      <c r="U157" s="28">
        <v>90.0</v>
      </c>
      <c r="V157" s="28"/>
      <c r="W157" s="28"/>
      <c r="X157" s="28"/>
      <c r="Y157" s="28"/>
      <c r="Z157" s="28"/>
      <c r="AA157" s="28">
        <v>90.0</v>
      </c>
      <c r="AB157" s="28"/>
      <c r="AC157" s="28">
        <v>90.0</v>
      </c>
      <c r="AD157" s="28"/>
      <c r="AE157" s="28">
        <v>90.0</v>
      </c>
      <c r="AF157" s="28"/>
      <c r="AG157" s="28"/>
      <c r="AH157" s="28"/>
      <c r="AI157" s="28">
        <v>90.0</v>
      </c>
      <c r="AJ157" s="27"/>
      <c r="AK157" s="28">
        <v>90.0</v>
      </c>
      <c r="AL157" s="27"/>
      <c r="AM157" s="27"/>
      <c r="AN157" s="32"/>
      <c r="AO157" s="32"/>
      <c r="AP157" s="32"/>
    </row>
    <row r="158">
      <c r="A158" s="33"/>
      <c r="B158" s="33"/>
      <c r="C158" s="33"/>
      <c r="D158" s="33"/>
      <c r="E158" s="25"/>
      <c r="F158" s="25"/>
      <c r="G158" s="7"/>
      <c r="H158" s="7"/>
      <c r="I158" s="26"/>
      <c r="J158" s="26"/>
      <c r="K158" s="26"/>
      <c r="L158" s="37"/>
      <c r="M158" s="36"/>
      <c r="N158" s="37"/>
      <c r="O158" s="36"/>
      <c r="P158" s="37"/>
      <c r="Q158" s="36"/>
      <c r="R158" s="27"/>
      <c r="S158" s="10"/>
      <c r="T158" s="10"/>
      <c r="U158" s="6"/>
      <c r="V158" s="10"/>
      <c r="W158" s="10"/>
      <c r="X158" s="10"/>
      <c r="Y158" s="27"/>
      <c r="Z158" s="10"/>
      <c r="AA158" s="6"/>
      <c r="AB158" s="10"/>
      <c r="AC158" s="6"/>
      <c r="AD158" s="10"/>
      <c r="AE158" s="6"/>
      <c r="AF158" s="27"/>
      <c r="AG158" s="10"/>
      <c r="AH158" s="10"/>
      <c r="AI158" s="6"/>
      <c r="AJ158" s="10"/>
      <c r="AK158" s="6"/>
      <c r="AL158" s="10"/>
      <c r="AM158" s="27"/>
      <c r="AN158" s="39"/>
      <c r="AO158" s="237"/>
      <c r="AP158" s="237"/>
    </row>
    <row r="159">
      <c r="A159" s="24" t="s">
        <v>77</v>
      </c>
      <c r="B159" s="17"/>
      <c r="C159" s="17"/>
      <c r="D159" s="18"/>
      <c r="E159" s="25">
        <v>8.0</v>
      </c>
      <c r="F159" s="25" t="s">
        <v>21</v>
      </c>
      <c r="G159" s="7">
        <f>960+1116+84</f>
        <v>2160</v>
      </c>
      <c r="H159" s="7" t="s">
        <v>22</v>
      </c>
      <c r="I159" s="26"/>
      <c r="J159" s="26"/>
      <c r="K159" s="26"/>
      <c r="L159" s="26"/>
      <c r="M159" s="26"/>
      <c r="N159" s="26"/>
      <c r="O159" s="26"/>
      <c r="P159" s="7"/>
      <c r="Q159" s="7">
        <v>8500.0</v>
      </c>
      <c r="R159" s="28"/>
      <c r="S159" s="27"/>
      <c r="T159" s="27"/>
      <c r="U159" s="27"/>
      <c r="V159" s="27"/>
      <c r="W159" s="27"/>
      <c r="X159" s="28"/>
      <c r="Y159" s="27"/>
      <c r="Z159" s="27"/>
      <c r="AA159" s="27"/>
      <c r="AB159" s="27"/>
      <c r="AC159" s="27"/>
      <c r="AD159" s="28"/>
      <c r="AE159" s="27"/>
      <c r="AF159" s="27"/>
      <c r="AG159" s="27"/>
      <c r="AH159" s="27"/>
      <c r="AI159" s="27"/>
      <c r="AJ159" s="27"/>
      <c r="AK159" s="27"/>
      <c r="AL159" s="27"/>
      <c r="AM159" s="27"/>
      <c r="AN159" s="29">
        <f>G159+SUM(I159:AM159)-SUM(I160:AM160)</f>
        <v>4420</v>
      </c>
      <c r="AO159" s="236">
        <f>ROUNDDOWN((AN159/E159)/$H$4,1)</f>
        <v>18.4</v>
      </c>
      <c r="AP159" s="236">
        <f>$M$4+AO159</f>
        <v>990.4</v>
      </c>
    </row>
    <row r="160">
      <c r="A160" s="31"/>
      <c r="B160" s="17"/>
      <c r="C160" s="17"/>
      <c r="D160" s="17"/>
      <c r="E160" s="17"/>
      <c r="F160" s="18"/>
      <c r="G160" s="26"/>
      <c r="H160" s="7" t="s">
        <v>23</v>
      </c>
      <c r="I160" s="7"/>
      <c r="J160" s="7"/>
      <c r="K160" s="7"/>
      <c r="L160" s="7">
        <v>480.0</v>
      </c>
      <c r="M160" s="7"/>
      <c r="N160" s="7">
        <v>480.0</v>
      </c>
      <c r="O160" s="7"/>
      <c r="P160" s="7">
        <v>480.0</v>
      </c>
      <c r="Q160" s="7"/>
      <c r="R160" s="28"/>
      <c r="S160" s="28">
        <v>480.0</v>
      </c>
      <c r="T160" s="28">
        <v>240.0</v>
      </c>
      <c r="U160" s="28"/>
      <c r="V160" s="28">
        <v>240.0</v>
      </c>
      <c r="W160" s="27"/>
      <c r="X160" s="28"/>
      <c r="Y160" s="28"/>
      <c r="Z160" s="28">
        <v>480.0</v>
      </c>
      <c r="AA160" s="28">
        <v>480.0</v>
      </c>
      <c r="AB160" s="28"/>
      <c r="AC160" s="28">
        <v>480.0</v>
      </c>
      <c r="AD160" s="28"/>
      <c r="AE160" s="28">
        <v>480.0</v>
      </c>
      <c r="AF160" s="28"/>
      <c r="AG160" s="28">
        <v>480.0</v>
      </c>
      <c r="AH160" s="28"/>
      <c r="AI160" s="28">
        <v>480.0</v>
      </c>
      <c r="AJ160" s="28"/>
      <c r="AK160" s="28">
        <v>480.0</v>
      </c>
      <c r="AL160" s="28">
        <v>480.0</v>
      </c>
      <c r="AM160" s="28"/>
      <c r="AN160" s="32"/>
      <c r="AO160" s="32"/>
      <c r="AP160" s="32"/>
    </row>
    <row r="161">
      <c r="A161" s="33"/>
      <c r="B161" s="33"/>
      <c r="C161" s="33"/>
      <c r="D161" s="33"/>
      <c r="E161" s="25"/>
      <c r="F161" s="25"/>
      <c r="G161" s="7"/>
      <c r="H161" s="7"/>
      <c r="I161" s="26"/>
      <c r="J161" s="26"/>
      <c r="K161" s="26"/>
      <c r="L161" s="37"/>
      <c r="M161" s="36"/>
      <c r="N161" s="37"/>
      <c r="O161" s="36"/>
      <c r="P161" s="37"/>
      <c r="Q161" s="36"/>
      <c r="R161" s="27"/>
      <c r="S161" s="6"/>
      <c r="T161" s="6"/>
      <c r="U161" s="10"/>
      <c r="V161" s="6"/>
      <c r="W161" s="10"/>
      <c r="X161" s="10"/>
      <c r="Y161" s="27"/>
      <c r="Z161" s="6"/>
      <c r="AA161" s="6"/>
      <c r="AB161" s="10"/>
      <c r="AC161" s="6"/>
      <c r="AD161" s="10"/>
      <c r="AE161" s="6"/>
      <c r="AF161" s="27"/>
      <c r="AG161" s="6"/>
      <c r="AH161" s="10"/>
      <c r="AI161" s="6"/>
      <c r="AJ161" s="10"/>
      <c r="AK161" s="6"/>
      <c r="AL161" s="6"/>
      <c r="AM161" s="27"/>
      <c r="AN161" s="39"/>
      <c r="AO161" s="237"/>
      <c r="AP161" s="237"/>
    </row>
    <row r="162">
      <c r="A162" s="24" t="s">
        <v>78</v>
      </c>
      <c r="B162" s="17"/>
      <c r="C162" s="17"/>
      <c r="D162" s="18"/>
      <c r="E162" s="25">
        <v>6.0</v>
      </c>
      <c r="F162" s="25" t="s">
        <v>21</v>
      </c>
      <c r="G162" s="7">
        <v>12330.0</v>
      </c>
      <c r="H162" s="7" t="s">
        <v>22</v>
      </c>
      <c r="I162" s="26"/>
      <c r="J162" s="26"/>
      <c r="K162" s="26"/>
      <c r="L162" s="26"/>
      <c r="M162" s="26"/>
      <c r="N162" s="26"/>
      <c r="O162" s="26"/>
      <c r="P162" s="26"/>
      <c r="Q162" s="7"/>
      <c r="R162" s="28"/>
      <c r="S162" s="27"/>
      <c r="T162" s="27"/>
      <c r="U162" s="27"/>
      <c r="V162" s="27"/>
      <c r="W162" s="27"/>
      <c r="X162" s="28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8"/>
      <c r="AL162" s="27"/>
      <c r="AM162" s="27"/>
      <c r="AN162" s="29">
        <f>G162+SUM(I162:AM162)-SUM(I163:AM163)</f>
        <v>8190</v>
      </c>
      <c r="AO162" s="272">
        <f>ROUNDDOWN((AN162/E162)/$H$4,1)</f>
        <v>45.5</v>
      </c>
      <c r="AP162" s="236">
        <f>$M$3+AO162</f>
        <v>1014.5</v>
      </c>
    </row>
    <row r="163">
      <c r="A163" s="31"/>
      <c r="B163" s="17"/>
      <c r="C163" s="17"/>
      <c r="D163" s="17"/>
      <c r="E163" s="17"/>
      <c r="F163" s="18"/>
      <c r="G163" s="26"/>
      <c r="H163" s="7" t="s">
        <v>23</v>
      </c>
      <c r="I163" s="7"/>
      <c r="J163" s="7"/>
      <c r="K163" s="7"/>
      <c r="L163" s="7">
        <v>180.0</v>
      </c>
      <c r="M163" s="7">
        <v>180.0</v>
      </c>
      <c r="N163" s="7">
        <v>180.0</v>
      </c>
      <c r="O163" s="7">
        <v>180.0</v>
      </c>
      <c r="P163" s="7">
        <v>180.0</v>
      </c>
      <c r="Q163" s="7">
        <v>360.0</v>
      </c>
      <c r="R163" s="28"/>
      <c r="S163" s="28">
        <v>180.0</v>
      </c>
      <c r="T163" s="28">
        <v>180.0</v>
      </c>
      <c r="U163" s="28">
        <v>180.0</v>
      </c>
      <c r="V163" s="28">
        <v>180.0</v>
      </c>
      <c r="W163" s="28"/>
      <c r="X163" s="28">
        <v>180.0</v>
      </c>
      <c r="Y163" s="28"/>
      <c r="Z163" s="28">
        <v>180.0</v>
      </c>
      <c r="AA163" s="28">
        <v>180.0</v>
      </c>
      <c r="AB163" s="28">
        <v>180.0</v>
      </c>
      <c r="AC163" s="28">
        <v>180.0</v>
      </c>
      <c r="AD163" s="28">
        <v>180.0</v>
      </c>
      <c r="AE163" s="28">
        <v>180.0</v>
      </c>
      <c r="AF163" s="28"/>
      <c r="AG163" s="28">
        <v>180.0</v>
      </c>
      <c r="AH163" s="28">
        <v>180.0</v>
      </c>
      <c r="AI163" s="28"/>
      <c r="AJ163" s="28">
        <v>180.0</v>
      </c>
      <c r="AK163" s="28">
        <v>180.0</v>
      </c>
      <c r="AL163" s="28">
        <v>180.0</v>
      </c>
      <c r="AM163" s="28"/>
      <c r="AN163" s="32"/>
      <c r="AO163" s="273"/>
      <c r="AP163" s="32"/>
    </row>
    <row r="164">
      <c r="A164" s="33"/>
      <c r="B164" s="33"/>
      <c r="C164" s="33"/>
      <c r="D164" s="33"/>
      <c r="E164" s="25"/>
      <c r="F164" s="25"/>
      <c r="G164" s="7"/>
      <c r="H164" s="7"/>
      <c r="I164" s="26"/>
      <c r="J164" s="26"/>
      <c r="K164" s="26"/>
      <c r="L164" s="37"/>
      <c r="M164" s="37"/>
      <c r="N164" s="37"/>
      <c r="O164" s="37"/>
      <c r="P164" s="37"/>
      <c r="Q164" s="37"/>
      <c r="R164" s="27"/>
      <c r="S164" s="6"/>
      <c r="T164" s="6"/>
      <c r="U164" s="6"/>
      <c r="V164" s="6"/>
      <c r="W164" s="10"/>
      <c r="X164" s="6"/>
      <c r="Y164" s="27"/>
      <c r="Z164" s="6"/>
      <c r="AA164" s="6"/>
      <c r="AB164" s="6"/>
      <c r="AC164" s="6"/>
      <c r="AD164" s="6"/>
      <c r="AE164" s="6"/>
      <c r="AF164" s="27"/>
      <c r="AG164" s="6"/>
      <c r="AH164" s="42"/>
      <c r="AI164" s="38"/>
      <c r="AJ164" s="6"/>
      <c r="AK164" s="6"/>
      <c r="AL164" s="6"/>
      <c r="AM164" s="27"/>
      <c r="AN164" s="39"/>
      <c r="AO164" s="237"/>
      <c r="AP164" s="237"/>
    </row>
    <row r="165">
      <c r="A165" s="24" t="s">
        <v>79</v>
      </c>
      <c r="B165" s="17"/>
      <c r="C165" s="17"/>
      <c r="D165" s="18"/>
      <c r="E165" s="25">
        <v>12.0</v>
      </c>
      <c r="F165" s="25" t="s">
        <v>21</v>
      </c>
      <c r="G165" s="7">
        <v>9409.0</v>
      </c>
      <c r="H165" s="7" t="s">
        <v>22</v>
      </c>
      <c r="I165" s="26"/>
      <c r="J165" s="26"/>
      <c r="K165" s="26"/>
      <c r="L165" s="26"/>
      <c r="M165" s="26"/>
      <c r="N165" s="26"/>
      <c r="O165" s="26"/>
      <c r="P165" s="26"/>
      <c r="Q165" s="26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8"/>
      <c r="AC165" s="28"/>
      <c r="AD165" s="27"/>
      <c r="AE165" s="27"/>
      <c r="AF165" s="27"/>
      <c r="AG165" s="27"/>
      <c r="AH165" s="28"/>
      <c r="AI165" s="28">
        <v>5279.0</v>
      </c>
      <c r="AJ165" s="28"/>
      <c r="AK165" s="28"/>
      <c r="AL165" s="27"/>
      <c r="AM165" s="27"/>
      <c r="AN165" s="29">
        <f>G165+SUM(I165:AM165)-SUM(I166:AM166)</f>
        <v>6240</v>
      </c>
      <c r="AO165" s="236">
        <f>ROUNDDOWN((AN165/E165)/$H$4,1)</f>
        <v>17.3</v>
      </c>
      <c r="AP165" s="236">
        <f>M5+AO165</f>
        <v>984.3</v>
      </c>
    </row>
    <row r="166">
      <c r="A166" s="31"/>
      <c r="B166" s="17"/>
      <c r="C166" s="17"/>
      <c r="D166" s="17"/>
      <c r="E166" s="17"/>
      <c r="F166" s="18"/>
      <c r="G166" s="26"/>
      <c r="H166" s="7" t="s">
        <v>23</v>
      </c>
      <c r="I166" s="7"/>
      <c r="J166" s="7"/>
      <c r="K166" s="7"/>
      <c r="L166" s="7">
        <v>384.0</v>
      </c>
      <c r="M166" s="7">
        <v>360.0</v>
      </c>
      <c r="N166" s="7">
        <v>480.0</v>
      </c>
      <c r="O166" s="7">
        <v>444.0</v>
      </c>
      <c r="P166" s="7">
        <v>432.0</v>
      </c>
      <c r="Q166" s="7">
        <v>420.0</v>
      </c>
      <c r="R166" s="28"/>
      <c r="S166" s="28"/>
      <c r="T166" s="28">
        <v>360.0</v>
      </c>
      <c r="U166" s="28">
        <v>360.0</v>
      </c>
      <c r="V166" s="28"/>
      <c r="W166" s="28"/>
      <c r="X166" s="28">
        <v>360.0</v>
      </c>
      <c r="Y166" s="28"/>
      <c r="Z166" s="28">
        <v>480.0</v>
      </c>
      <c r="AA166" s="28"/>
      <c r="AB166" s="28">
        <f>336+144</f>
        <v>480</v>
      </c>
      <c r="AC166" s="28">
        <v>480.0</v>
      </c>
      <c r="AD166" s="28">
        <v>480.0</v>
      </c>
      <c r="AE166" s="28">
        <f>480+288</f>
        <v>768</v>
      </c>
      <c r="AF166" s="28"/>
      <c r="AG166" s="28">
        <v>360.0</v>
      </c>
      <c r="AH166" s="28">
        <v>360.0</v>
      </c>
      <c r="AI166" s="28">
        <v>480.0</v>
      </c>
      <c r="AJ166" s="28">
        <v>324.0</v>
      </c>
      <c r="AK166" s="28">
        <v>324.0</v>
      </c>
      <c r="AL166" s="28">
        <v>312.0</v>
      </c>
      <c r="AM166" s="28"/>
      <c r="AN166" s="32"/>
      <c r="AO166" s="32"/>
      <c r="AP166" s="32"/>
    </row>
    <row r="167">
      <c r="A167" s="33"/>
      <c r="B167" s="33"/>
      <c r="C167" s="33"/>
      <c r="D167" s="33"/>
      <c r="E167" s="25"/>
      <c r="F167" s="25"/>
      <c r="G167" s="7"/>
      <c r="H167" s="7"/>
      <c r="I167" s="26"/>
      <c r="J167" s="26"/>
      <c r="K167" s="26"/>
      <c r="L167" s="37"/>
      <c r="M167" s="37"/>
      <c r="N167" s="37"/>
      <c r="O167" s="37"/>
      <c r="P167" s="37"/>
      <c r="Q167" s="37"/>
      <c r="R167" s="27"/>
      <c r="S167" s="10"/>
      <c r="T167" s="6"/>
      <c r="U167" s="6"/>
      <c r="V167" s="38"/>
      <c r="W167" s="10"/>
      <c r="X167" s="6"/>
      <c r="Y167" s="27"/>
      <c r="Z167" s="6"/>
      <c r="AA167" s="10"/>
      <c r="AB167" s="6"/>
      <c r="AC167" s="6"/>
      <c r="AD167" s="6"/>
      <c r="AE167" s="6"/>
      <c r="AF167" s="27"/>
      <c r="AG167" s="6"/>
      <c r="AH167" s="6"/>
      <c r="AI167" s="42"/>
      <c r="AJ167" s="6"/>
      <c r="AK167" s="6"/>
      <c r="AL167" s="6"/>
      <c r="AM167" s="27"/>
      <c r="AN167" s="39"/>
      <c r="AO167" s="237"/>
      <c r="AP167" s="237"/>
    </row>
    <row r="168">
      <c r="A168" s="24" t="s">
        <v>80</v>
      </c>
      <c r="B168" s="17"/>
      <c r="C168" s="17"/>
      <c r="D168" s="18"/>
      <c r="E168" s="25">
        <v>6.0</v>
      </c>
      <c r="F168" s="25" t="s">
        <v>21</v>
      </c>
      <c r="G168" s="7">
        <f>636+6713</f>
        <v>7349</v>
      </c>
      <c r="H168" s="7" t="s">
        <v>22</v>
      </c>
      <c r="I168" s="26"/>
      <c r="J168" s="26"/>
      <c r="K168" s="7"/>
      <c r="L168" s="26"/>
      <c r="M168" s="26"/>
      <c r="N168" s="26"/>
      <c r="O168" s="26"/>
      <c r="P168" s="26"/>
      <c r="Q168" s="26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8"/>
      <c r="AC168" s="28"/>
      <c r="AD168" s="27"/>
      <c r="AE168" s="27"/>
      <c r="AF168" s="27"/>
      <c r="AG168" s="27"/>
      <c r="AH168" s="27"/>
      <c r="AI168" s="28"/>
      <c r="AJ168" s="28"/>
      <c r="AK168" s="28"/>
      <c r="AL168" s="27"/>
      <c r="AM168" s="27"/>
      <c r="AN168" s="29">
        <f>G168+SUM(I168:AM168)-SUM(I169:AM169)</f>
        <v>3089</v>
      </c>
      <c r="AO168" s="236">
        <f>ROUNDDOWN((AN168/E168)/$H$4,1)</f>
        <v>17.1</v>
      </c>
      <c r="AP168" s="236">
        <f>$M$3+AO168</f>
        <v>986.1</v>
      </c>
    </row>
    <row r="169">
      <c r="A169" s="31"/>
      <c r="B169" s="17"/>
      <c r="C169" s="17"/>
      <c r="D169" s="17"/>
      <c r="E169" s="17"/>
      <c r="F169" s="18"/>
      <c r="G169" s="26"/>
      <c r="H169" s="7" t="s">
        <v>23</v>
      </c>
      <c r="I169" s="7"/>
      <c r="J169" s="7"/>
      <c r="K169" s="7"/>
      <c r="L169" s="7">
        <v>162.0</v>
      </c>
      <c r="M169" s="7">
        <v>240.0</v>
      </c>
      <c r="N169" s="7">
        <v>234.0</v>
      </c>
      <c r="O169" s="7">
        <v>210.0</v>
      </c>
      <c r="P169" s="7">
        <v>204.0</v>
      </c>
      <c r="Q169" s="7">
        <v>186.0</v>
      </c>
      <c r="R169" s="28"/>
      <c r="S169" s="28">
        <v>210.0</v>
      </c>
      <c r="T169" s="28">
        <v>222.0</v>
      </c>
      <c r="U169" s="28">
        <v>174.0</v>
      </c>
      <c r="V169" s="28">
        <v>192.0</v>
      </c>
      <c r="W169" s="28">
        <v>174.0</v>
      </c>
      <c r="X169" s="28"/>
      <c r="Y169" s="28"/>
      <c r="Z169" s="28">
        <v>252.0</v>
      </c>
      <c r="AA169" s="28"/>
      <c r="AB169" s="28">
        <v>162.0</v>
      </c>
      <c r="AC169" s="28">
        <v>180.0</v>
      </c>
      <c r="AD169" s="28">
        <v>150.0</v>
      </c>
      <c r="AE169" s="28">
        <v>132.0</v>
      </c>
      <c r="AF169" s="28"/>
      <c r="AG169" s="28">
        <v>180.0</v>
      </c>
      <c r="AH169" s="28">
        <v>234.0</v>
      </c>
      <c r="AI169" s="28">
        <v>240.0</v>
      </c>
      <c r="AJ169" s="28">
        <v>204.0</v>
      </c>
      <c r="AK169" s="28">
        <v>162.0</v>
      </c>
      <c r="AL169" s="28">
        <v>156.0</v>
      </c>
      <c r="AM169" s="28"/>
      <c r="AN169" s="32"/>
      <c r="AO169" s="32"/>
      <c r="AP169" s="32"/>
    </row>
    <row r="170">
      <c r="A170" s="33"/>
      <c r="B170" s="33"/>
      <c r="C170" s="33"/>
      <c r="D170" s="33"/>
      <c r="E170" s="25"/>
      <c r="F170" s="25"/>
      <c r="G170" s="7"/>
      <c r="H170" s="7"/>
      <c r="I170" s="26"/>
      <c r="J170" s="26"/>
      <c r="K170" s="26"/>
      <c r="L170" s="37"/>
      <c r="M170" s="37"/>
      <c r="N170" s="37"/>
      <c r="O170" s="37"/>
      <c r="P170" s="37"/>
      <c r="Q170" s="37"/>
      <c r="R170" s="27"/>
      <c r="S170" s="6"/>
      <c r="T170" s="6"/>
      <c r="U170" s="6"/>
      <c r="V170" s="6"/>
      <c r="W170" s="6"/>
      <c r="X170" s="10"/>
      <c r="Y170" s="27"/>
      <c r="Z170" s="6"/>
      <c r="AA170" s="10"/>
      <c r="AB170" s="6"/>
      <c r="AC170" s="6"/>
      <c r="AD170" s="6"/>
      <c r="AE170" s="6"/>
      <c r="AF170" s="27"/>
      <c r="AG170" s="6"/>
      <c r="AH170" s="6"/>
      <c r="AI170" s="42"/>
      <c r="AJ170" s="6"/>
      <c r="AK170" s="6"/>
      <c r="AL170" s="6"/>
      <c r="AM170" s="27"/>
      <c r="AN170" s="39"/>
      <c r="AO170" s="237"/>
      <c r="AP170" s="237"/>
    </row>
    <row r="171">
      <c r="A171" s="24" t="s">
        <v>81</v>
      </c>
      <c r="B171" s="17"/>
      <c r="C171" s="17"/>
      <c r="D171" s="18"/>
      <c r="E171" s="25">
        <v>6.0</v>
      </c>
      <c r="F171" s="25" t="s">
        <v>21</v>
      </c>
      <c r="G171" s="7">
        <v>8688.0</v>
      </c>
      <c r="H171" s="7" t="s">
        <v>22</v>
      </c>
      <c r="I171" s="26"/>
      <c r="J171" s="26"/>
      <c r="K171" s="26"/>
      <c r="L171" s="26"/>
      <c r="M171" s="26"/>
      <c r="N171" s="26"/>
      <c r="O171" s="26"/>
      <c r="P171" s="26"/>
      <c r="Q171" s="26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8"/>
      <c r="AC171" s="28"/>
      <c r="AD171" s="27"/>
      <c r="AE171" s="27"/>
      <c r="AF171" s="27"/>
      <c r="AG171" s="27"/>
      <c r="AH171" s="27"/>
      <c r="AI171" s="28"/>
      <c r="AJ171" s="28"/>
      <c r="AK171" s="28"/>
      <c r="AL171" s="27"/>
      <c r="AM171" s="27"/>
      <c r="AN171" s="29">
        <f>G171+SUM(I171:AM171)-SUM(I172:AM172)</f>
        <v>4464</v>
      </c>
      <c r="AO171" s="236">
        <f>ROUNDDOWN((AN171/E171)/$H$4,1)</f>
        <v>24.8</v>
      </c>
      <c r="AP171" s="236">
        <f>$M$5+AO171</f>
        <v>991.8</v>
      </c>
    </row>
    <row r="172">
      <c r="A172" s="31"/>
      <c r="B172" s="17"/>
      <c r="C172" s="17"/>
      <c r="D172" s="17"/>
      <c r="E172" s="17"/>
      <c r="F172" s="18"/>
      <c r="G172" s="26"/>
      <c r="H172" s="7" t="s">
        <v>23</v>
      </c>
      <c r="I172" s="7"/>
      <c r="J172" s="7"/>
      <c r="K172" s="7"/>
      <c r="L172" s="7">
        <v>192.0</v>
      </c>
      <c r="M172" s="7">
        <v>180.0</v>
      </c>
      <c r="N172" s="7">
        <v>240.0</v>
      </c>
      <c r="O172" s="7">
        <v>222.0</v>
      </c>
      <c r="P172" s="7">
        <v>216.0</v>
      </c>
      <c r="Q172" s="7">
        <v>210.0</v>
      </c>
      <c r="R172" s="28"/>
      <c r="S172" s="28"/>
      <c r="T172" s="28">
        <v>180.0</v>
      </c>
      <c r="U172" s="28">
        <v>180.0</v>
      </c>
      <c r="V172" s="28"/>
      <c r="W172" s="28"/>
      <c r="X172" s="28">
        <v>180.0</v>
      </c>
      <c r="Y172" s="28"/>
      <c r="Z172" s="28">
        <v>240.0</v>
      </c>
      <c r="AA172" s="28"/>
      <c r="AB172" s="28">
        <f>168+72</f>
        <v>240</v>
      </c>
      <c r="AC172" s="28">
        <v>240.0</v>
      </c>
      <c r="AD172" s="28">
        <v>240.0</v>
      </c>
      <c r="AE172" s="28">
        <f>240+144</f>
        <v>384</v>
      </c>
      <c r="AF172" s="28"/>
      <c r="AG172" s="28">
        <v>180.0</v>
      </c>
      <c r="AH172" s="28">
        <v>180.0</v>
      </c>
      <c r="AI172" s="28">
        <v>240.0</v>
      </c>
      <c r="AJ172" s="28">
        <v>162.0</v>
      </c>
      <c r="AK172" s="28">
        <v>162.0</v>
      </c>
      <c r="AL172" s="28">
        <v>156.0</v>
      </c>
      <c r="AM172" s="28"/>
      <c r="AN172" s="32"/>
      <c r="AO172" s="32"/>
      <c r="AP172" s="32"/>
    </row>
    <row r="173">
      <c r="A173" s="33"/>
      <c r="B173" s="33"/>
      <c r="C173" s="33"/>
      <c r="D173" s="33"/>
      <c r="E173" s="25"/>
      <c r="F173" s="25"/>
      <c r="G173" s="7"/>
      <c r="H173" s="7"/>
      <c r="I173" s="26"/>
      <c r="J173" s="26"/>
      <c r="K173" s="26"/>
      <c r="L173" s="37"/>
      <c r="M173" s="37"/>
      <c r="N173" s="37"/>
      <c r="O173" s="37"/>
      <c r="P173" s="37"/>
      <c r="Q173" s="37"/>
      <c r="R173" s="27"/>
      <c r="S173" s="10"/>
      <c r="T173" s="6"/>
      <c r="U173" s="6"/>
      <c r="V173" s="10"/>
      <c r="W173" s="10"/>
      <c r="X173" s="6"/>
      <c r="Y173" s="27"/>
      <c r="Z173" s="6"/>
      <c r="AA173" s="10"/>
      <c r="AB173" s="6"/>
      <c r="AC173" s="6"/>
      <c r="AD173" s="6"/>
      <c r="AE173" s="6"/>
      <c r="AF173" s="27"/>
      <c r="AG173" s="6"/>
      <c r="AH173" s="42"/>
      <c r="AI173" s="42"/>
      <c r="AJ173" s="6"/>
      <c r="AK173" s="6"/>
      <c r="AL173" s="6"/>
      <c r="AM173" s="27"/>
      <c r="AN173" s="39"/>
      <c r="AO173" s="237"/>
      <c r="AP173" s="237"/>
    </row>
    <row r="174">
      <c r="A174" s="24" t="s">
        <v>82</v>
      </c>
      <c r="B174" s="17"/>
      <c r="C174" s="17"/>
      <c r="D174" s="18"/>
      <c r="E174" s="25">
        <v>2.0</v>
      </c>
      <c r="F174" s="25" t="s">
        <v>21</v>
      </c>
      <c r="G174" s="7">
        <v>2896.0</v>
      </c>
      <c r="H174" s="7" t="s">
        <v>22</v>
      </c>
      <c r="I174" s="26"/>
      <c r="J174" s="26"/>
      <c r="K174" s="26"/>
      <c r="L174" s="26"/>
      <c r="M174" s="26"/>
      <c r="N174" s="26"/>
      <c r="O174" s="7"/>
      <c r="P174" s="26"/>
      <c r="Q174" s="26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8"/>
      <c r="AC174" s="28"/>
      <c r="AD174" s="27"/>
      <c r="AE174" s="27"/>
      <c r="AF174" s="27"/>
      <c r="AG174" s="27"/>
      <c r="AH174" s="27"/>
      <c r="AI174" s="28"/>
      <c r="AJ174" s="28"/>
      <c r="AK174" s="27"/>
      <c r="AL174" s="27"/>
      <c r="AM174" s="27"/>
      <c r="AN174" s="29">
        <f>G174+SUM(I174:AM174)-SUM(I175:AM175)</f>
        <v>1474</v>
      </c>
      <c r="AO174" s="236">
        <f>ROUNDDOWN((AN174/E174)/$H$4,1)</f>
        <v>24.5</v>
      </c>
      <c r="AP174" s="236">
        <f>$M$3+AO174</f>
        <v>993.5</v>
      </c>
    </row>
    <row r="175">
      <c r="A175" s="31"/>
      <c r="B175" s="17"/>
      <c r="C175" s="17"/>
      <c r="D175" s="17"/>
      <c r="E175" s="17"/>
      <c r="F175" s="18"/>
      <c r="G175" s="26"/>
      <c r="H175" s="7" t="s">
        <v>23</v>
      </c>
      <c r="I175" s="7"/>
      <c r="J175" s="7"/>
      <c r="K175" s="7"/>
      <c r="L175" s="7">
        <v>60.0</v>
      </c>
      <c r="M175" s="7">
        <f>44+30</f>
        <v>74</v>
      </c>
      <c r="N175" s="7">
        <f>60+18</f>
        <v>78</v>
      </c>
      <c r="O175" s="7">
        <f>60+10</f>
        <v>70</v>
      </c>
      <c r="P175" s="7">
        <v>60.0</v>
      </c>
      <c r="Q175" s="7">
        <v>60.0</v>
      </c>
      <c r="R175" s="28"/>
      <c r="S175" s="28">
        <f>60+10</f>
        <v>70</v>
      </c>
      <c r="T175" s="28">
        <v>74.0</v>
      </c>
      <c r="U175" s="28">
        <v>60.0</v>
      </c>
      <c r="V175" s="28">
        <v>62.0</v>
      </c>
      <c r="W175" s="28">
        <v>58.0</v>
      </c>
      <c r="X175" s="28"/>
      <c r="Y175" s="28"/>
      <c r="Z175" s="28">
        <v>60.0</v>
      </c>
      <c r="AA175" s="28">
        <v>24.0</v>
      </c>
      <c r="AB175" s="28">
        <v>60.0</v>
      </c>
      <c r="AC175" s="28">
        <v>60.0</v>
      </c>
      <c r="AD175" s="28">
        <v>60.0</v>
      </c>
      <c r="AE175" s="28">
        <v>60.0</v>
      </c>
      <c r="AF175" s="28"/>
      <c r="AG175" s="28">
        <v>34.0</v>
      </c>
      <c r="AH175" s="28">
        <v>84.0</v>
      </c>
      <c r="AI175" s="28">
        <v>80.0</v>
      </c>
      <c r="AJ175" s="28">
        <v>60.0</v>
      </c>
      <c r="AK175" s="28">
        <v>62.0</v>
      </c>
      <c r="AL175" s="28">
        <v>52.0</v>
      </c>
      <c r="AM175" s="28"/>
      <c r="AN175" s="32"/>
      <c r="AO175" s="32"/>
      <c r="AP175" s="32"/>
    </row>
    <row r="176">
      <c r="A176" s="33"/>
      <c r="B176" s="33"/>
      <c r="C176" s="33"/>
      <c r="D176" s="33"/>
      <c r="E176" s="25"/>
      <c r="F176" s="25"/>
      <c r="G176" s="43"/>
      <c r="H176" s="7"/>
      <c r="I176" s="26"/>
      <c r="J176" s="26"/>
      <c r="K176" s="26"/>
      <c r="L176" s="37"/>
      <c r="M176" s="37"/>
      <c r="N176" s="37"/>
      <c r="O176" s="37"/>
      <c r="P176" s="37"/>
      <c r="Q176" s="37"/>
      <c r="R176" s="27"/>
      <c r="S176" s="6"/>
      <c r="T176" s="6"/>
      <c r="U176" s="6"/>
      <c r="V176" s="6"/>
      <c r="W176" s="6"/>
      <c r="X176" s="10"/>
      <c r="Y176" s="27"/>
      <c r="Z176" s="6"/>
      <c r="AA176" s="6"/>
      <c r="AB176" s="6"/>
      <c r="AC176" s="6"/>
      <c r="AD176" s="6"/>
      <c r="AE176" s="6"/>
      <c r="AF176" s="27"/>
      <c r="AG176" s="6"/>
      <c r="AH176" s="6"/>
      <c r="AI176" s="6"/>
      <c r="AJ176" s="6"/>
      <c r="AK176" s="6"/>
      <c r="AL176" s="6"/>
      <c r="AM176" s="27"/>
      <c r="AN176" s="39"/>
      <c r="AO176" s="237"/>
      <c r="AP176" s="237"/>
    </row>
    <row r="177">
      <c r="A177" s="24" t="s">
        <v>83</v>
      </c>
      <c r="B177" s="17"/>
      <c r="C177" s="17"/>
      <c r="D177" s="18"/>
      <c r="E177" s="25">
        <v>8.0</v>
      </c>
      <c r="F177" s="25" t="s">
        <v>21</v>
      </c>
      <c r="G177" s="43">
        <f>1224+2900</f>
        <v>4124</v>
      </c>
      <c r="H177" s="7" t="s">
        <v>22</v>
      </c>
      <c r="I177" s="26"/>
      <c r="J177" s="26"/>
      <c r="K177" s="7"/>
      <c r="L177" s="26"/>
      <c r="M177" s="7"/>
      <c r="N177" s="26"/>
      <c r="O177" s="7">
        <f>3240+420+360</f>
        <v>4020</v>
      </c>
      <c r="P177" s="26"/>
      <c r="Q177" s="26"/>
      <c r="R177" s="28"/>
      <c r="S177" s="27"/>
      <c r="T177" s="28">
        <v>3600.0</v>
      </c>
      <c r="U177" s="28"/>
      <c r="V177" s="27"/>
      <c r="W177" s="28"/>
      <c r="X177" s="28">
        <v>2520.0</v>
      </c>
      <c r="Y177" s="28"/>
      <c r="Z177" s="27"/>
      <c r="AA177" s="28"/>
      <c r="AB177" s="27"/>
      <c r="AC177" s="28"/>
      <c r="AD177" s="28"/>
      <c r="AE177" s="27"/>
      <c r="AF177" s="27"/>
      <c r="AG177" s="28"/>
      <c r="AH177" s="27"/>
      <c r="AI177" s="28"/>
      <c r="AJ177" s="27"/>
      <c r="AK177" s="28"/>
      <c r="AL177" s="28"/>
      <c r="AM177" s="28"/>
      <c r="AN177" s="29">
        <f>G177+SUM(I177:AM177)-SUM(I178:AM178)</f>
        <v>5816</v>
      </c>
      <c r="AO177" s="236">
        <f>ROUNDDOWN((AN177/E177)/$H$4,1)</f>
        <v>24.2</v>
      </c>
      <c r="AP177" s="236">
        <f>$M$5+AO177</f>
        <v>991.2</v>
      </c>
    </row>
    <row r="178">
      <c r="A178" s="31"/>
      <c r="B178" s="17"/>
      <c r="C178" s="17"/>
      <c r="D178" s="17"/>
      <c r="E178" s="17"/>
      <c r="F178" s="18"/>
      <c r="G178" s="26"/>
      <c r="H178" s="7" t="s">
        <v>23</v>
      </c>
      <c r="I178" s="7"/>
      <c r="J178" s="7"/>
      <c r="K178" s="7"/>
      <c r="L178" s="7">
        <v>384.0</v>
      </c>
      <c r="M178" s="7">
        <v>360.0</v>
      </c>
      <c r="N178" s="7">
        <v>480.0</v>
      </c>
      <c r="O178" s="7">
        <v>444.0</v>
      </c>
      <c r="P178" s="7">
        <v>432.0</v>
      </c>
      <c r="Q178" s="7">
        <v>420.0</v>
      </c>
      <c r="R178" s="28"/>
      <c r="S178" s="28"/>
      <c r="T178" s="28">
        <v>360.0</v>
      </c>
      <c r="U178" s="28">
        <v>360.0</v>
      </c>
      <c r="V178" s="28"/>
      <c r="W178" s="28"/>
      <c r="X178" s="28">
        <v>360.0</v>
      </c>
      <c r="Y178" s="28"/>
      <c r="Z178" s="28">
        <v>480.0</v>
      </c>
      <c r="AA178" s="28"/>
      <c r="AB178" s="28">
        <f>336+144</f>
        <v>480</v>
      </c>
      <c r="AC178" s="28">
        <v>480.0</v>
      </c>
      <c r="AD178" s="28">
        <v>480.0</v>
      </c>
      <c r="AE178" s="28">
        <f>480+288</f>
        <v>768</v>
      </c>
      <c r="AF178" s="28"/>
      <c r="AG178" s="28">
        <v>360.0</v>
      </c>
      <c r="AH178" s="28">
        <v>360.0</v>
      </c>
      <c r="AI178" s="28">
        <v>480.0</v>
      </c>
      <c r="AJ178" s="28">
        <v>324.0</v>
      </c>
      <c r="AK178" s="28">
        <v>324.0</v>
      </c>
      <c r="AL178" s="28">
        <v>312.0</v>
      </c>
      <c r="AM178" s="28"/>
      <c r="AN178" s="32"/>
      <c r="AO178" s="32"/>
      <c r="AP178" s="32"/>
    </row>
    <row r="179">
      <c r="A179" s="33"/>
      <c r="B179" s="33"/>
      <c r="C179" s="33"/>
      <c r="D179" s="33"/>
      <c r="E179" s="25"/>
      <c r="F179" s="25"/>
      <c r="G179" s="7"/>
      <c r="H179" s="7"/>
      <c r="I179" s="26"/>
      <c r="J179" s="26"/>
      <c r="K179" s="26"/>
      <c r="L179" s="37"/>
      <c r="M179" s="37"/>
      <c r="N179" s="37"/>
      <c r="O179" s="37"/>
      <c r="P179" s="37"/>
      <c r="Q179" s="37"/>
      <c r="R179" s="27"/>
      <c r="S179" s="10"/>
      <c r="T179" s="6"/>
      <c r="U179" s="6"/>
      <c r="V179" s="10"/>
      <c r="W179" s="10"/>
      <c r="X179" s="6"/>
      <c r="Y179" s="27"/>
      <c r="Z179" s="6"/>
      <c r="AA179" s="10"/>
      <c r="AB179" s="6"/>
      <c r="AC179" s="6"/>
      <c r="AD179" s="6"/>
      <c r="AE179" s="6"/>
      <c r="AF179" s="27"/>
      <c r="AG179" s="6"/>
      <c r="AH179" s="6"/>
      <c r="AI179" s="42"/>
      <c r="AJ179" s="6"/>
      <c r="AK179" s="6"/>
      <c r="AL179" s="6"/>
      <c r="AM179" s="27"/>
      <c r="AN179" s="39"/>
      <c r="AO179" s="237"/>
      <c r="AP179" s="237"/>
    </row>
    <row r="180">
      <c r="A180" s="24" t="s">
        <v>84</v>
      </c>
      <c r="B180" s="17"/>
      <c r="C180" s="17"/>
      <c r="D180" s="18"/>
      <c r="E180" s="25">
        <v>2.0</v>
      </c>
      <c r="F180" s="25" t="s">
        <v>21</v>
      </c>
      <c r="G180" s="7">
        <v>2460.0</v>
      </c>
      <c r="H180" s="7" t="s">
        <v>22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8"/>
      <c r="AC180" s="28"/>
      <c r="AD180" s="27"/>
      <c r="AE180" s="27"/>
      <c r="AF180" s="27"/>
      <c r="AG180" s="27"/>
      <c r="AH180" s="27"/>
      <c r="AI180" s="28"/>
      <c r="AJ180" s="28"/>
      <c r="AK180" s="28"/>
      <c r="AL180" s="27"/>
      <c r="AM180" s="27"/>
      <c r="AN180" s="29">
        <f>G180+SUM(I180:AM180)-SUM(I181:AM181)</f>
        <v>1052</v>
      </c>
      <c r="AO180" s="236">
        <f>ROUNDDOWN((AN180/E180)/$H$4,1)</f>
        <v>17.5</v>
      </c>
      <c r="AP180" s="236">
        <f>$M$3+AO180</f>
        <v>986.5</v>
      </c>
    </row>
    <row r="181">
      <c r="A181" s="31"/>
      <c r="B181" s="17"/>
      <c r="C181" s="17"/>
      <c r="D181" s="17"/>
      <c r="E181" s="17"/>
      <c r="F181" s="18"/>
      <c r="G181" s="26"/>
      <c r="H181" s="7" t="s">
        <v>23</v>
      </c>
      <c r="I181" s="7"/>
      <c r="J181" s="7"/>
      <c r="K181" s="7"/>
      <c r="L181" s="7">
        <v>64.0</v>
      </c>
      <c r="M181" s="7">
        <v>60.0</v>
      </c>
      <c r="N181" s="7">
        <v>80.0</v>
      </c>
      <c r="O181" s="7">
        <v>74.0</v>
      </c>
      <c r="P181" s="7">
        <v>72.0</v>
      </c>
      <c r="Q181" s="7">
        <v>70.0</v>
      </c>
      <c r="R181" s="28"/>
      <c r="S181" s="28"/>
      <c r="T181" s="28">
        <v>60.0</v>
      </c>
      <c r="U181" s="28">
        <v>60.0</v>
      </c>
      <c r="V181" s="28"/>
      <c r="W181" s="28"/>
      <c r="X181" s="28">
        <v>60.0</v>
      </c>
      <c r="Y181" s="28"/>
      <c r="Z181" s="28">
        <v>80.0</v>
      </c>
      <c r="AA181" s="28"/>
      <c r="AB181" s="28">
        <f>56+24</f>
        <v>80</v>
      </c>
      <c r="AC181" s="28">
        <v>80.0</v>
      </c>
      <c r="AD181" s="28">
        <v>80.0</v>
      </c>
      <c r="AE181" s="28">
        <f>80+48</f>
        <v>128</v>
      </c>
      <c r="AF181" s="28"/>
      <c r="AG181" s="28">
        <v>60.0</v>
      </c>
      <c r="AH181" s="28">
        <v>60.0</v>
      </c>
      <c r="AI181" s="28">
        <v>80.0</v>
      </c>
      <c r="AJ181" s="28">
        <v>54.0</v>
      </c>
      <c r="AK181" s="28">
        <v>54.0</v>
      </c>
      <c r="AL181" s="28">
        <v>52.0</v>
      </c>
      <c r="AM181" s="28"/>
      <c r="AN181" s="32"/>
      <c r="AO181" s="32"/>
      <c r="AP181" s="32"/>
    </row>
    <row r="182">
      <c r="A182" s="33"/>
      <c r="B182" s="33"/>
      <c r="C182" s="33"/>
      <c r="D182" s="33"/>
      <c r="E182" s="25"/>
      <c r="F182" s="25"/>
      <c r="G182" s="7"/>
      <c r="H182" s="7"/>
      <c r="I182" s="26"/>
      <c r="J182" s="26"/>
      <c r="K182" s="26"/>
      <c r="L182" s="37"/>
      <c r="M182" s="37"/>
      <c r="N182" s="37"/>
      <c r="O182" s="37"/>
      <c r="P182" s="37"/>
      <c r="Q182" s="37"/>
      <c r="R182" s="27"/>
      <c r="S182" s="10"/>
      <c r="T182" s="6"/>
      <c r="U182" s="6"/>
      <c r="V182" s="10"/>
      <c r="W182" s="10"/>
      <c r="X182" s="6"/>
      <c r="Y182" s="27"/>
      <c r="Z182" s="6"/>
      <c r="AA182" s="10"/>
      <c r="AB182" s="6"/>
      <c r="AC182" s="6"/>
      <c r="AD182" s="6"/>
      <c r="AE182" s="6"/>
      <c r="AF182" s="27"/>
      <c r="AG182" s="6"/>
      <c r="AH182" s="6"/>
      <c r="AI182" s="42"/>
      <c r="AJ182" s="6"/>
      <c r="AK182" s="6"/>
      <c r="AL182" s="6"/>
      <c r="AM182" s="27"/>
      <c r="AN182" s="39"/>
      <c r="AO182" s="237"/>
      <c r="AP182" s="237"/>
    </row>
    <row r="183">
      <c r="A183" s="24" t="s">
        <v>85</v>
      </c>
      <c r="B183" s="17"/>
      <c r="C183" s="17"/>
      <c r="D183" s="18"/>
      <c r="E183" s="25">
        <v>6.0</v>
      </c>
      <c r="F183" s="25" t="s">
        <v>21</v>
      </c>
      <c r="G183" s="7">
        <v>7610.0</v>
      </c>
      <c r="H183" s="7" t="s">
        <v>22</v>
      </c>
      <c r="I183" s="7"/>
      <c r="J183" s="26"/>
      <c r="K183" s="26"/>
      <c r="L183" s="26"/>
      <c r="M183" s="26"/>
      <c r="N183" s="26"/>
      <c r="O183" s="26"/>
      <c r="P183" s="26"/>
      <c r="Q183" s="26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8"/>
      <c r="AC183" s="28"/>
      <c r="AD183" s="27"/>
      <c r="AE183" s="27"/>
      <c r="AF183" s="27"/>
      <c r="AG183" s="27"/>
      <c r="AH183" s="27"/>
      <c r="AI183" s="28"/>
      <c r="AJ183" s="28"/>
      <c r="AK183" s="28"/>
      <c r="AL183" s="27"/>
      <c r="AM183" s="27"/>
      <c r="AN183" s="29">
        <f>G183+SUM(I183:AM183)-SUM(I184:AM184)</f>
        <v>3350</v>
      </c>
      <c r="AO183" s="236">
        <f>ROUNDDOWN((AN183/E183)/$H$4,1)</f>
        <v>18.6</v>
      </c>
      <c r="AP183" s="236">
        <f>$M$3+AO183</f>
        <v>987.6</v>
      </c>
    </row>
    <row r="184">
      <c r="A184" s="31"/>
      <c r="B184" s="17"/>
      <c r="C184" s="17"/>
      <c r="D184" s="17"/>
      <c r="E184" s="17"/>
      <c r="F184" s="18"/>
      <c r="G184" s="26"/>
      <c r="H184" s="7" t="s">
        <v>23</v>
      </c>
      <c r="I184" s="7"/>
      <c r="J184" s="7"/>
      <c r="K184" s="7"/>
      <c r="L184" s="7">
        <v>162.0</v>
      </c>
      <c r="M184" s="7">
        <v>240.0</v>
      </c>
      <c r="N184" s="7">
        <v>234.0</v>
      </c>
      <c r="O184" s="7">
        <v>210.0</v>
      </c>
      <c r="P184" s="7">
        <v>204.0</v>
      </c>
      <c r="Q184" s="7">
        <v>186.0</v>
      </c>
      <c r="R184" s="28"/>
      <c r="S184" s="28">
        <v>210.0</v>
      </c>
      <c r="T184" s="28">
        <v>222.0</v>
      </c>
      <c r="U184" s="28">
        <v>174.0</v>
      </c>
      <c r="V184" s="28">
        <v>192.0</v>
      </c>
      <c r="W184" s="28">
        <v>174.0</v>
      </c>
      <c r="X184" s="28"/>
      <c r="Y184" s="28"/>
      <c r="Z184" s="28">
        <v>252.0</v>
      </c>
      <c r="AA184" s="28"/>
      <c r="AB184" s="28">
        <v>162.0</v>
      </c>
      <c r="AC184" s="28">
        <v>180.0</v>
      </c>
      <c r="AD184" s="28">
        <v>150.0</v>
      </c>
      <c r="AE184" s="28">
        <v>132.0</v>
      </c>
      <c r="AF184" s="28"/>
      <c r="AG184" s="28">
        <v>180.0</v>
      </c>
      <c r="AH184" s="28">
        <v>234.0</v>
      </c>
      <c r="AI184" s="28">
        <v>240.0</v>
      </c>
      <c r="AJ184" s="28">
        <v>204.0</v>
      </c>
      <c r="AK184" s="28">
        <v>162.0</v>
      </c>
      <c r="AL184" s="28">
        <v>156.0</v>
      </c>
      <c r="AM184" s="28"/>
      <c r="AN184" s="32"/>
      <c r="AO184" s="32"/>
      <c r="AP184" s="32"/>
    </row>
    <row r="185">
      <c r="A185" s="33"/>
      <c r="B185" s="33"/>
      <c r="C185" s="33"/>
      <c r="D185" s="33"/>
      <c r="E185" s="25"/>
      <c r="F185" s="25"/>
      <c r="G185" s="7"/>
      <c r="H185" s="7"/>
      <c r="I185" s="26"/>
      <c r="J185" s="26"/>
      <c r="K185" s="26"/>
      <c r="L185" s="37"/>
      <c r="M185" s="37"/>
      <c r="N185" s="37"/>
      <c r="O185" s="37"/>
      <c r="P185" s="37"/>
      <c r="Q185" s="37"/>
      <c r="R185" s="27"/>
      <c r="S185" s="6"/>
      <c r="T185" s="6"/>
      <c r="U185" s="6"/>
      <c r="V185" s="6"/>
      <c r="W185" s="6"/>
      <c r="X185" s="10"/>
      <c r="Y185" s="27"/>
      <c r="Z185" s="42"/>
      <c r="AA185" s="10"/>
      <c r="AB185" s="6"/>
      <c r="AC185" s="6"/>
      <c r="AD185" s="6"/>
      <c r="AE185" s="6"/>
      <c r="AF185" s="27"/>
      <c r="AG185" s="6"/>
      <c r="AH185" s="6"/>
      <c r="AI185" s="42"/>
      <c r="AJ185" s="6"/>
      <c r="AK185" s="6"/>
      <c r="AL185" s="6"/>
      <c r="AM185" s="27"/>
      <c r="AN185" s="39"/>
      <c r="AO185" s="237"/>
      <c r="AP185" s="237"/>
    </row>
    <row r="186">
      <c r="A186" s="24" t="s">
        <v>86</v>
      </c>
      <c r="B186" s="17"/>
      <c r="C186" s="17"/>
      <c r="D186" s="18"/>
      <c r="E186" s="25">
        <v>4.0</v>
      </c>
      <c r="F186" s="25" t="s">
        <v>21</v>
      </c>
      <c r="G186" s="7">
        <v>4945.0</v>
      </c>
      <c r="H186" s="7" t="s">
        <v>22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8"/>
      <c r="AC186" s="28"/>
      <c r="AD186" s="27"/>
      <c r="AE186" s="27"/>
      <c r="AF186" s="27"/>
      <c r="AG186" s="27"/>
      <c r="AH186" s="27"/>
      <c r="AI186" s="28"/>
      <c r="AJ186" s="28"/>
      <c r="AK186" s="28"/>
      <c r="AL186" s="27"/>
      <c r="AM186" s="27"/>
      <c r="AN186" s="29">
        <f>G186+SUM(I186:AM186)-SUM(I187:AM187)</f>
        <v>2105</v>
      </c>
      <c r="AO186" s="236">
        <f>ROUNDDOWN((AN186/E186)/$H$4,1)</f>
        <v>17.5</v>
      </c>
      <c r="AP186" s="236">
        <f>$M$3+AO186</f>
        <v>986.5</v>
      </c>
    </row>
    <row r="187">
      <c r="A187" s="57"/>
      <c r="B187" s="57"/>
      <c r="C187" s="57"/>
      <c r="D187" s="57"/>
      <c r="E187" s="57"/>
      <c r="F187" s="26"/>
      <c r="G187" s="26"/>
      <c r="H187" s="7" t="s">
        <v>23</v>
      </c>
      <c r="I187" s="7"/>
      <c r="J187" s="7"/>
      <c r="K187" s="7"/>
      <c r="L187" s="7">
        <v>108.0</v>
      </c>
      <c r="M187" s="7">
        <v>160.0</v>
      </c>
      <c r="N187" s="7">
        <v>156.0</v>
      </c>
      <c r="O187" s="7">
        <v>140.0</v>
      </c>
      <c r="P187" s="7">
        <v>136.0</v>
      </c>
      <c r="Q187" s="7">
        <v>124.0</v>
      </c>
      <c r="R187" s="28"/>
      <c r="S187" s="28">
        <v>140.0</v>
      </c>
      <c r="T187" s="28">
        <v>148.0</v>
      </c>
      <c r="U187" s="28">
        <v>116.0</v>
      </c>
      <c r="V187" s="28">
        <v>128.0</v>
      </c>
      <c r="W187" s="28">
        <v>116.0</v>
      </c>
      <c r="X187" s="28"/>
      <c r="Y187" s="28"/>
      <c r="Z187" s="28">
        <v>168.0</v>
      </c>
      <c r="AA187" s="28"/>
      <c r="AB187" s="28">
        <v>108.0</v>
      </c>
      <c r="AC187" s="28">
        <v>120.0</v>
      </c>
      <c r="AD187" s="28">
        <v>100.0</v>
      </c>
      <c r="AE187" s="28">
        <v>88.0</v>
      </c>
      <c r="AF187" s="28"/>
      <c r="AG187" s="28">
        <v>120.0</v>
      </c>
      <c r="AH187" s="28">
        <v>156.0</v>
      </c>
      <c r="AI187" s="28">
        <v>160.0</v>
      </c>
      <c r="AJ187" s="28">
        <v>136.0</v>
      </c>
      <c r="AK187" s="28">
        <v>108.0</v>
      </c>
      <c r="AL187" s="28">
        <v>104.0</v>
      </c>
      <c r="AM187" s="28"/>
      <c r="AN187" s="32"/>
      <c r="AO187" s="32"/>
      <c r="AP187" s="32"/>
    </row>
    <row r="188">
      <c r="A188" s="74"/>
      <c r="B188" s="74"/>
      <c r="C188" s="74"/>
      <c r="D188" s="74"/>
      <c r="E188" s="74"/>
      <c r="F188" s="74"/>
      <c r="G188" s="26"/>
      <c r="H188" s="69"/>
      <c r="I188" s="26"/>
      <c r="J188" s="26"/>
      <c r="K188" s="26"/>
      <c r="L188" s="37"/>
      <c r="M188" s="37"/>
      <c r="N188" s="37"/>
      <c r="O188" s="37"/>
      <c r="P188" s="37"/>
      <c r="Q188" s="37"/>
      <c r="R188" s="27"/>
      <c r="S188" s="6"/>
      <c r="T188" s="6"/>
      <c r="U188" s="6"/>
      <c r="V188" s="6"/>
      <c r="W188" s="6"/>
      <c r="X188" s="10"/>
      <c r="Y188" s="27"/>
      <c r="Z188" s="6"/>
      <c r="AA188" s="10"/>
      <c r="AB188" s="6"/>
      <c r="AC188" s="6"/>
      <c r="AD188" s="6"/>
      <c r="AE188" s="6"/>
      <c r="AF188" s="27"/>
      <c r="AG188" s="6"/>
      <c r="AH188" s="6"/>
      <c r="AI188" s="6"/>
      <c r="AJ188" s="6"/>
      <c r="AK188" s="6"/>
      <c r="AL188" s="6"/>
      <c r="AM188" s="27"/>
      <c r="AN188" s="48"/>
      <c r="AO188" s="48"/>
      <c r="AP188" s="48"/>
    </row>
    <row r="189">
      <c r="A189" s="76" t="s">
        <v>87</v>
      </c>
      <c r="B189" s="17"/>
      <c r="C189" s="17"/>
      <c r="D189" s="17"/>
      <c r="E189" s="17"/>
      <c r="F189" s="18"/>
      <c r="G189" s="77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</row>
    <row r="190">
      <c r="A190" s="24" t="s">
        <v>88</v>
      </c>
      <c r="B190" s="17"/>
      <c r="C190" s="17"/>
      <c r="D190" s="18"/>
      <c r="E190" s="25">
        <v>1.39</v>
      </c>
      <c r="F190" s="25" t="s">
        <v>89</v>
      </c>
      <c r="G190" s="78">
        <v>662.0</v>
      </c>
      <c r="H190" s="7" t="s">
        <v>22</v>
      </c>
      <c r="I190" s="26"/>
      <c r="J190" s="7"/>
      <c r="K190" s="26"/>
      <c r="L190" s="26"/>
      <c r="M190" s="7"/>
      <c r="N190" s="26"/>
      <c r="O190" s="7">
        <v>1340.0</v>
      </c>
      <c r="P190" s="26"/>
      <c r="Q190" s="26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8"/>
      <c r="AF190" s="27"/>
      <c r="AG190" s="28"/>
      <c r="AH190" s="28"/>
      <c r="AI190" s="28"/>
      <c r="AJ190" s="27"/>
      <c r="AK190" s="27"/>
      <c r="AL190" s="27"/>
      <c r="AM190" s="27"/>
      <c r="AN190" s="29">
        <f>G190+SUM(I190:AM190)-SUM(I191:AM191)</f>
        <v>1261</v>
      </c>
      <c r="AO190" s="236">
        <f>ROUNDDOWN((AN190/E190)/$H$4,1)</f>
        <v>30.2</v>
      </c>
      <c r="AP190" s="236">
        <f>$M$3+AO190</f>
        <v>999.2</v>
      </c>
    </row>
    <row r="191">
      <c r="A191" s="31"/>
      <c r="B191" s="17"/>
      <c r="C191" s="17"/>
      <c r="D191" s="17"/>
      <c r="E191" s="17"/>
      <c r="F191" s="18"/>
      <c r="G191" s="27"/>
      <c r="H191" s="7" t="s">
        <v>23</v>
      </c>
      <c r="I191" s="7"/>
      <c r="J191" s="7"/>
      <c r="K191" s="7"/>
      <c r="L191" s="7">
        <f>9+1+40</f>
        <v>50</v>
      </c>
      <c r="M191" s="7">
        <f>11+1</f>
        <v>12</v>
      </c>
      <c r="N191" s="7">
        <f>12+2+38</f>
        <v>52</v>
      </c>
      <c r="O191" s="7">
        <f>11+2+40</f>
        <v>53</v>
      </c>
      <c r="P191" s="7">
        <f>11+2</f>
        <v>13</v>
      </c>
      <c r="Q191" s="7">
        <f>9+2+40</f>
        <v>51</v>
      </c>
      <c r="R191" s="28"/>
      <c r="S191" s="28">
        <f>9</f>
        <v>9</v>
      </c>
      <c r="T191" s="28">
        <f>1+40</f>
        <v>41</v>
      </c>
      <c r="U191" s="28">
        <f>9+1</f>
        <v>10</v>
      </c>
      <c r="V191" s="28">
        <v>9.0</v>
      </c>
      <c r="W191" s="28">
        <v>40.0</v>
      </c>
      <c r="X191" s="28">
        <v>2.0</v>
      </c>
      <c r="Y191" s="28"/>
      <c r="Z191" s="28">
        <f>9+1+40</f>
        <v>50</v>
      </c>
      <c r="AA191" s="28"/>
      <c r="AB191" s="28">
        <f>9+1+40</f>
        <v>50</v>
      </c>
      <c r="AC191" s="28">
        <f>9+1</f>
        <v>10</v>
      </c>
      <c r="AD191" s="28">
        <f>9+1+40</f>
        <v>50</v>
      </c>
      <c r="AE191" s="28">
        <f>7+1+40+1</f>
        <v>49</v>
      </c>
      <c r="AF191" s="28"/>
      <c r="AG191" s="28">
        <f>9+1</f>
        <v>10</v>
      </c>
      <c r="AH191" s="28">
        <f>12+1+40</f>
        <v>53</v>
      </c>
      <c r="AI191" s="28">
        <f>13+1</f>
        <v>14</v>
      </c>
      <c r="AJ191" s="28">
        <f>11+1+40</f>
        <v>52</v>
      </c>
      <c r="AK191" s="28">
        <f>9+1+40</f>
        <v>50</v>
      </c>
      <c r="AL191" s="28">
        <f>9+2</f>
        <v>11</v>
      </c>
      <c r="AM191" s="28"/>
      <c r="AN191" s="32"/>
      <c r="AO191" s="32"/>
      <c r="AP191" s="32"/>
    </row>
    <row r="192">
      <c r="A192" s="33"/>
      <c r="B192" s="33"/>
      <c r="C192" s="33"/>
      <c r="D192" s="33"/>
      <c r="E192" s="25"/>
      <c r="F192" s="25"/>
      <c r="G192" s="78"/>
      <c r="H192" s="7"/>
      <c r="I192" s="7"/>
      <c r="J192" s="26"/>
      <c r="K192" s="26"/>
      <c r="L192" s="41"/>
      <c r="M192" s="37"/>
      <c r="N192" s="37"/>
      <c r="O192" s="37"/>
      <c r="P192" s="37"/>
      <c r="Q192" s="37"/>
      <c r="R192" s="27"/>
      <c r="S192" s="6"/>
      <c r="T192" s="6"/>
      <c r="U192" s="6"/>
      <c r="V192" s="6"/>
      <c r="W192" s="6"/>
      <c r="X192" s="6"/>
      <c r="Y192" s="27"/>
      <c r="Z192" s="6"/>
      <c r="AA192" s="10"/>
      <c r="AB192" s="6"/>
      <c r="AC192" s="6"/>
      <c r="AD192" s="6"/>
      <c r="AE192" s="6"/>
      <c r="AF192" s="27"/>
      <c r="AG192" s="6"/>
      <c r="AH192" s="6"/>
      <c r="AI192" s="6"/>
      <c r="AJ192" s="6"/>
      <c r="AK192" s="6"/>
      <c r="AL192" s="6"/>
      <c r="AM192" s="27"/>
      <c r="AN192" s="39"/>
      <c r="AO192" s="237"/>
      <c r="AP192" s="237"/>
    </row>
    <row r="193">
      <c r="A193" s="24" t="s">
        <v>90</v>
      </c>
      <c r="B193" s="17"/>
      <c r="C193" s="17"/>
      <c r="D193" s="18"/>
      <c r="E193" s="25">
        <v>0.4</v>
      </c>
      <c r="F193" s="25" t="s">
        <v>21</v>
      </c>
      <c r="G193" s="78">
        <v>387.0</v>
      </c>
      <c r="H193" s="7" t="s">
        <v>22</v>
      </c>
      <c r="I193" s="26"/>
      <c r="J193" s="26"/>
      <c r="K193" s="26"/>
      <c r="L193" s="7"/>
      <c r="M193" s="7"/>
      <c r="N193" s="26"/>
      <c r="O193" s="26"/>
      <c r="P193" s="7"/>
      <c r="Q193" s="26"/>
      <c r="R193" s="27"/>
      <c r="S193" s="27"/>
      <c r="T193" s="27"/>
      <c r="U193" s="27"/>
      <c r="V193" s="27"/>
      <c r="W193" s="27"/>
      <c r="X193" s="27"/>
      <c r="Y193" s="28"/>
      <c r="Z193" s="27"/>
      <c r="AA193" s="27"/>
      <c r="AB193" s="28"/>
      <c r="AC193" s="28"/>
      <c r="AD193" s="27"/>
      <c r="AE193" s="27"/>
      <c r="AF193" s="27"/>
      <c r="AG193" s="27"/>
      <c r="AH193" s="27"/>
      <c r="AI193" s="27"/>
      <c r="AJ193" s="28"/>
      <c r="AK193" s="27"/>
      <c r="AL193" s="27"/>
      <c r="AM193" s="28"/>
      <c r="AN193" s="29">
        <f>G193+SUM(I193:AM193)-SUM(I194:AM194)</f>
        <v>181</v>
      </c>
      <c r="AO193" s="236">
        <f>ROUNDDOWN((AN193/E193)/$H$4,1)</f>
        <v>15</v>
      </c>
      <c r="AP193" s="236">
        <f>M5+AO193</f>
        <v>982</v>
      </c>
    </row>
    <row r="194">
      <c r="A194" s="31"/>
      <c r="B194" s="17"/>
      <c r="C194" s="17"/>
      <c r="D194" s="17"/>
      <c r="E194" s="17"/>
      <c r="F194" s="18"/>
      <c r="G194" s="27"/>
      <c r="H194" s="7" t="s">
        <v>23</v>
      </c>
      <c r="I194" s="7"/>
      <c r="J194" s="7"/>
      <c r="K194" s="7"/>
      <c r="L194" s="7">
        <v>9.0</v>
      </c>
      <c r="M194" s="7">
        <v>9.0</v>
      </c>
      <c r="N194" s="7">
        <v>9.0</v>
      </c>
      <c r="O194" s="7">
        <v>11.0</v>
      </c>
      <c r="P194" s="7">
        <v>11.0</v>
      </c>
      <c r="Q194" s="7">
        <v>11.0</v>
      </c>
      <c r="R194" s="28"/>
      <c r="S194" s="28"/>
      <c r="T194" s="28">
        <v>9.0</v>
      </c>
      <c r="U194" s="28">
        <v>9.0</v>
      </c>
      <c r="V194" s="28"/>
      <c r="W194" s="28"/>
      <c r="X194" s="28">
        <v>9.0</v>
      </c>
      <c r="Y194" s="28"/>
      <c r="Z194" s="28">
        <v>12.0</v>
      </c>
      <c r="AA194" s="28"/>
      <c r="AB194" s="28">
        <f>8+3</f>
        <v>11</v>
      </c>
      <c r="AC194" s="28">
        <v>12.0</v>
      </c>
      <c r="AD194" s="28">
        <v>12.0</v>
      </c>
      <c r="AE194" s="28">
        <f>12+7</f>
        <v>19</v>
      </c>
      <c r="AF194" s="28"/>
      <c r="AG194" s="28">
        <v>9.0</v>
      </c>
      <c r="AH194" s="28">
        <v>9.0</v>
      </c>
      <c r="AI194" s="28">
        <v>9.0</v>
      </c>
      <c r="AJ194" s="28">
        <v>9.0</v>
      </c>
      <c r="AK194" s="28">
        <v>9.0</v>
      </c>
      <c r="AL194" s="28">
        <v>8.0</v>
      </c>
      <c r="AM194" s="28"/>
      <c r="AN194" s="32"/>
      <c r="AO194" s="32"/>
      <c r="AP194" s="32"/>
    </row>
    <row r="195">
      <c r="A195" s="33"/>
      <c r="B195" s="33"/>
      <c r="C195" s="33"/>
      <c r="D195" s="33"/>
      <c r="E195" s="25"/>
      <c r="F195" s="25"/>
      <c r="G195" s="78"/>
      <c r="H195" s="7"/>
      <c r="I195" s="26"/>
      <c r="J195" s="26"/>
      <c r="K195" s="26"/>
      <c r="L195" s="37"/>
      <c r="M195" s="37"/>
      <c r="N195" s="37"/>
      <c r="O195" s="41"/>
      <c r="P195" s="37"/>
      <c r="Q195" s="37"/>
      <c r="R195" s="27"/>
      <c r="S195" s="10"/>
      <c r="T195" s="6"/>
      <c r="U195" s="6"/>
      <c r="V195" s="10"/>
      <c r="W195" s="10"/>
      <c r="X195" s="6"/>
      <c r="Y195" s="28"/>
      <c r="Z195" s="6"/>
      <c r="AA195" s="10"/>
      <c r="AB195" s="6"/>
      <c r="AC195" s="6"/>
      <c r="AD195" s="6"/>
      <c r="AE195" s="6"/>
      <c r="AF195" s="27"/>
      <c r="AG195" s="6"/>
      <c r="AH195" s="6"/>
      <c r="AI195" s="6"/>
      <c r="AJ195" s="6"/>
      <c r="AK195" s="6"/>
      <c r="AL195" s="6"/>
      <c r="AM195" s="27"/>
      <c r="AN195" s="39"/>
      <c r="AO195" s="237"/>
      <c r="AP195" s="237"/>
    </row>
    <row r="196">
      <c r="A196" s="24" t="s">
        <v>91</v>
      </c>
      <c r="B196" s="17"/>
      <c r="C196" s="17"/>
      <c r="D196" s="18"/>
      <c r="E196" s="25">
        <v>0.24</v>
      </c>
      <c r="F196" s="25" t="s">
        <v>92</v>
      </c>
      <c r="G196" s="78">
        <v>26.0</v>
      </c>
      <c r="H196" s="7" t="s">
        <v>22</v>
      </c>
      <c r="I196" s="26"/>
      <c r="J196" s="26"/>
      <c r="K196" s="26"/>
      <c r="L196" s="26"/>
      <c r="M196" s="26"/>
      <c r="N196" s="26"/>
      <c r="O196" s="7"/>
      <c r="P196" s="26"/>
      <c r="Q196" s="26">
        <f>30+172</f>
        <v>202</v>
      </c>
      <c r="R196" s="28"/>
      <c r="S196" s="27"/>
      <c r="T196" s="27"/>
      <c r="U196" s="27"/>
      <c r="V196" s="27"/>
      <c r="W196" s="28"/>
      <c r="X196" s="27"/>
      <c r="Y196" s="28"/>
      <c r="Z196" s="27"/>
      <c r="AA196" s="28"/>
      <c r="AB196" s="27"/>
      <c r="AC196" s="27"/>
      <c r="AD196" s="28"/>
      <c r="AE196" s="27"/>
      <c r="AF196" s="27"/>
      <c r="AG196" s="27"/>
      <c r="AH196" s="28">
        <v>2.0</v>
      </c>
      <c r="AI196" s="27"/>
      <c r="AJ196" s="28"/>
      <c r="AK196" s="27"/>
      <c r="AL196" s="27"/>
      <c r="AM196" s="27"/>
      <c r="AN196" s="29">
        <f>G196+SUM(I196:AM196)-SUM(I197:AM197)</f>
        <v>129</v>
      </c>
      <c r="AO196" s="236">
        <f>ROUNDDOWN((AN196/E196)/$H$4,1)</f>
        <v>17.9</v>
      </c>
      <c r="AP196" s="236">
        <f>M3+AO196</f>
        <v>986.9</v>
      </c>
    </row>
    <row r="197">
      <c r="A197" s="31"/>
      <c r="B197" s="17"/>
      <c r="C197" s="17"/>
      <c r="D197" s="17"/>
      <c r="E197" s="17"/>
      <c r="F197" s="18"/>
      <c r="G197" s="27"/>
      <c r="H197" s="7" t="s">
        <v>23</v>
      </c>
      <c r="I197" s="7"/>
      <c r="J197" s="7"/>
      <c r="K197" s="7"/>
      <c r="L197" s="7">
        <v>5.0</v>
      </c>
      <c r="M197" s="7">
        <f>4+2</f>
        <v>6</v>
      </c>
      <c r="N197" s="7">
        <v>5.0</v>
      </c>
      <c r="O197" s="7">
        <f>3+1</f>
        <v>4</v>
      </c>
      <c r="P197" s="7">
        <v>5.0</v>
      </c>
      <c r="Q197" s="7">
        <v>5.0</v>
      </c>
      <c r="R197" s="28"/>
      <c r="S197" s="28">
        <f>4+1</f>
        <v>5</v>
      </c>
      <c r="T197" s="28">
        <v>6.0</v>
      </c>
      <c r="U197" s="28">
        <v>5.0</v>
      </c>
      <c r="V197" s="28">
        <v>5.0</v>
      </c>
      <c r="W197" s="28"/>
      <c r="X197" s="28">
        <v>5.0</v>
      </c>
      <c r="Y197" s="28"/>
      <c r="Z197" s="28">
        <v>3.0</v>
      </c>
      <c r="AA197" s="28">
        <v>1.0</v>
      </c>
      <c r="AB197" s="28">
        <v>5.0</v>
      </c>
      <c r="AC197" s="28">
        <v>4.0</v>
      </c>
      <c r="AD197" s="28">
        <v>4.0</v>
      </c>
      <c r="AE197" s="28">
        <v>4.0</v>
      </c>
      <c r="AF197" s="28"/>
      <c r="AG197" s="28">
        <v>4.0</v>
      </c>
      <c r="AH197" s="28">
        <v>4.0</v>
      </c>
      <c r="AI197" s="28">
        <v>4.0</v>
      </c>
      <c r="AJ197" s="28">
        <v>4.0</v>
      </c>
      <c r="AK197" s="28">
        <v>4.0</v>
      </c>
      <c r="AL197" s="28">
        <v>4.0</v>
      </c>
      <c r="AM197" s="28"/>
      <c r="AN197" s="32"/>
      <c r="AO197" s="32"/>
      <c r="AP197" s="32"/>
    </row>
    <row r="198">
      <c r="A198" s="33"/>
      <c r="B198" s="33"/>
      <c r="C198" s="33"/>
      <c r="D198" s="33"/>
      <c r="E198" s="57"/>
      <c r="F198" s="57"/>
      <c r="G198" s="78"/>
      <c r="H198" s="7"/>
      <c r="I198" s="26"/>
      <c r="J198" s="26"/>
      <c r="K198" s="26"/>
      <c r="L198" s="37"/>
      <c r="M198" s="37"/>
      <c r="N198" s="37"/>
      <c r="O198" s="37"/>
      <c r="P198" s="37"/>
      <c r="Q198" s="37"/>
      <c r="R198" s="27"/>
      <c r="S198" s="6"/>
      <c r="T198" s="6"/>
      <c r="U198" s="6"/>
      <c r="V198" s="6"/>
      <c r="W198" s="10"/>
      <c r="X198" s="6"/>
      <c r="Y198" s="27"/>
      <c r="Z198" s="6"/>
      <c r="AA198" s="42"/>
      <c r="AB198" s="42"/>
      <c r="AC198" s="42"/>
      <c r="AD198" s="6"/>
      <c r="AE198" s="6"/>
      <c r="AF198" s="27"/>
      <c r="AG198" s="6"/>
      <c r="AH198" s="6"/>
      <c r="AI198" s="6"/>
      <c r="AJ198" s="6"/>
      <c r="AK198" s="6"/>
      <c r="AL198" s="6"/>
      <c r="AM198" s="27"/>
      <c r="AN198" s="39"/>
      <c r="AO198" s="237"/>
      <c r="AP198" s="237"/>
    </row>
    <row r="199">
      <c r="A199" s="24" t="s">
        <v>93</v>
      </c>
      <c r="B199" s="17"/>
      <c r="C199" s="17"/>
      <c r="D199" s="18"/>
      <c r="E199" s="25">
        <v>1.0</v>
      </c>
      <c r="F199" s="25" t="s">
        <v>177</v>
      </c>
      <c r="G199" s="78">
        <v>50.0</v>
      </c>
      <c r="H199" s="7" t="s">
        <v>22</v>
      </c>
      <c r="I199" s="26"/>
      <c r="J199" s="26"/>
      <c r="K199" s="26"/>
      <c r="L199" s="26"/>
      <c r="M199" s="7"/>
      <c r="N199" s="26"/>
      <c r="O199" s="26"/>
      <c r="P199" s="26"/>
      <c r="Q199" s="26"/>
      <c r="R199" s="27"/>
      <c r="S199" s="27"/>
      <c r="T199" s="28">
        <v>425.0</v>
      </c>
      <c r="U199" s="28"/>
      <c r="V199" s="27"/>
      <c r="W199" s="27"/>
      <c r="X199" s="27"/>
      <c r="Y199" s="27"/>
      <c r="Z199" s="27"/>
      <c r="AA199" s="28"/>
      <c r="AB199" s="28"/>
      <c r="AC199" s="28"/>
      <c r="AD199" s="28">
        <v>375.0</v>
      </c>
      <c r="AE199" s="27"/>
      <c r="AF199" s="27"/>
      <c r="AG199" s="28"/>
      <c r="AH199" s="27"/>
      <c r="AI199" s="27"/>
      <c r="AJ199" s="27"/>
      <c r="AK199" s="27"/>
      <c r="AL199" s="27"/>
      <c r="AM199" s="27"/>
      <c r="AN199" s="29">
        <f>G199+SUM(I199:AM199)-SUM(I200:AM200)</f>
        <v>400</v>
      </c>
      <c r="AO199" s="236"/>
      <c r="AP199" s="236"/>
    </row>
    <row r="200">
      <c r="A200" s="31"/>
      <c r="B200" s="17"/>
      <c r="C200" s="17"/>
      <c r="D200" s="17"/>
      <c r="E200" s="17"/>
      <c r="F200" s="18"/>
      <c r="G200" s="27"/>
      <c r="H200" s="7" t="s">
        <v>23</v>
      </c>
      <c r="I200" s="7"/>
      <c r="J200" s="7"/>
      <c r="K200" s="7"/>
      <c r="L200" s="7"/>
      <c r="M200" s="7"/>
      <c r="N200" s="7">
        <v>50.0</v>
      </c>
      <c r="O200" s="7"/>
      <c r="P200" s="7"/>
      <c r="Q200" s="7"/>
      <c r="R200" s="28"/>
      <c r="S200" s="28"/>
      <c r="T200" s="28">
        <v>50.0</v>
      </c>
      <c r="U200" s="28">
        <v>50.0</v>
      </c>
      <c r="V200" s="28"/>
      <c r="W200" s="28"/>
      <c r="X200" s="28">
        <v>50.0</v>
      </c>
      <c r="Y200" s="28"/>
      <c r="Z200" s="28"/>
      <c r="AA200" s="28"/>
      <c r="AB200" s="28">
        <v>25.0</v>
      </c>
      <c r="AC200" s="28">
        <v>25.0</v>
      </c>
      <c r="AD200" s="28"/>
      <c r="AE200" s="28">
        <v>25.0</v>
      </c>
      <c r="AF200" s="28"/>
      <c r="AG200" s="28">
        <v>25.0</v>
      </c>
      <c r="AH200" s="28">
        <v>25.0</v>
      </c>
      <c r="AI200" s="28"/>
      <c r="AJ200" s="28">
        <f>75+25</f>
        <v>100</v>
      </c>
      <c r="AK200" s="28"/>
      <c r="AL200" s="28">
        <v>25.0</v>
      </c>
      <c r="AM200" s="28"/>
      <c r="AN200" s="32"/>
      <c r="AO200" s="32"/>
      <c r="AP200" s="32"/>
    </row>
    <row r="201">
      <c r="A201" s="33"/>
      <c r="B201" s="33"/>
      <c r="C201" s="33"/>
      <c r="D201" s="33"/>
      <c r="E201" s="57"/>
      <c r="F201" s="57"/>
      <c r="G201" s="78"/>
      <c r="H201" s="7"/>
      <c r="I201" s="26"/>
      <c r="J201" s="26"/>
      <c r="K201" s="26"/>
      <c r="L201" s="36"/>
      <c r="M201" s="36"/>
      <c r="N201" s="37"/>
      <c r="O201" s="36"/>
      <c r="P201" s="36"/>
      <c r="Q201" s="36"/>
      <c r="R201" s="27"/>
      <c r="S201" s="10"/>
      <c r="T201" s="6"/>
      <c r="U201" s="6"/>
      <c r="V201" s="10"/>
      <c r="W201" s="10"/>
      <c r="X201" s="6"/>
      <c r="Y201" s="27"/>
      <c r="Z201" s="10"/>
      <c r="AA201" s="10"/>
      <c r="AB201" s="42"/>
      <c r="AC201" s="42"/>
      <c r="AD201" s="10"/>
      <c r="AE201" s="6"/>
      <c r="AF201" s="27"/>
      <c r="AG201" s="6"/>
      <c r="AH201" s="6"/>
      <c r="AI201" s="10"/>
      <c r="AJ201" s="6"/>
      <c r="AK201" s="10"/>
      <c r="AL201" s="6"/>
      <c r="AM201" s="27"/>
      <c r="AN201" s="39"/>
      <c r="AO201" s="237"/>
      <c r="AP201" s="237"/>
    </row>
    <row r="202">
      <c r="A202" s="24" t="s">
        <v>94</v>
      </c>
      <c r="B202" s="17"/>
      <c r="C202" s="17"/>
      <c r="D202" s="18"/>
      <c r="E202" s="25">
        <v>2.1</v>
      </c>
      <c r="F202" s="25" t="s">
        <v>177</v>
      </c>
      <c r="G202" s="78">
        <v>50.0</v>
      </c>
      <c r="H202" s="7" t="s">
        <v>22</v>
      </c>
      <c r="I202" s="26"/>
      <c r="J202" s="26"/>
      <c r="K202" s="26"/>
      <c r="L202" s="26"/>
      <c r="M202" s="7"/>
      <c r="N202" s="26"/>
      <c r="O202" s="26"/>
      <c r="P202" s="26"/>
      <c r="Q202" s="26"/>
      <c r="R202" s="27"/>
      <c r="S202" s="27"/>
      <c r="T202" s="28">
        <v>225.0</v>
      </c>
      <c r="U202" s="28"/>
      <c r="V202" s="27"/>
      <c r="W202" s="27"/>
      <c r="X202" s="27"/>
      <c r="Y202" s="27"/>
      <c r="Z202" s="27"/>
      <c r="AA202" s="27"/>
      <c r="AB202" s="28"/>
      <c r="AC202" s="28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9">
        <f>G202+SUM(I202:AM202)-SUM(I203:AM203)</f>
        <v>50</v>
      </c>
      <c r="AO202" s="236"/>
      <c r="AP202" s="236"/>
    </row>
    <row r="203">
      <c r="A203" s="31"/>
      <c r="B203" s="17"/>
      <c r="C203" s="17"/>
      <c r="D203" s="17"/>
      <c r="E203" s="17"/>
      <c r="F203" s="18"/>
      <c r="G203" s="27"/>
      <c r="H203" s="7" t="s">
        <v>23</v>
      </c>
      <c r="I203" s="7"/>
      <c r="J203" s="7"/>
      <c r="K203" s="7"/>
      <c r="L203" s="7">
        <v>25.0</v>
      </c>
      <c r="M203" s="7"/>
      <c r="N203" s="7">
        <v>25.0</v>
      </c>
      <c r="O203" s="26"/>
      <c r="P203" s="7"/>
      <c r="Q203" s="7"/>
      <c r="R203" s="27"/>
      <c r="S203" s="28"/>
      <c r="T203" s="28">
        <v>50.0</v>
      </c>
      <c r="U203" s="27"/>
      <c r="V203" s="28"/>
      <c r="W203" s="28"/>
      <c r="X203" s="28">
        <v>25.0</v>
      </c>
      <c r="Y203" s="28"/>
      <c r="Z203" s="28"/>
      <c r="AA203" s="28"/>
      <c r="AB203" s="27"/>
      <c r="AC203" s="28">
        <v>25.0</v>
      </c>
      <c r="AD203" s="28"/>
      <c r="AE203" s="28">
        <v>25.0</v>
      </c>
      <c r="AF203" s="28"/>
      <c r="AG203" s="28"/>
      <c r="AH203" s="28">
        <v>25.0</v>
      </c>
      <c r="AI203" s="27"/>
      <c r="AJ203" s="28">
        <v>25.0</v>
      </c>
      <c r="AK203" s="27"/>
      <c r="AL203" s="27"/>
      <c r="AM203" s="27"/>
      <c r="AN203" s="32"/>
      <c r="AO203" s="32"/>
      <c r="AP203" s="32"/>
    </row>
    <row r="204">
      <c r="A204" s="33"/>
      <c r="B204" s="33"/>
      <c r="C204" s="33"/>
      <c r="D204" s="33"/>
      <c r="E204" s="57"/>
      <c r="F204" s="57"/>
      <c r="G204" s="78"/>
      <c r="H204" s="7"/>
      <c r="I204" s="26"/>
      <c r="J204" s="26"/>
      <c r="K204" s="26"/>
      <c r="L204" s="37"/>
      <c r="M204" s="36"/>
      <c r="N204" s="37"/>
      <c r="O204" s="36"/>
      <c r="P204" s="36"/>
      <c r="Q204" s="36"/>
      <c r="R204" s="27"/>
      <c r="S204" s="10"/>
      <c r="T204" s="6"/>
      <c r="U204" s="10"/>
      <c r="V204" s="10"/>
      <c r="W204" s="10"/>
      <c r="X204" s="6"/>
      <c r="Y204" s="27"/>
      <c r="Z204" s="10"/>
      <c r="AA204" s="10"/>
      <c r="AB204" s="38"/>
      <c r="AC204" s="42"/>
      <c r="AD204" s="10"/>
      <c r="AE204" s="6"/>
      <c r="AF204" s="27"/>
      <c r="AG204" s="10"/>
      <c r="AH204" s="6"/>
      <c r="AI204" s="10"/>
      <c r="AJ204" s="6"/>
      <c r="AK204" s="10"/>
      <c r="AL204" s="10"/>
      <c r="AM204" s="27"/>
      <c r="AN204" s="39"/>
      <c r="AO204" s="237"/>
      <c r="AP204" s="237"/>
    </row>
    <row r="205">
      <c r="A205" s="24" t="s">
        <v>95</v>
      </c>
      <c r="B205" s="17"/>
      <c r="C205" s="17"/>
      <c r="D205" s="18"/>
      <c r="E205" s="25">
        <v>1.3</v>
      </c>
      <c r="F205" s="25" t="s">
        <v>177</v>
      </c>
      <c r="G205" s="78">
        <v>140.0</v>
      </c>
      <c r="H205" s="7" t="s">
        <v>22</v>
      </c>
      <c r="I205" s="26"/>
      <c r="J205" s="26"/>
      <c r="K205" s="26"/>
      <c r="L205" s="26"/>
      <c r="M205" s="7"/>
      <c r="N205" s="26"/>
      <c r="O205" s="26"/>
      <c r="P205" s="26"/>
      <c r="Q205" s="26"/>
      <c r="R205" s="27"/>
      <c r="S205" s="27"/>
      <c r="T205" s="28">
        <v>240.0</v>
      </c>
      <c r="U205" s="28"/>
      <c r="V205" s="27"/>
      <c r="W205" s="27"/>
      <c r="X205" s="27"/>
      <c r="Y205" s="27"/>
      <c r="Z205" s="27"/>
      <c r="AA205" s="27"/>
      <c r="AB205" s="28"/>
      <c r="AC205" s="28"/>
      <c r="AD205" s="28">
        <v>360.0</v>
      </c>
      <c r="AE205" s="27"/>
      <c r="AF205" s="27"/>
      <c r="AG205" s="28"/>
      <c r="AH205" s="27"/>
      <c r="AI205" s="27"/>
      <c r="AJ205" s="27"/>
      <c r="AK205" s="27"/>
      <c r="AL205" s="27"/>
      <c r="AM205" s="27"/>
      <c r="AN205" s="29">
        <f>G205+SUM(I205:AM205)-SUM(I206:AM206)</f>
        <v>460</v>
      </c>
      <c r="AO205" s="236"/>
      <c r="AP205" s="236"/>
    </row>
    <row r="206">
      <c r="A206" s="31"/>
      <c r="B206" s="17"/>
      <c r="C206" s="17"/>
      <c r="D206" s="17"/>
      <c r="E206" s="17"/>
      <c r="F206" s="18"/>
      <c r="G206" s="27"/>
      <c r="H206" s="7" t="s">
        <v>23</v>
      </c>
      <c r="I206" s="7"/>
      <c r="J206" s="26"/>
      <c r="K206" s="7"/>
      <c r="L206" s="7"/>
      <c r="M206" s="7"/>
      <c r="N206" s="7">
        <v>40.0</v>
      </c>
      <c r="O206" s="26"/>
      <c r="P206" s="7"/>
      <c r="Q206" s="7"/>
      <c r="R206" s="27"/>
      <c r="S206" s="28"/>
      <c r="T206" s="28">
        <v>40.0</v>
      </c>
      <c r="U206" s="27"/>
      <c r="V206" s="28"/>
      <c r="W206" s="27"/>
      <c r="X206" s="28">
        <v>40.0</v>
      </c>
      <c r="Y206" s="28"/>
      <c r="Z206" s="28"/>
      <c r="AA206" s="27"/>
      <c r="AB206" s="28">
        <v>20.0</v>
      </c>
      <c r="AC206" s="28"/>
      <c r="AD206" s="28"/>
      <c r="AE206" s="28">
        <v>20.0</v>
      </c>
      <c r="AF206" s="27"/>
      <c r="AG206" s="28">
        <v>20.0</v>
      </c>
      <c r="AH206" s="28">
        <v>20.0</v>
      </c>
      <c r="AI206" s="27"/>
      <c r="AJ206" s="28">
        <f>60+20</f>
        <v>80</v>
      </c>
      <c r="AK206" s="27"/>
      <c r="AL206" s="27"/>
      <c r="AM206" s="27"/>
      <c r="AN206" s="32"/>
      <c r="AO206" s="32"/>
      <c r="AP206" s="32"/>
    </row>
    <row r="207">
      <c r="A207" s="33"/>
      <c r="B207" s="33"/>
      <c r="C207" s="33"/>
      <c r="D207" s="33"/>
      <c r="E207" s="25"/>
      <c r="F207" s="25"/>
      <c r="G207" s="27"/>
      <c r="H207" s="7"/>
      <c r="I207" s="26"/>
      <c r="J207" s="26"/>
      <c r="K207" s="26"/>
      <c r="L207" s="36"/>
      <c r="M207" s="36"/>
      <c r="N207" s="37"/>
      <c r="O207" s="36"/>
      <c r="P207" s="36"/>
      <c r="Q207" s="36"/>
      <c r="R207" s="27"/>
      <c r="S207" s="10"/>
      <c r="T207" s="6"/>
      <c r="U207" s="10"/>
      <c r="V207" s="10"/>
      <c r="W207" s="10"/>
      <c r="X207" s="6"/>
      <c r="Y207" s="27"/>
      <c r="Z207" s="10"/>
      <c r="AA207" s="10"/>
      <c r="AB207" s="6"/>
      <c r="AC207" s="10"/>
      <c r="AD207" s="10"/>
      <c r="AE207" s="6"/>
      <c r="AF207" s="27"/>
      <c r="AG207" s="6"/>
      <c r="AH207" s="6"/>
      <c r="AI207" s="10"/>
      <c r="AJ207" s="6"/>
      <c r="AK207" s="10"/>
      <c r="AL207" s="10"/>
      <c r="AM207" s="27"/>
      <c r="AN207" s="39"/>
      <c r="AO207" s="237"/>
      <c r="AP207" s="237"/>
    </row>
    <row r="208">
      <c r="A208" s="24" t="s">
        <v>98</v>
      </c>
      <c r="B208" s="17"/>
      <c r="C208" s="17"/>
      <c r="D208" s="18"/>
      <c r="E208" s="25">
        <v>0.03</v>
      </c>
      <c r="F208" s="25" t="s">
        <v>92</v>
      </c>
      <c r="G208" s="78">
        <v>25.0</v>
      </c>
      <c r="H208" s="7" t="s">
        <v>22</v>
      </c>
      <c r="I208" s="26"/>
      <c r="J208" s="26"/>
      <c r="K208" s="26"/>
      <c r="L208" s="7"/>
      <c r="M208" s="26"/>
      <c r="N208" s="26"/>
      <c r="O208" s="26"/>
      <c r="P208" s="7"/>
      <c r="Q208" s="26"/>
      <c r="R208" s="27"/>
      <c r="S208" s="27"/>
      <c r="T208" s="27"/>
      <c r="U208" s="27"/>
      <c r="V208" s="27"/>
      <c r="W208" s="27"/>
      <c r="X208" s="27"/>
      <c r="Y208" s="28"/>
      <c r="Z208" s="28"/>
      <c r="AA208" s="27"/>
      <c r="AB208" s="28"/>
      <c r="AC208" s="28"/>
      <c r="AD208" s="27"/>
      <c r="AE208" s="27"/>
      <c r="AF208" s="27"/>
      <c r="AG208" s="27"/>
      <c r="AH208" s="27"/>
      <c r="AI208" s="27"/>
      <c r="AJ208" s="28"/>
      <c r="AK208" s="28">
        <v>1.0</v>
      </c>
      <c r="AL208" s="27"/>
      <c r="AM208" s="28"/>
      <c r="AN208" s="29">
        <f>G208+SUM(I208:AM208)-SUM(I209:AM209)</f>
        <v>8</v>
      </c>
      <c r="AO208" s="236">
        <f>ROUNDDOWN((AN208/E208)/$H$4,1)</f>
        <v>8.8</v>
      </c>
      <c r="AP208" s="236">
        <f>$M$4+AO208</f>
        <v>980.8</v>
      </c>
    </row>
    <row r="209">
      <c r="A209" s="31"/>
      <c r="B209" s="17"/>
      <c r="C209" s="17"/>
      <c r="D209" s="17"/>
      <c r="E209" s="17"/>
      <c r="F209" s="18"/>
      <c r="G209" s="27"/>
      <c r="H209" s="7" t="s">
        <v>23</v>
      </c>
      <c r="I209" s="7"/>
      <c r="J209" s="26"/>
      <c r="K209" s="7"/>
      <c r="L209" s="7"/>
      <c r="M209" s="26"/>
      <c r="N209" s="7">
        <v>6.0</v>
      </c>
      <c r="O209" s="26"/>
      <c r="P209" s="7"/>
      <c r="Q209" s="7"/>
      <c r="R209" s="28"/>
      <c r="S209" s="27"/>
      <c r="T209" s="28">
        <v>6.0</v>
      </c>
      <c r="U209" s="27"/>
      <c r="V209" s="27"/>
      <c r="W209" s="27"/>
      <c r="X209" s="27"/>
      <c r="Y209" s="27"/>
      <c r="Z209" s="28">
        <v>6.0</v>
      </c>
      <c r="AA209" s="28"/>
      <c r="AB209" s="28"/>
      <c r="AC209" s="28"/>
      <c r="AD209" s="28"/>
      <c r="AE209" s="27"/>
      <c r="AF209" s="27"/>
      <c r="AG209" s="27"/>
      <c r="AH209" s="28"/>
      <c r="AI209" s="27"/>
      <c r="AJ209" s="27"/>
      <c r="AK209" s="27"/>
      <c r="AL209" s="27"/>
      <c r="AM209" s="28"/>
      <c r="AN209" s="32"/>
      <c r="AO209" s="32"/>
      <c r="AP209" s="32"/>
    </row>
    <row r="210">
      <c r="A210" s="33"/>
      <c r="B210" s="33"/>
      <c r="C210" s="33"/>
      <c r="D210" s="33"/>
      <c r="E210" s="25"/>
      <c r="F210" s="25"/>
      <c r="G210" s="78"/>
      <c r="H210" s="7"/>
      <c r="I210" s="26"/>
      <c r="J210" s="26"/>
      <c r="K210" s="26"/>
      <c r="L210" s="36"/>
      <c r="M210" s="36"/>
      <c r="N210" s="37"/>
      <c r="O210" s="36"/>
      <c r="P210" s="36"/>
      <c r="Q210" s="36"/>
      <c r="R210" s="27"/>
      <c r="S210" s="10"/>
      <c r="T210" s="6"/>
      <c r="U210" s="10"/>
      <c r="V210" s="38"/>
      <c r="W210" s="10"/>
      <c r="X210" s="10"/>
      <c r="Y210" s="27"/>
      <c r="Z210" s="6"/>
      <c r="AA210" s="10"/>
      <c r="AB210" s="10"/>
      <c r="AC210" s="10"/>
      <c r="AD210" s="10"/>
      <c r="AE210" s="10"/>
      <c r="AF210" s="27"/>
      <c r="AG210" s="10"/>
      <c r="AH210" s="10"/>
      <c r="AI210" s="10"/>
      <c r="AJ210" s="10"/>
      <c r="AK210" s="10"/>
      <c r="AL210" s="10"/>
      <c r="AM210" s="27"/>
      <c r="AN210" s="39"/>
      <c r="AO210" s="237"/>
      <c r="AP210" s="237"/>
    </row>
    <row r="211">
      <c r="A211" s="24" t="s">
        <v>99</v>
      </c>
      <c r="B211" s="17"/>
      <c r="C211" s="17"/>
      <c r="D211" s="18"/>
      <c r="E211" s="25">
        <v>0.03</v>
      </c>
      <c r="F211" s="25" t="s">
        <v>92</v>
      </c>
      <c r="G211" s="78">
        <v>20.0</v>
      </c>
      <c r="H211" s="7" t="s">
        <v>22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7"/>
      <c r="S211" s="27"/>
      <c r="T211" s="27"/>
      <c r="U211" s="27"/>
      <c r="V211" s="28"/>
      <c r="W211" s="27"/>
      <c r="X211" s="27"/>
      <c r="Y211" s="28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8"/>
      <c r="AK211" s="27"/>
      <c r="AL211" s="27"/>
      <c r="AM211" s="27"/>
      <c r="AN211" s="29">
        <f>G211+SUM(I211:AM211)-SUM(I212:AM212)</f>
        <v>1</v>
      </c>
      <c r="AO211" s="236">
        <f>ROUNDDOWN((AN211/E211)/$H$4,1)</f>
        <v>1.1</v>
      </c>
      <c r="AP211" s="236">
        <f>$M$4+AO211</f>
        <v>973.1</v>
      </c>
    </row>
    <row r="212">
      <c r="A212" s="31"/>
      <c r="B212" s="17"/>
      <c r="C212" s="17"/>
      <c r="D212" s="17"/>
      <c r="E212" s="17"/>
      <c r="F212" s="18"/>
      <c r="G212" s="27"/>
      <c r="H212" s="7" t="s">
        <v>23</v>
      </c>
      <c r="I212" s="26"/>
      <c r="J212" s="26"/>
      <c r="K212" s="7"/>
      <c r="L212" s="26"/>
      <c r="M212" s="7"/>
      <c r="N212" s="7">
        <v>6.0</v>
      </c>
      <c r="O212" s="26"/>
      <c r="P212" s="7"/>
      <c r="Q212" s="7">
        <v>5.0</v>
      </c>
      <c r="R212" s="28"/>
      <c r="S212" s="27"/>
      <c r="T212" s="27"/>
      <c r="U212" s="28"/>
      <c r="V212" s="27"/>
      <c r="W212" s="27"/>
      <c r="X212" s="27"/>
      <c r="Y212" s="27"/>
      <c r="Z212" s="28">
        <v>6.0</v>
      </c>
      <c r="AA212" s="27"/>
      <c r="AB212" s="27"/>
      <c r="AC212" s="27"/>
      <c r="AD212" s="28">
        <v>2.0</v>
      </c>
      <c r="AE212" s="27"/>
      <c r="AF212" s="27"/>
      <c r="AG212" s="27"/>
      <c r="AH212" s="28"/>
      <c r="AI212" s="27"/>
      <c r="AJ212" s="27"/>
      <c r="AK212" s="27"/>
      <c r="AL212" s="27"/>
      <c r="AM212" s="27"/>
      <c r="AN212" s="32"/>
      <c r="AO212" s="32"/>
      <c r="AP212" s="32"/>
    </row>
    <row r="213">
      <c r="A213" s="33"/>
      <c r="B213" s="33"/>
      <c r="C213" s="33"/>
      <c r="D213" s="33"/>
      <c r="E213" s="25"/>
      <c r="F213" s="25"/>
      <c r="G213" s="78"/>
      <c r="H213" s="7"/>
      <c r="I213" s="26"/>
      <c r="J213" s="26"/>
      <c r="K213" s="26"/>
      <c r="L213" s="36"/>
      <c r="M213" s="36"/>
      <c r="N213" s="37"/>
      <c r="O213" s="36"/>
      <c r="P213" s="36"/>
      <c r="Q213" s="37"/>
      <c r="R213" s="27"/>
      <c r="S213" s="10"/>
      <c r="T213" s="10"/>
      <c r="U213" s="10"/>
      <c r="V213" s="10"/>
      <c r="W213" s="10"/>
      <c r="X213" s="10"/>
      <c r="Y213" s="27"/>
      <c r="Z213" s="6"/>
      <c r="AA213" s="38"/>
      <c r="AB213" s="10"/>
      <c r="AC213" s="10"/>
      <c r="AD213" s="6"/>
      <c r="AE213" s="10"/>
      <c r="AF213" s="27"/>
      <c r="AG213" s="10"/>
      <c r="AH213" s="10"/>
      <c r="AI213" s="10"/>
      <c r="AJ213" s="10"/>
      <c r="AK213" s="10"/>
      <c r="AL213" s="10"/>
      <c r="AM213" s="27"/>
      <c r="AN213" s="39"/>
      <c r="AO213" s="237"/>
      <c r="AP213" s="237"/>
    </row>
    <row r="214">
      <c r="A214" s="24" t="s">
        <v>100</v>
      </c>
      <c r="B214" s="17"/>
      <c r="C214" s="17"/>
      <c r="D214" s="18"/>
      <c r="E214" s="25">
        <v>0.014</v>
      </c>
      <c r="F214" s="25" t="s">
        <v>101</v>
      </c>
      <c r="G214" s="78">
        <v>12.0</v>
      </c>
      <c r="H214" s="7" t="s">
        <v>22</v>
      </c>
      <c r="I214" s="26"/>
      <c r="J214" s="26"/>
      <c r="K214" s="26"/>
      <c r="L214" s="7"/>
      <c r="M214" s="26"/>
      <c r="N214" s="26"/>
      <c r="O214" s="26"/>
      <c r="P214" s="7">
        <v>8.0</v>
      </c>
      <c r="Q214" s="26"/>
      <c r="R214" s="27"/>
      <c r="S214" s="27"/>
      <c r="T214" s="27"/>
      <c r="U214" s="27"/>
      <c r="V214" s="27"/>
      <c r="W214" s="27"/>
      <c r="X214" s="27"/>
      <c r="Y214" s="27"/>
      <c r="Z214" s="27"/>
      <c r="AA214" s="28"/>
      <c r="AB214" s="27"/>
      <c r="AC214" s="27"/>
      <c r="AD214" s="27"/>
      <c r="AE214" s="27"/>
      <c r="AG214" s="27">
        <f>1+11</f>
        <v>12</v>
      </c>
      <c r="AH214" s="27"/>
      <c r="AI214" s="27"/>
      <c r="AJ214" s="27"/>
      <c r="AK214" s="27"/>
      <c r="AL214" s="27"/>
      <c r="AM214" s="27"/>
      <c r="AN214" s="29">
        <f>G214+SUM(I214:AM214)-SUM(I215:AM215)</f>
        <v>20</v>
      </c>
      <c r="AO214" s="236">
        <f>ROUNDDOWN((AN214/E214)/$H$4,1)</f>
        <v>47.6</v>
      </c>
      <c r="AP214" s="236">
        <f>$M$4+AO214</f>
        <v>1019.6</v>
      </c>
    </row>
    <row r="215">
      <c r="A215" s="57"/>
      <c r="B215" s="57"/>
      <c r="C215" s="57"/>
      <c r="D215" s="57"/>
      <c r="E215" s="57"/>
      <c r="F215" s="27"/>
      <c r="G215" s="27"/>
      <c r="H215" s="7" t="s">
        <v>23</v>
      </c>
      <c r="I215" s="7"/>
      <c r="J215" s="7"/>
      <c r="K215" s="7"/>
      <c r="L215" s="7">
        <v>1.0</v>
      </c>
      <c r="M215" s="7"/>
      <c r="N215" s="7">
        <v>1.0</v>
      </c>
      <c r="O215" s="7">
        <v>1.0</v>
      </c>
      <c r="P215" s="7"/>
      <c r="Q215" s="7">
        <v>1.0</v>
      </c>
      <c r="R215" s="28"/>
      <c r="S215" s="28"/>
      <c r="T215" s="27"/>
      <c r="U215" s="28"/>
      <c r="V215" s="28"/>
      <c r="W215" s="28">
        <v>1.0</v>
      </c>
      <c r="X215" s="28"/>
      <c r="Y215" s="28"/>
      <c r="Z215" s="28">
        <v>1.0</v>
      </c>
      <c r="AA215" s="28"/>
      <c r="AB215" s="28">
        <v>1.0</v>
      </c>
      <c r="AC215" s="28"/>
      <c r="AD215" s="28">
        <v>1.0</v>
      </c>
      <c r="AE215" s="28">
        <v>1.0</v>
      </c>
      <c r="AF215" s="28"/>
      <c r="AG215" s="28"/>
      <c r="AH215" s="28">
        <v>1.0</v>
      </c>
      <c r="AI215" s="28"/>
      <c r="AJ215" s="28">
        <v>1.0</v>
      </c>
      <c r="AK215" s="28">
        <v>1.0</v>
      </c>
      <c r="AL215" s="28"/>
      <c r="AM215" s="27"/>
      <c r="AN215" s="32"/>
      <c r="AO215" s="32"/>
      <c r="AP215" s="32"/>
    </row>
    <row r="216">
      <c r="A216" s="33"/>
      <c r="B216" s="33"/>
      <c r="C216" s="33"/>
      <c r="D216" s="33"/>
      <c r="E216" s="25"/>
      <c r="F216" s="25"/>
      <c r="G216" s="78"/>
      <c r="H216" s="7"/>
      <c r="I216" s="26"/>
      <c r="J216" s="26"/>
      <c r="K216" s="26"/>
      <c r="L216" s="37"/>
      <c r="M216" s="36"/>
      <c r="N216" s="37"/>
      <c r="O216" s="37"/>
      <c r="P216" s="36"/>
      <c r="Q216" s="37"/>
      <c r="R216" s="27"/>
      <c r="S216" s="10"/>
      <c r="T216" s="10"/>
      <c r="U216" s="10"/>
      <c r="V216" s="10"/>
      <c r="W216" s="6"/>
      <c r="X216" s="10"/>
      <c r="Y216" s="27"/>
      <c r="Z216" s="6"/>
      <c r="AA216" s="38"/>
      <c r="AB216" s="6"/>
      <c r="AC216" s="10"/>
      <c r="AD216" s="6"/>
      <c r="AE216" s="6"/>
      <c r="AF216" s="27"/>
      <c r="AG216" s="10"/>
      <c r="AH216" s="6"/>
      <c r="AI216" s="10"/>
      <c r="AJ216" s="6"/>
      <c r="AK216" s="6"/>
      <c r="AL216" s="10"/>
      <c r="AM216" s="27"/>
      <c r="AN216" s="39"/>
      <c r="AO216" s="237"/>
      <c r="AP216" s="237"/>
    </row>
    <row r="217">
      <c r="A217" s="16" t="s">
        <v>102</v>
      </c>
      <c r="B217" s="17"/>
      <c r="C217" s="17"/>
      <c r="D217" s="17"/>
      <c r="E217" s="17"/>
      <c r="F217" s="17"/>
      <c r="G217" s="18"/>
      <c r="H217" s="21"/>
      <c r="I217" s="21"/>
      <c r="J217" s="21"/>
      <c r="K217" s="21"/>
      <c r="L217" s="20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</row>
    <row r="218">
      <c r="A218" s="24" t="s">
        <v>103</v>
      </c>
      <c r="B218" s="17"/>
      <c r="C218" s="17"/>
      <c r="D218" s="18"/>
      <c r="E218" s="25">
        <v>0.2</v>
      </c>
      <c r="F218" s="25" t="s">
        <v>104</v>
      </c>
      <c r="G218" s="78">
        <v>194.0</v>
      </c>
      <c r="H218" s="7" t="s">
        <v>22</v>
      </c>
      <c r="I218" s="26"/>
      <c r="J218" s="26"/>
      <c r="K218" s="7"/>
      <c r="L218" s="26"/>
      <c r="M218" s="7"/>
      <c r="N218" s="26"/>
      <c r="O218" s="26"/>
      <c r="P218" s="26"/>
      <c r="Q218" s="26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8"/>
      <c r="AE218" s="27"/>
      <c r="AF218" s="27"/>
      <c r="AG218" s="27"/>
      <c r="AH218" s="27"/>
      <c r="AI218" s="27"/>
      <c r="AJ218" s="28"/>
      <c r="AK218" s="27"/>
      <c r="AL218" s="27"/>
      <c r="AM218" s="27"/>
      <c r="AN218" s="29">
        <f>G218+SUM(I218:AM218)-SUM(I219:AM219)</f>
        <v>101</v>
      </c>
      <c r="AO218" s="236">
        <f>ROUNDDOWN((AN218/E218)/$H$4,1)</f>
        <v>16.8</v>
      </c>
      <c r="AP218" s="236">
        <f>$M$4+AO218</f>
        <v>988.8</v>
      </c>
    </row>
    <row r="219">
      <c r="A219" s="31"/>
      <c r="B219" s="17"/>
      <c r="C219" s="17"/>
      <c r="D219" s="17"/>
      <c r="E219" s="17"/>
      <c r="F219" s="18"/>
      <c r="G219" s="27"/>
      <c r="H219" s="7" t="s">
        <v>23</v>
      </c>
      <c r="I219" s="7"/>
      <c r="J219" s="7"/>
      <c r="K219" s="26"/>
      <c r="L219" s="7">
        <f>1+1</f>
        <v>2</v>
      </c>
      <c r="M219" s="7">
        <f>1+2+3</f>
        <v>6</v>
      </c>
      <c r="N219" s="7">
        <f>2+3+1+2+5</f>
        <v>13</v>
      </c>
      <c r="O219" s="7">
        <f>2+1+1</f>
        <v>4</v>
      </c>
      <c r="P219" s="7">
        <f>1+3+1</f>
        <v>5</v>
      </c>
      <c r="Q219" s="7"/>
      <c r="R219" s="28"/>
      <c r="S219" s="28">
        <f>1</f>
        <v>1</v>
      </c>
      <c r="T219" s="28"/>
      <c r="U219" s="28">
        <f>2</f>
        <v>2</v>
      </c>
      <c r="V219" s="28">
        <f>3</f>
        <v>3</v>
      </c>
      <c r="W219" s="28">
        <v>3.0</v>
      </c>
      <c r="X219" s="28"/>
      <c r="Y219" s="28"/>
      <c r="Z219" s="28">
        <f>1+2</f>
        <v>3</v>
      </c>
      <c r="AA219" s="28">
        <f>2+1+2</f>
        <v>5</v>
      </c>
      <c r="AB219" s="28">
        <f>2+1+3</f>
        <v>6</v>
      </c>
      <c r="AC219" s="28">
        <v>1.0</v>
      </c>
      <c r="AD219" s="28">
        <f>1+1+1+3+1</f>
        <v>7</v>
      </c>
      <c r="AE219" s="28">
        <f>2+3+1</f>
        <v>6</v>
      </c>
      <c r="AF219" s="28"/>
      <c r="AG219" s="28">
        <f>1+1+3+1</f>
        <v>6</v>
      </c>
      <c r="AH219" s="28">
        <f>3</f>
        <v>3</v>
      </c>
      <c r="AI219" s="28">
        <f>2+1+1+1</f>
        <v>5</v>
      </c>
      <c r="AJ219" s="28"/>
      <c r="AK219" s="28">
        <f>2+3+2+1+2</f>
        <v>10</v>
      </c>
      <c r="AL219" s="28">
        <v>2.0</v>
      </c>
      <c r="AM219" s="28"/>
      <c r="AN219" s="32"/>
      <c r="AO219" s="32"/>
      <c r="AP219" s="32"/>
    </row>
    <row r="220">
      <c r="A220" s="33"/>
      <c r="B220" s="33"/>
      <c r="C220" s="33"/>
      <c r="D220" s="33"/>
      <c r="E220" s="25"/>
      <c r="F220" s="25"/>
      <c r="G220" s="27"/>
      <c r="H220" s="7"/>
      <c r="I220" s="26"/>
      <c r="J220" s="26"/>
      <c r="K220" s="26"/>
      <c r="L220" s="37"/>
      <c r="M220" s="37"/>
      <c r="N220" s="37"/>
      <c r="O220" s="41"/>
      <c r="P220" s="41"/>
      <c r="Q220" s="36"/>
      <c r="R220" s="28"/>
      <c r="S220" s="42"/>
      <c r="T220" s="10"/>
      <c r="U220" s="42"/>
      <c r="V220" s="6"/>
      <c r="W220" s="6"/>
      <c r="X220" s="10"/>
      <c r="Y220" s="27"/>
      <c r="Z220" s="6"/>
      <c r="AA220" s="6"/>
      <c r="AB220" s="42"/>
      <c r="AC220" s="42"/>
      <c r="AD220" s="6"/>
      <c r="AE220" s="6"/>
      <c r="AF220" s="27"/>
      <c r="AG220" s="42"/>
      <c r="AH220" s="6"/>
      <c r="AI220" s="6"/>
      <c r="AJ220" s="10"/>
      <c r="AK220" s="42"/>
      <c r="AL220" s="6"/>
      <c r="AM220" s="27"/>
      <c r="AN220" s="39"/>
      <c r="AO220" s="237"/>
      <c r="AP220" s="237"/>
    </row>
    <row r="221">
      <c r="A221" s="24" t="s">
        <v>105</v>
      </c>
      <c r="B221" s="17"/>
      <c r="C221" s="17"/>
      <c r="D221" s="18"/>
      <c r="E221" s="25">
        <v>1.1</v>
      </c>
      <c r="F221" s="25" t="s">
        <v>106</v>
      </c>
      <c r="G221" s="28">
        <v>65.0</v>
      </c>
      <c r="H221" s="7" t="s">
        <v>22</v>
      </c>
      <c r="I221" s="7"/>
      <c r="J221" s="7"/>
      <c r="K221" s="7"/>
      <c r="L221" s="26"/>
      <c r="M221" s="7">
        <v>30.0</v>
      </c>
      <c r="N221" s="7"/>
      <c r="O221" s="7"/>
      <c r="P221" s="7"/>
      <c r="Q221" s="7"/>
      <c r="R221" s="28"/>
      <c r="S221" s="28"/>
      <c r="T221" s="28">
        <v>30.0</v>
      </c>
      <c r="U221" s="28">
        <v>20.0</v>
      </c>
      <c r="V221" s="28"/>
      <c r="W221" s="28">
        <v>40.0</v>
      </c>
      <c r="X221" s="28"/>
      <c r="Y221" s="27"/>
      <c r="Z221" s="27"/>
      <c r="AA221" s="28">
        <v>30.0</v>
      </c>
      <c r="AB221" s="28"/>
      <c r="AC221" s="28"/>
      <c r="AD221" s="28"/>
      <c r="AE221" s="28"/>
      <c r="AF221" s="27"/>
      <c r="AG221" s="28"/>
      <c r="AH221" s="28">
        <v>30.0</v>
      </c>
      <c r="AI221" s="28"/>
      <c r="AJ221" s="28"/>
      <c r="AK221" s="28">
        <v>40.0</v>
      </c>
      <c r="AL221" s="27"/>
      <c r="AM221" s="28"/>
      <c r="AN221" s="29">
        <f>G221+SUM(I221:AM221)-SUM(I222:AM222)</f>
        <v>131</v>
      </c>
      <c r="AO221" s="236">
        <f>ROUNDDOWN((AN221/E221)/$H$4,1)</f>
        <v>3.9</v>
      </c>
      <c r="AP221" s="236">
        <f>$M$4+AO221</f>
        <v>975.9</v>
      </c>
    </row>
    <row r="222">
      <c r="A222" s="31"/>
      <c r="B222" s="17"/>
      <c r="C222" s="17"/>
      <c r="D222" s="17"/>
      <c r="E222" s="17"/>
      <c r="F222" s="18"/>
      <c r="G222" s="27"/>
      <c r="H222" s="7" t="s">
        <v>23</v>
      </c>
      <c r="I222" s="7"/>
      <c r="J222" s="26"/>
      <c r="K222" s="7"/>
      <c r="L222" s="7"/>
      <c r="M222" s="7">
        <v>10.0</v>
      </c>
      <c r="N222" s="7">
        <v>15.0</v>
      </c>
      <c r="O222" s="7">
        <v>9.0</v>
      </c>
      <c r="P222" s="26"/>
      <c r="Q222" s="7">
        <v>15.0</v>
      </c>
      <c r="R222" s="28"/>
      <c r="S222" s="28">
        <f>11+1</f>
        <v>12</v>
      </c>
      <c r="T222" s="28">
        <f>12+1+1</f>
        <v>14</v>
      </c>
      <c r="U222" s="28">
        <v>5.0</v>
      </c>
      <c r="V222" s="27"/>
      <c r="W222" s="28"/>
      <c r="X222" s="28"/>
      <c r="Y222" s="28"/>
      <c r="Z222" s="28"/>
      <c r="AA222" s="28">
        <v>11.0</v>
      </c>
      <c r="AB222" s="28"/>
      <c r="AC222" s="28">
        <v>5.0</v>
      </c>
      <c r="AD222" s="28">
        <v>5.0</v>
      </c>
      <c r="AE222" s="28">
        <v>6.0</v>
      </c>
      <c r="AF222" s="28"/>
      <c r="AG222" s="28"/>
      <c r="AH222" s="28">
        <v>9.0</v>
      </c>
      <c r="AI222" s="28"/>
      <c r="AJ222" s="28">
        <v>8.0</v>
      </c>
      <c r="AK222" s="28">
        <v>11.0</v>
      </c>
      <c r="AL222" s="28">
        <v>19.0</v>
      </c>
      <c r="AM222" s="28"/>
      <c r="AN222" s="32"/>
      <c r="AO222" s="32"/>
      <c r="AP222" s="32"/>
    </row>
    <row r="223">
      <c r="A223" s="58"/>
      <c r="B223" s="58"/>
      <c r="C223" s="58"/>
      <c r="D223" s="58"/>
      <c r="E223" s="58"/>
      <c r="F223" s="58"/>
      <c r="G223" s="58"/>
      <c r="H223" s="68"/>
      <c r="I223" s="274"/>
      <c r="J223" s="274"/>
      <c r="K223" s="274"/>
      <c r="L223" s="79"/>
      <c r="M223" s="80"/>
      <c r="N223" s="80"/>
      <c r="O223" s="80"/>
      <c r="P223" s="79"/>
      <c r="Q223" s="80"/>
      <c r="R223" s="27"/>
      <c r="S223" s="6"/>
      <c r="T223" s="6"/>
      <c r="U223" s="6"/>
      <c r="V223" s="10"/>
      <c r="W223" s="10"/>
      <c r="X223" s="10"/>
      <c r="Y223" s="27"/>
      <c r="Z223" s="10"/>
      <c r="AA223" s="6"/>
      <c r="AB223" s="10"/>
      <c r="AC223" s="6"/>
      <c r="AD223" s="6"/>
      <c r="AE223" s="6"/>
      <c r="AF223" s="275"/>
      <c r="AG223" s="10"/>
      <c r="AH223" s="6"/>
      <c r="AI223" s="10"/>
      <c r="AJ223" s="6"/>
      <c r="AK223" s="6"/>
      <c r="AL223" s="6"/>
      <c r="AM223" s="27"/>
      <c r="AN223" s="48"/>
      <c r="AO223" s="48"/>
      <c r="AP223" s="48"/>
    </row>
    <row r="224">
      <c r="A224" s="16" t="s">
        <v>109</v>
      </c>
      <c r="B224" s="17"/>
      <c r="C224" s="17"/>
      <c r="D224" s="17"/>
      <c r="E224" s="17"/>
      <c r="F224" s="17"/>
      <c r="G224" s="18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</row>
    <row r="225">
      <c r="A225" s="24" t="s">
        <v>110</v>
      </c>
      <c r="B225" s="17"/>
      <c r="C225" s="17"/>
      <c r="D225" s="18"/>
      <c r="E225" s="25">
        <v>0.3</v>
      </c>
      <c r="F225" s="25" t="s">
        <v>21</v>
      </c>
      <c r="G225" s="78">
        <v>96.0</v>
      </c>
      <c r="H225" s="7" t="s">
        <v>22</v>
      </c>
      <c r="I225" s="26"/>
      <c r="J225" s="26"/>
      <c r="K225" s="26"/>
      <c r="L225" s="7"/>
      <c r="M225" s="26"/>
      <c r="N225" s="26"/>
      <c r="O225" s="7"/>
      <c r="P225" s="26"/>
      <c r="Q225" s="26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9">
        <f>G225+SUM(I225:AM225)-SUM(I226:AM226)</f>
        <v>46</v>
      </c>
      <c r="AO225" s="236">
        <f>ROUNDDOWN((AN225/E225)/$H$4,1)</f>
        <v>5.1</v>
      </c>
      <c r="AP225" s="236">
        <f>$M$4+AO225</f>
        <v>977.1</v>
      </c>
    </row>
    <row r="226">
      <c r="A226" s="31"/>
      <c r="B226" s="17"/>
      <c r="C226" s="17"/>
      <c r="D226" s="17"/>
      <c r="E226" s="17"/>
      <c r="F226" s="18"/>
      <c r="G226" s="27"/>
      <c r="H226" s="7" t="s">
        <v>23</v>
      </c>
      <c r="I226" s="7"/>
      <c r="J226" s="26"/>
      <c r="K226" s="7"/>
      <c r="L226" s="26"/>
      <c r="M226" s="26"/>
      <c r="N226" s="26"/>
      <c r="O226" s="26"/>
      <c r="P226" s="26"/>
      <c r="Q226" s="7">
        <v>25.0</v>
      </c>
      <c r="R226" s="28"/>
      <c r="S226" s="27"/>
      <c r="T226" s="27"/>
      <c r="U226" s="27"/>
      <c r="V226" s="28"/>
      <c r="W226" s="27"/>
      <c r="X226" s="27"/>
      <c r="Y226" s="27"/>
      <c r="Z226" s="28"/>
      <c r="AA226" s="28"/>
      <c r="AB226" s="28"/>
      <c r="AC226" s="28"/>
      <c r="AD226" s="28">
        <v>25.0</v>
      </c>
      <c r="AE226" s="27"/>
      <c r="AF226" s="28"/>
      <c r="AG226" s="28"/>
      <c r="AH226" s="27"/>
      <c r="AI226" s="27"/>
      <c r="AJ226" s="27"/>
      <c r="AK226" s="27"/>
      <c r="AL226" s="27"/>
      <c r="AM226" s="27"/>
      <c r="AN226" s="32"/>
      <c r="AO226" s="32"/>
      <c r="AP226" s="32"/>
    </row>
    <row r="227">
      <c r="A227" s="33"/>
      <c r="B227" s="33"/>
      <c r="C227" s="33"/>
      <c r="D227" s="33"/>
      <c r="E227" s="25"/>
      <c r="F227" s="25"/>
      <c r="G227" s="78"/>
      <c r="H227" s="7"/>
      <c r="I227" s="26"/>
      <c r="J227" s="26"/>
      <c r="K227" s="26"/>
      <c r="L227" s="36"/>
      <c r="M227" s="36"/>
      <c r="N227" s="36"/>
      <c r="O227" s="36"/>
      <c r="P227" s="36"/>
      <c r="Q227" s="37"/>
      <c r="R227" s="27"/>
      <c r="S227" s="10"/>
      <c r="T227" s="10"/>
      <c r="U227" s="10"/>
      <c r="V227" s="10"/>
      <c r="W227" s="10"/>
      <c r="X227" s="10"/>
      <c r="Y227" s="27"/>
      <c r="Z227" s="10"/>
      <c r="AA227" s="10"/>
      <c r="AB227" s="10"/>
      <c r="AC227" s="10"/>
      <c r="AD227" s="6"/>
      <c r="AE227" s="10"/>
      <c r="AF227" s="27"/>
      <c r="AG227" s="10"/>
      <c r="AH227" s="10"/>
      <c r="AI227" s="10"/>
      <c r="AJ227" s="10"/>
      <c r="AK227" s="10"/>
      <c r="AL227" s="10"/>
      <c r="AM227" s="27"/>
      <c r="AN227" s="39"/>
      <c r="AO227" s="237"/>
      <c r="AP227" s="237"/>
    </row>
    <row r="228">
      <c r="A228" s="24" t="s">
        <v>111</v>
      </c>
      <c r="B228" s="17"/>
      <c r="C228" s="17"/>
      <c r="D228" s="18"/>
      <c r="E228" s="25">
        <v>3.0</v>
      </c>
      <c r="F228" s="25" t="s">
        <v>21</v>
      </c>
      <c r="G228" s="78">
        <v>3845.0</v>
      </c>
      <c r="H228" s="7" t="s">
        <v>22</v>
      </c>
      <c r="I228" s="26"/>
      <c r="J228" s="26"/>
      <c r="K228" s="26"/>
      <c r="L228" s="7"/>
      <c r="M228" s="26"/>
      <c r="N228" s="26"/>
      <c r="O228" s="7"/>
      <c r="P228" s="7"/>
      <c r="Q228" s="26"/>
      <c r="R228" s="27"/>
      <c r="S228" s="27"/>
      <c r="T228" s="27"/>
      <c r="U228" s="27"/>
      <c r="V228" s="27"/>
      <c r="W228" s="27"/>
      <c r="X228" s="27"/>
      <c r="Y228" s="27"/>
      <c r="Z228" s="28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8"/>
      <c r="AN228" s="29">
        <f>G228+SUM(I228:AM228)-SUM(I229:AM229)</f>
        <v>1770</v>
      </c>
      <c r="AO228" s="236">
        <f>ROUNDDOWN((AN228/E228)/$H$4,1)</f>
        <v>19.6</v>
      </c>
      <c r="AP228" s="236">
        <f>$M$4+AO228</f>
        <v>991.6</v>
      </c>
    </row>
    <row r="229">
      <c r="A229" s="31"/>
      <c r="B229" s="17"/>
      <c r="C229" s="17"/>
      <c r="D229" s="17"/>
      <c r="E229" s="17"/>
      <c r="F229" s="18"/>
      <c r="G229" s="27"/>
      <c r="H229" s="7" t="s">
        <v>23</v>
      </c>
      <c r="I229" s="7"/>
      <c r="J229" s="7"/>
      <c r="K229" s="7"/>
      <c r="L229" s="7">
        <v>75.0</v>
      </c>
      <c r="M229" s="7">
        <v>75.0</v>
      </c>
      <c r="N229" s="7">
        <v>75.0</v>
      </c>
      <c r="O229" s="7">
        <v>75.0</v>
      </c>
      <c r="P229" s="7">
        <v>75.0</v>
      </c>
      <c r="Q229" s="7">
        <v>75.0</v>
      </c>
      <c r="R229" s="28"/>
      <c r="S229" s="28">
        <v>75.0</v>
      </c>
      <c r="T229" s="28">
        <v>75.0</v>
      </c>
      <c r="U229" s="28">
        <v>75.0</v>
      </c>
      <c r="V229" s="28">
        <v>75.0</v>
      </c>
      <c r="W229" s="28">
        <v>75.0</v>
      </c>
      <c r="X229" s="28"/>
      <c r="Y229" s="28"/>
      <c r="Z229" s="28">
        <f>100+75</f>
        <v>175</v>
      </c>
      <c r="AA229" s="28">
        <v>100.0</v>
      </c>
      <c r="AB229" s="28">
        <v>100.0</v>
      </c>
      <c r="AC229" s="28">
        <v>100.0</v>
      </c>
      <c r="AD229" s="28">
        <v>100.0</v>
      </c>
      <c r="AE229" s="28">
        <v>100.0</v>
      </c>
      <c r="AF229" s="28"/>
      <c r="AG229" s="28">
        <v>100.0</v>
      </c>
      <c r="AH229" s="28">
        <v>100.0</v>
      </c>
      <c r="AI229" s="28">
        <v>100.0</v>
      </c>
      <c r="AJ229" s="28">
        <v>100.0</v>
      </c>
      <c r="AK229" s="28">
        <v>100.0</v>
      </c>
      <c r="AL229" s="28">
        <v>75.0</v>
      </c>
      <c r="AM229" s="28"/>
      <c r="AN229" s="32"/>
      <c r="AO229" s="32"/>
      <c r="AP229" s="32"/>
    </row>
    <row r="230">
      <c r="A230" s="33"/>
      <c r="B230" s="33"/>
      <c r="C230" s="33"/>
      <c r="D230" s="33"/>
      <c r="E230" s="25"/>
      <c r="F230" s="25"/>
      <c r="G230" s="78"/>
      <c r="H230" s="7"/>
      <c r="I230" s="26"/>
      <c r="J230" s="26"/>
      <c r="K230" s="26"/>
      <c r="L230" s="37"/>
      <c r="M230" s="37"/>
      <c r="N230" s="37"/>
      <c r="O230" s="37"/>
      <c r="P230" s="37"/>
      <c r="Q230" s="37"/>
      <c r="R230" s="27"/>
      <c r="S230" s="6"/>
      <c r="T230" s="42"/>
      <c r="U230" s="6"/>
      <c r="V230" s="42"/>
      <c r="W230" s="6"/>
      <c r="X230" s="10"/>
      <c r="Y230" s="27"/>
      <c r="Z230" s="6"/>
      <c r="AA230" s="6"/>
      <c r="AB230" s="6"/>
      <c r="AC230" s="6"/>
      <c r="AD230" s="6"/>
      <c r="AE230" s="6"/>
      <c r="AF230" s="27"/>
      <c r="AG230" s="6"/>
      <c r="AH230" s="6"/>
      <c r="AI230" s="6"/>
      <c r="AJ230" s="6"/>
      <c r="AK230" s="6"/>
      <c r="AL230" s="6"/>
      <c r="AM230" s="27"/>
      <c r="AN230" s="39"/>
      <c r="AO230" s="237"/>
      <c r="AP230" s="237"/>
    </row>
    <row r="231">
      <c r="A231" s="24" t="s">
        <v>112</v>
      </c>
      <c r="B231" s="17"/>
      <c r="C231" s="17"/>
      <c r="D231" s="18"/>
      <c r="E231" s="25">
        <v>1.88</v>
      </c>
      <c r="F231" s="25" t="s">
        <v>21</v>
      </c>
      <c r="G231" s="78">
        <v>1600.0</v>
      </c>
      <c r="H231" s="7" t="s">
        <v>22</v>
      </c>
      <c r="I231" s="26"/>
      <c r="J231" s="26"/>
      <c r="K231" s="26"/>
      <c r="L231" s="26"/>
      <c r="M231" s="26"/>
      <c r="N231" s="26"/>
      <c r="O231" s="7"/>
      <c r="P231" s="7"/>
      <c r="Q231" s="26"/>
      <c r="R231" s="27"/>
      <c r="S231" s="27"/>
      <c r="T231" s="27"/>
      <c r="U231" s="27"/>
      <c r="V231" s="28"/>
      <c r="W231" s="27"/>
      <c r="X231" s="27"/>
      <c r="Y231" s="28"/>
      <c r="Z231" s="27"/>
      <c r="AA231" s="27"/>
      <c r="AB231" s="28"/>
      <c r="AC231" s="28"/>
      <c r="AD231" s="28"/>
      <c r="AE231" s="27"/>
      <c r="AF231" s="27"/>
      <c r="AG231" s="27"/>
      <c r="AH231" s="27"/>
      <c r="AI231" s="27"/>
      <c r="AJ231" s="28"/>
      <c r="AK231" s="27"/>
      <c r="AL231" s="27"/>
      <c r="AM231" s="27"/>
      <c r="AN231" s="29">
        <f>G231+SUM(I231:AM231)-SUM(I232:AM232)</f>
        <v>681</v>
      </c>
      <c r="AO231" s="236">
        <f>ROUNDDOWN((AN231/E231)/$H$4,1)</f>
        <v>12</v>
      </c>
      <c r="AP231" s="236">
        <f>$M$4+AO231</f>
        <v>984</v>
      </c>
    </row>
    <row r="232">
      <c r="A232" s="56"/>
      <c r="B232" s="56"/>
      <c r="C232" s="56"/>
      <c r="D232" s="56"/>
      <c r="E232" s="57"/>
      <c r="F232" s="57"/>
      <c r="G232" s="78"/>
      <c r="H232" s="7" t="s">
        <v>23</v>
      </c>
      <c r="I232" s="7"/>
      <c r="J232" s="7"/>
      <c r="K232" s="7"/>
      <c r="L232" s="7">
        <v>38.0</v>
      </c>
      <c r="M232" s="7">
        <v>38.0</v>
      </c>
      <c r="N232" s="7">
        <v>38.0</v>
      </c>
      <c r="O232" s="7">
        <v>38.0</v>
      </c>
      <c r="P232" s="7">
        <v>38.0</v>
      </c>
      <c r="Q232" s="7">
        <v>38.0</v>
      </c>
      <c r="R232" s="28"/>
      <c r="S232" s="28">
        <v>38.0</v>
      </c>
      <c r="T232" s="28">
        <v>38.0</v>
      </c>
      <c r="U232" s="28">
        <v>38.0</v>
      </c>
      <c r="V232" s="28">
        <v>38.0</v>
      </c>
      <c r="W232" s="28">
        <v>38.0</v>
      </c>
      <c r="X232" s="28"/>
      <c r="Y232" s="28"/>
      <c r="Z232" s="28">
        <v>38.0</v>
      </c>
      <c r="AA232" s="28">
        <v>50.0</v>
      </c>
      <c r="AB232" s="28"/>
      <c r="AC232" s="28">
        <v>50.0</v>
      </c>
      <c r="AD232" s="28">
        <v>50.0</v>
      </c>
      <c r="AE232" s="28">
        <v>50.0</v>
      </c>
      <c r="AF232" s="28"/>
      <c r="AG232" s="28">
        <v>50.0</v>
      </c>
      <c r="AH232" s="28">
        <v>50.0</v>
      </c>
      <c r="AI232" s="28">
        <v>50.0</v>
      </c>
      <c r="AJ232" s="28">
        <v>25.0</v>
      </c>
      <c r="AK232" s="28">
        <v>50.0</v>
      </c>
      <c r="AL232" s="28">
        <v>38.0</v>
      </c>
      <c r="AM232" s="28"/>
      <c r="AN232" s="32"/>
      <c r="AO232" s="32"/>
      <c r="AP232" s="32"/>
    </row>
    <row r="233">
      <c r="A233" s="72"/>
      <c r="B233" s="72"/>
      <c r="C233" s="72"/>
      <c r="D233" s="72"/>
      <c r="E233" s="72"/>
      <c r="F233" s="72"/>
      <c r="G233" s="78"/>
      <c r="H233" s="69"/>
      <c r="I233" s="26"/>
      <c r="J233" s="26"/>
      <c r="K233" s="26"/>
      <c r="L233" s="37"/>
      <c r="M233" s="37"/>
      <c r="N233" s="37"/>
      <c r="O233" s="37"/>
      <c r="P233" s="37"/>
      <c r="Q233" s="37"/>
      <c r="R233" s="27"/>
      <c r="S233" s="6"/>
      <c r="T233" s="6"/>
      <c r="U233" s="6"/>
      <c r="V233" s="6"/>
      <c r="W233" s="6"/>
      <c r="X233" s="10"/>
      <c r="Y233" s="27"/>
      <c r="Z233" s="6"/>
      <c r="AA233" s="6"/>
      <c r="AB233" s="10"/>
      <c r="AC233" s="6"/>
      <c r="AD233" s="6"/>
      <c r="AE233" s="6"/>
      <c r="AF233" s="27"/>
      <c r="AG233" s="6"/>
      <c r="AH233" s="6"/>
      <c r="AI233" s="6"/>
      <c r="AJ233" s="6"/>
      <c r="AK233" s="6"/>
      <c r="AL233" s="6"/>
      <c r="AM233" s="27"/>
      <c r="AN233" s="48"/>
      <c r="AO233" s="48"/>
      <c r="AP233" s="48"/>
    </row>
    <row r="234">
      <c r="A234" s="73" t="s">
        <v>113</v>
      </c>
      <c r="B234" s="17"/>
      <c r="C234" s="17"/>
      <c r="D234" s="17"/>
      <c r="E234" s="17"/>
      <c r="F234" s="17"/>
      <c r="G234" s="18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</row>
    <row r="235">
      <c r="A235" s="24" t="s">
        <v>114</v>
      </c>
      <c r="B235" s="17"/>
      <c r="C235" s="17"/>
      <c r="D235" s="18"/>
      <c r="E235" s="25">
        <v>0.03</v>
      </c>
      <c r="F235" s="25" t="s">
        <v>21</v>
      </c>
      <c r="G235" s="78">
        <v>23.0</v>
      </c>
      <c r="H235" s="7" t="s">
        <v>22</v>
      </c>
      <c r="I235" s="26"/>
      <c r="J235" s="26"/>
      <c r="K235" s="26"/>
      <c r="L235" s="7"/>
      <c r="M235" s="26"/>
      <c r="N235" s="26"/>
      <c r="O235" s="26"/>
      <c r="P235" s="26"/>
      <c r="Q235" s="26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9">
        <f>G235+SUM(I235:AM235)-SUM(I236:AM236)</f>
        <v>13</v>
      </c>
      <c r="AO235" s="236">
        <f>ROUNDDOWN((AN235/E235)/$H$4,1)</f>
        <v>14.4</v>
      </c>
      <c r="AP235" s="236">
        <f>$M$4+AO235</f>
        <v>986.4</v>
      </c>
    </row>
    <row r="236">
      <c r="A236" s="31"/>
      <c r="B236" s="17"/>
      <c r="C236" s="17"/>
      <c r="D236" s="17"/>
      <c r="E236" s="17"/>
      <c r="F236" s="18"/>
      <c r="G236" s="27"/>
      <c r="H236" s="7" t="s">
        <v>23</v>
      </c>
      <c r="I236" s="26"/>
      <c r="J236" s="26"/>
      <c r="K236" s="26"/>
      <c r="L236" s="26"/>
      <c r="M236" s="26"/>
      <c r="N236" s="26"/>
      <c r="O236" s="26"/>
      <c r="P236" s="26"/>
      <c r="Q236" s="26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8"/>
      <c r="AD236" s="27"/>
      <c r="AE236" s="27"/>
      <c r="AF236" s="27"/>
      <c r="AG236" s="27"/>
      <c r="AH236" s="27"/>
      <c r="AI236" s="27"/>
      <c r="AJ236" s="27"/>
      <c r="AK236" s="28">
        <v>10.0</v>
      </c>
      <c r="AL236" s="27"/>
      <c r="AM236" s="27"/>
      <c r="AN236" s="32"/>
      <c r="AO236" s="32"/>
      <c r="AP236" s="32"/>
    </row>
    <row r="237">
      <c r="A237" s="33"/>
      <c r="B237" s="33"/>
      <c r="C237" s="33"/>
      <c r="D237" s="33"/>
      <c r="E237" s="25"/>
      <c r="F237" s="25"/>
      <c r="G237" s="78"/>
      <c r="H237" s="7"/>
      <c r="I237" s="26"/>
      <c r="J237" s="26"/>
      <c r="K237" s="26"/>
      <c r="L237" s="35"/>
      <c r="M237" s="36"/>
      <c r="N237" s="36"/>
      <c r="O237" s="36"/>
      <c r="P237" s="36"/>
      <c r="Q237" s="36"/>
      <c r="R237" s="27"/>
      <c r="S237" s="10"/>
      <c r="T237" s="10"/>
      <c r="U237" s="10"/>
      <c r="V237" s="10"/>
      <c r="W237" s="10"/>
      <c r="X237" s="10"/>
      <c r="Y237" s="27"/>
      <c r="Z237" s="10"/>
      <c r="AA237" s="10"/>
      <c r="AB237" s="10"/>
      <c r="AC237" s="10"/>
      <c r="AD237" s="10"/>
      <c r="AE237" s="10"/>
      <c r="AF237" s="27"/>
      <c r="AG237" s="10"/>
      <c r="AH237" s="10"/>
      <c r="AI237" s="10"/>
      <c r="AJ237" s="10"/>
      <c r="AK237" s="6"/>
      <c r="AL237" s="10"/>
      <c r="AM237" s="27"/>
      <c r="AN237" s="39"/>
      <c r="AO237" s="237"/>
      <c r="AP237" s="237"/>
    </row>
    <row r="238">
      <c r="A238" s="24" t="s">
        <v>115</v>
      </c>
      <c r="B238" s="17"/>
      <c r="C238" s="17"/>
      <c r="D238" s="18"/>
      <c r="E238" s="25">
        <v>0.04</v>
      </c>
      <c r="F238" s="25" t="s">
        <v>21</v>
      </c>
      <c r="G238" s="78">
        <v>37.0</v>
      </c>
      <c r="H238" s="7" t="s">
        <v>22</v>
      </c>
      <c r="I238" s="26"/>
      <c r="J238" s="26"/>
      <c r="K238" s="26"/>
      <c r="L238" s="7"/>
      <c r="M238" s="7"/>
      <c r="N238" s="26"/>
      <c r="O238" s="26"/>
      <c r="P238" s="26"/>
      <c r="Q238" s="26"/>
      <c r="R238" s="27"/>
      <c r="S238" s="27"/>
      <c r="T238" s="27"/>
      <c r="U238" s="27"/>
      <c r="V238" s="27"/>
      <c r="W238" s="27"/>
      <c r="X238" s="27"/>
      <c r="Y238" s="28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8"/>
      <c r="AK238" s="27"/>
      <c r="AL238" s="27"/>
      <c r="AM238" s="27"/>
      <c r="AN238" s="29">
        <f>G238+SUM(I238:AM238)-SUM(I239:AM239)</f>
        <v>24</v>
      </c>
      <c r="AO238" s="236">
        <f>ROUNDDOWN((AN238/E238)/$H$4,1)</f>
        <v>20</v>
      </c>
      <c r="AP238" s="236">
        <f>$M$4+AO238</f>
        <v>992</v>
      </c>
    </row>
    <row r="239">
      <c r="A239" s="31"/>
      <c r="B239" s="17"/>
      <c r="C239" s="17"/>
      <c r="D239" s="17"/>
      <c r="E239" s="17"/>
      <c r="F239" s="18"/>
      <c r="G239" s="27"/>
      <c r="H239" s="7" t="s">
        <v>23</v>
      </c>
      <c r="I239" s="26"/>
      <c r="J239" s="26"/>
      <c r="K239" s="26"/>
      <c r="L239" s="7"/>
      <c r="M239" s="7"/>
      <c r="N239" s="7"/>
      <c r="O239" s="26"/>
      <c r="P239" s="26"/>
      <c r="Q239" s="7"/>
      <c r="R239" s="27"/>
      <c r="S239" s="28"/>
      <c r="T239" s="27"/>
      <c r="U239" s="27"/>
      <c r="V239" s="27"/>
      <c r="W239" s="28"/>
      <c r="X239" s="28">
        <v>1.0</v>
      </c>
      <c r="Y239" s="27"/>
      <c r="Z239" s="28"/>
      <c r="AA239" s="28"/>
      <c r="AB239" s="28">
        <v>1.0</v>
      </c>
      <c r="AC239" s="27"/>
      <c r="AD239" s="27"/>
      <c r="AE239" s="28"/>
      <c r="AF239" s="27"/>
      <c r="AG239" s="27"/>
      <c r="AH239" s="28"/>
      <c r="AI239" s="27"/>
      <c r="AJ239" s="28">
        <v>1.0</v>
      </c>
      <c r="AK239" s="28">
        <v>10.0</v>
      </c>
      <c r="AL239" s="27"/>
      <c r="AM239" s="27"/>
      <c r="AN239" s="32"/>
      <c r="AO239" s="32"/>
      <c r="AP239" s="32"/>
    </row>
    <row r="240">
      <c r="A240" s="33"/>
      <c r="B240" s="33"/>
      <c r="C240" s="33"/>
      <c r="D240" s="33"/>
      <c r="E240" s="25"/>
      <c r="F240" s="25"/>
      <c r="G240" s="25"/>
      <c r="H240" s="7"/>
      <c r="I240" s="26"/>
      <c r="J240" s="26"/>
      <c r="K240" s="26"/>
      <c r="L240" s="36"/>
      <c r="M240" s="36"/>
      <c r="N240" s="36"/>
      <c r="O240" s="36"/>
      <c r="P240" s="36"/>
      <c r="Q240" s="36"/>
      <c r="R240" s="27"/>
      <c r="S240" s="10"/>
      <c r="T240" s="10"/>
      <c r="U240" s="10"/>
      <c r="V240" s="10"/>
      <c r="W240" s="10"/>
      <c r="X240" s="6"/>
      <c r="Y240" s="27"/>
      <c r="Z240" s="10"/>
      <c r="AA240" s="10"/>
      <c r="AB240" s="6"/>
      <c r="AC240" s="10"/>
      <c r="AD240" s="10"/>
      <c r="AE240" s="10"/>
      <c r="AF240" s="27"/>
      <c r="AG240" s="10"/>
      <c r="AH240" s="10"/>
      <c r="AI240" s="10"/>
      <c r="AJ240" s="6"/>
      <c r="AK240" s="6"/>
      <c r="AL240" s="10"/>
      <c r="AM240" s="27"/>
      <c r="AN240" s="39"/>
      <c r="AO240" s="237"/>
      <c r="AP240" s="256"/>
    </row>
    <row r="241">
      <c r="A241" s="24" t="s">
        <v>116</v>
      </c>
      <c r="B241" s="17"/>
      <c r="C241" s="17"/>
      <c r="D241" s="18"/>
      <c r="E241" s="25">
        <v>0.33</v>
      </c>
      <c r="F241" s="25" t="s">
        <v>21</v>
      </c>
      <c r="G241" s="78">
        <f>49+187</f>
        <v>236</v>
      </c>
      <c r="H241" s="7" t="s">
        <v>22</v>
      </c>
      <c r="I241" s="26"/>
      <c r="J241" s="26"/>
      <c r="K241" s="26"/>
      <c r="L241" s="7"/>
      <c r="M241" s="7">
        <v>237.0</v>
      </c>
      <c r="N241" s="26"/>
      <c r="O241" s="26"/>
      <c r="P241" s="26"/>
      <c r="Q241" s="26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8"/>
      <c r="AE241" s="27"/>
      <c r="AF241" s="27"/>
      <c r="AG241" s="27"/>
      <c r="AH241" s="27"/>
      <c r="AI241" s="27"/>
      <c r="AJ241" s="28"/>
      <c r="AK241" s="27"/>
      <c r="AL241" s="27"/>
      <c r="AM241" s="27"/>
      <c r="AN241" s="29">
        <f>G241+SUM(I241:AM241)-SUM(I242:AM242)</f>
        <v>171</v>
      </c>
      <c r="AO241" s="236">
        <f>ROUNDDOWN((AN241/E241)/$H$4,1)</f>
        <v>17.2</v>
      </c>
      <c r="AP241" s="257">
        <f>M3+AO241</f>
        <v>986.2</v>
      </c>
    </row>
    <row r="242">
      <c r="A242" s="31"/>
      <c r="B242" s="17"/>
      <c r="C242" s="17"/>
      <c r="D242" s="17"/>
      <c r="E242" s="17"/>
      <c r="F242" s="18"/>
      <c r="G242" s="27"/>
      <c r="H242" s="7" t="s">
        <v>23</v>
      </c>
      <c r="I242" s="7"/>
      <c r="J242" s="7"/>
      <c r="K242" s="7"/>
      <c r="L242" s="7">
        <f>5+4+4+4</f>
        <v>17</v>
      </c>
      <c r="M242" s="7">
        <f>4+4+5+2</f>
        <v>15</v>
      </c>
      <c r="N242" s="7">
        <f>5+4+4+4</f>
        <v>17</v>
      </c>
      <c r="O242" s="7">
        <f>5+4+4</f>
        <v>13</v>
      </c>
      <c r="P242" s="7">
        <f>3+4+4</f>
        <v>11</v>
      </c>
      <c r="Q242" s="7">
        <f>2+4+4</f>
        <v>10</v>
      </c>
      <c r="R242" s="28"/>
      <c r="S242" s="28">
        <f>4+4+4</f>
        <v>12</v>
      </c>
      <c r="T242" s="28">
        <f>5+4+4+4</f>
        <v>17</v>
      </c>
      <c r="U242" s="28">
        <v>4.0</v>
      </c>
      <c r="V242" s="28">
        <f>4+4+4</f>
        <v>12</v>
      </c>
      <c r="W242" s="28">
        <f>5+4+4+4+4</f>
        <v>21</v>
      </c>
      <c r="X242" s="28">
        <f>4+4</f>
        <v>8</v>
      </c>
      <c r="Y242" s="28"/>
      <c r="Z242" s="28">
        <f>4+4+5</f>
        <v>13</v>
      </c>
      <c r="AA242" s="28">
        <f>4+4</f>
        <v>8</v>
      </c>
      <c r="AB242" s="28">
        <f>5+4+4</f>
        <v>13</v>
      </c>
      <c r="AC242" s="28">
        <f>4+4+3</f>
        <v>11</v>
      </c>
      <c r="AD242" s="28">
        <f>5+4+4+4</f>
        <v>17</v>
      </c>
      <c r="AE242" s="28">
        <f>5+4+4+4+4+2</f>
        <v>23</v>
      </c>
      <c r="AF242" s="28"/>
      <c r="AG242" s="28">
        <f>4+4+2</f>
        <v>10</v>
      </c>
      <c r="AH242" s="28">
        <f>5+8</f>
        <v>13</v>
      </c>
      <c r="AI242" s="28"/>
      <c r="AJ242" s="28">
        <f>5+8+4</f>
        <v>17</v>
      </c>
      <c r="AK242" s="28">
        <f>5+8</f>
        <v>13</v>
      </c>
      <c r="AL242" s="28">
        <f>4+3</f>
        <v>7</v>
      </c>
      <c r="AM242" s="28"/>
      <c r="AN242" s="32"/>
      <c r="AO242" s="32"/>
      <c r="AP242" s="32"/>
    </row>
    <row r="243">
      <c r="A243" s="33"/>
      <c r="B243" s="33"/>
      <c r="C243" s="33"/>
      <c r="D243" s="33"/>
      <c r="E243" s="25"/>
      <c r="F243" s="25"/>
      <c r="G243" s="25"/>
      <c r="H243" s="7"/>
      <c r="I243" s="7"/>
      <c r="J243" s="26"/>
      <c r="K243" s="7"/>
      <c r="L243" s="37"/>
      <c r="M243" s="37"/>
      <c r="N243" s="41"/>
      <c r="O243" s="37"/>
      <c r="P243" s="37"/>
      <c r="Q243" s="37"/>
      <c r="R243" s="28"/>
      <c r="S243" s="6"/>
      <c r="T243" s="42"/>
      <c r="U243" s="42"/>
      <c r="V243" s="42"/>
      <c r="W243" s="6"/>
      <c r="X243" s="6"/>
      <c r="Y243" s="27"/>
      <c r="Z243" s="42"/>
      <c r="AA243" s="6"/>
      <c r="AB243" s="6"/>
      <c r="AC243" s="6"/>
      <c r="AD243" s="6"/>
      <c r="AE243" s="42"/>
      <c r="AF243" s="27"/>
      <c r="AG243" s="6"/>
      <c r="AH243" s="42"/>
      <c r="AI243" s="38"/>
      <c r="AJ243" s="42"/>
      <c r="AK243" s="6"/>
      <c r="AL243" s="6"/>
      <c r="AM243" s="27"/>
      <c r="AN243" s="39"/>
      <c r="AO243" s="237"/>
      <c r="AP243" s="256"/>
    </row>
    <row r="244">
      <c r="A244" s="24" t="s">
        <v>117</v>
      </c>
      <c r="B244" s="17"/>
      <c r="C244" s="17"/>
      <c r="D244" s="18"/>
      <c r="E244" s="25">
        <v>0.17</v>
      </c>
      <c r="F244" s="25" t="s">
        <v>167</v>
      </c>
      <c r="G244" s="78">
        <v>153.0</v>
      </c>
      <c r="H244" s="7" t="s">
        <v>22</v>
      </c>
      <c r="I244" s="7"/>
      <c r="J244" s="26"/>
      <c r="K244" s="7"/>
      <c r="L244" s="7"/>
      <c r="M244" s="26"/>
      <c r="N244" s="7"/>
      <c r="O244" s="26"/>
      <c r="P244" s="26"/>
      <c r="Q244" s="26"/>
      <c r="R244" s="28"/>
      <c r="S244" s="27"/>
      <c r="T244" s="28"/>
      <c r="U244" s="28"/>
      <c r="V244" s="27"/>
      <c r="W244" s="27"/>
      <c r="X244" s="27"/>
      <c r="Y244" s="27"/>
      <c r="Z244" s="28"/>
      <c r="AA244" s="27"/>
      <c r="AB244" s="27"/>
      <c r="AC244" s="27"/>
      <c r="AD244" s="28"/>
      <c r="AE244" s="28"/>
      <c r="AF244" s="27"/>
      <c r="AG244" s="27"/>
      <c r="AH244" s="28"/>
      <c r="AI244" s="28"/>
      <c r="AJ244" s="28"/>
      <c r="AK244" s="28"/>
      <c r="AL244" s="27"/>
      <c r="AM244" s="27"/>
      <c r="AN244" s="29">
        <f>G244+SUM(I244:AM244)-SUM(I245:AM245)</f>
        <v>136.65</v>
      </c>
      <c r="AO244" s="236">
        <f>ROUNDDOWN((AN244/E244)/$H$4,1)</f>
        <v>26.7</v>
      </c>
      <c r="AP244" s="257">
        <f>$M$4+AO244</f>
        <v>998.7</v>
      </c>
    </row>
    <row r="245">
      <c r="A245" s="31"/>
      <c r="B245" s="17"/>
      <c r="C245" s="17"/>
      <c r="D245" s="17"/>
      <c r="E245" s="17"/>
      <c r="F245" s="18"/>
      <c r="G245" s="27"/>
      <c r="H245" s="7" t="s">
        <v>23</v>
      </c>
      <c r="I245" s="7"/>
      <c r="J245" s="26"/>
      <c r="K245" s="7"/>
      <c r="L245" s="7"/>
      <c r="M245" s="26"/>
      <c r="N245" s="7">
        <f>1.5</f>
        <v>1.5</v>
      </c>
      <c r="O245" s="7">
        <v>0.85</v>
      </c>
      <c r="P245" s="7">
        <v>1.0</v>
      </c>
      <c r="Q245" s="26"/>
      <c r="R245" s="28"/>
      <c r="S245" s="28"/>
      <c r="T245" s="28">
        <v>1.5</v>
      </c>
      <c r="U245" s="28"/>
      <c r="V245" s="28"/>
      <c r="W245" s="28"/>
      <c r="X245" s="28">
        <v>2.5</v>
      </c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>
        <v>5.0</v>
      </c>
      <c r="AK245" s="28">
        <v>2.0</v>
      </c>
      <c r="AL245" s="28">
        <v>2.0</v>
      </c>
      <c r="AM245" s="28"/>
      <c r="AN245" s="32"/>
      <c r="AO245" s="32"/>
      <c r="AP245" s="32"/>
    </row>
    <row r="246">
      <c r="A246" s="33"/>
      <c r="B246" s="33"/>
      <c r="C246" s="33"/>
      <c r="D246" s="33"/>
      <c r="E246" s="25"/>
      <c r="F246" s="25"/>
      <c r="G246" s="25"/>
      <c r="H246" s="7"/>
      <c r="I246" s="7"/>
      <c r="J246" s="26"/>
      <c r="K246" s="7"/>
      <c r="L246" s="36"/>
      <c r="M246" s="36"/>
      <c r="N246" s="41"/>
      <c r="O246" s="37"/>
      <c r="P246" s="37"/>
      <c r="Q246" s="36"/>
      <c r="R246" s="28"/>
      <c r="S246" s="10"/>
      <c r="T246" s="42"/>
      <c r="U246" s="42"/>
      <c r="V246" s="10"/>
      <c r="W246" s="10"/>
      <c r="X246" s="6"/>
      <c r="Y246" s="27"/>
      <c r="Z246" s="38"/>
      <c r="AA246" s="10"/>
      <c r="AB246" s="10"/>
      <c r="AC246" s="10"/>
      <c r="AD246" s="10"/>
      <c r="AE246" s="38"/>
      <c r="AF246" s="27"/>
      <c r="AG246" s="10"/>
      <c r="AH246" s="38"/>
      <c r="AI246" s="38"/>
      <c r="AJ246" s="6"/>
      <c r="AK246" s="42"/>
      <c r="AL246" s="6"/>
      <c r="AM246" s="27"/>
      <c r="AN246" s="39"/>
      <c r="AO246" s="237"/>
      <c r="AP246" s="237"/>
    </row>
    <row r="247" hidden="1">
      <c r="A247" s="24" t="s">
        <v>118</v>
      </c>
      <c r="B247" s="17"/>
      <c r="C247" s="17"/>
      <c r="D247" s="18"/>
      <c r="E247" s="25">
        <v>8.0</v>
      </c>
      <c r="F247" s="25" t="s">
        <v>21</v>
      </c>
      <c r="G247" s="27"/>
      <c r="H247" s="7" t="s">
        <v>22</v>
      </c>
      <c r="I247" s="7"/>
      <c r="J247" s="26"/>
      <c r="K247" s="7"/>
      <c r="L247" s="26"/>
      <c r="M247" s="26"/>
      <c r="N247" s="7"/>
      <c r="O247" s="26"/>
      <c r="P247" s="7"/>
      <c r="Q247" s="7"/>
      <c r="R247" s="28"/>
      <c r="S247" s="27"/>
      <c r="T247" s="28"/>
      <c r="U247" s="28"/>
      <c r="V247" s="27"/>
      <c r="W247" s="27"/>
      <c r="X247" s="27"/>
      <c r="Y247" s="27"/>
      <c r="Z247" s="28"/>
      <c r="AA247" s="27"/>
      <c r="AB247" s="27"/>
      <c r="AC247" s="27"/>
      <c r="AD247" s="27"/>
      <c r="AE247" s="28"/>
      <c r="AF247" s="27"/>
      <c r="AG247" s="28"/>
      <c r="AH247" s="28"/>
      <c r="AI247" s="28"/>
      <c r="AJ247" s="27"/>
      <c r="AK247" s="28"/>
      <c r="AL247" s="27"/>
      <c r="AM247" s="27"/>
      <c r="AN247" s="29">
        <f>G247+SUM(I247:AM247)-SUM(I248:AM248)</f>
        <v>0</v>
      </c>
      <c r="AO247" s="236"/>
      <c r="AP247" s="236"/>
    </row>
    <row r="248" hidden="1">
      <c r="A248" s="31"/>
      <c r="B248" s="17"/>
      <c r="C248" s="17"/>
      <c r="D248" s="17"/>
      <c r="E248" s="17"/>
      <c r="F248" s="18"/>
      <c r="G248" s="27"/>
      <c r="H248" s="7" t="s">
        <v>23</v>
      </c>
      <c r="I248" s="7"/>
      <c r="J248" s="26"/>
      <c r="K248" s="7"/>
      <c r="L248" s="26"/>
      <c r="M248" s="26"/>
      <c r="N248" s="7"/>
      <c r="O248" s="26"/>
      <c r="P248" s="7"/>
      <c r="Q248" s="7"/>
      <c r="R248" s="28"/>
      <c r="S248" s="27"/>
      <c r="T248" s="28"/>
      <c r="U248" s="28"/>
      <c r="V248" s="27"/>
      <c r="W248" s="27"/>
      <c r="X248" s="27"/>
      <c r="Y248" s="27"/>
      <c r="Z248" s="28"/>
      <c r="AA248" s="27"/>
      <c r="AB248" s="27"/>
      <c r="AC248" s="27"/>
      <c r="AD248" s="27"/>
      <c r="AE248" s="28"/>
      <c r="AF248" s="27"/>
      <c r="AG248" s="28"/>
      <c r="AH248" s="28"/>
      <c r="AI248" s="28"/>
      <c r="AJ248" s="27"/>
      <c r="AK248" s="28"/>
      <c r="AL248" s="27"/>
      <c r="AM248" s="27"/>
      <c r="AN248" s="32"/>
      <c r="AO248" s="32"/>
      <c r="AP248" s="32"/>
    </row>
    <row r="249" hidden="1">
      <c r="A249" s="33"/>
      <c r="B249" s="33"/>
      <c r="C249" s="33"/>
      <c r="D249" s="33"/>
      <c r="E249" s="25"/>
      <c r="F249" s="25"/>
      <c r="G249" s="25"/>
      <c r="H249" s="7"/>
      <c r="I249" s="28"/>
      <c r="J249" s="28"/>
      <c r="K249" s="28"/>
      <c r="L249" s="7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7"/>
      <c r="AK249" s="28"/>
      <c r="AL249" s="27"/>
      <c r="AM249" s="27"/>
      <c r="AN249" s="39"/>
      <c r="AO249" s="237"/>
      <c r="AP249" s="237"/>
    </row>
    <row r="250">
      <c r="A250" s="24" t="s">
        <v>119</v>
      </c>
      <c r="B250" s="17"/>
      <c r="C250" s="17"/>
      <c r="D250" s="18"/>
      <c r="E250" s="25">
        <v>1.0</v>
      </c>
      <c r="F250" s="25" t="s">
        <v>21</v>
      </c>
      <c r="G250" s="27"/>
      <c r="H250" s="7" t="s">
        <v>22</v>
      </c>
      <c r="I250" s="28"/>
      <c r="J250" s="28"/>
      <c r="K250" s="28"/>
      <c r="L250" s="7">
        <v>15.0</v>
      </c>
      <c r="M250" s="28"/>
      <c r="N250" s="28"/>
      <c r="O250" s="28">
        <v>15.0</v>
      </c>
      <c r="P250" s="28">
        <v>15.0</v>
      </c>
      <c r="Q250" s="28">
        <v>15.0</v>
      </c>
      <c r="R250" s="28"/>
      <c r="S250" s="28"/>
      <c r="T250" s="28"/>
      <c r="U250" s="28"/>
      <c r="V250" s="28">
        <v>15.0</v>
      </c>
      <c r="W250" s="28"/>
      <c r="X250" s="28"/>
      <c r="Y250" s="28"/>
      <c r="Z250" s="28">
        <v>15.0</v>
      </c>
      <c r="AA250" s="28"/>
      <c r="AB250" s="28"/>
      <c r="AC250" s="28">
        <v>15.0</v>
      </c>
      <c r="AD250" s="28">
        <v>15.0</v>
      </c>
      <c r="AE250" s="28">
        <v>15.0</v>
      </c>
      <c r="AF250" s="28"/>
      <c r="AG250" s="28"/>
      <c r="AH250" s="28">
        <v>15.0</v>
      </c>
      <c r="AI250" s="28"/>
      <c r="AJ250" s="28">
        <v>15.0</v>
      </c>
      <c r="AK250" s="28"/>
      <c r="AL250" s="27"/>
      <c r="AM250" s="28"/>
      <c r="AN250" s="29">
        <f>G250+SUM(I250:AM250)-SUM(I251:AM251)</f>
        <v>0</v>
      </c>
      <c r="AO250" s="236"/>
      <c r="AP250" s="236"/>
    </row>
    <row r="251">
      <c r="A251" s="31"/>
      <c r="B251" s="17"/>
      <c r="C251" s="17"/>
      <c r="D251" s="17"/>
      <c r="E251" s="17"/>
      <c r="F251" s="18"/>
      <c r="G251" s="27"/>
      <c r="H251" s="7" t="s">
        <v>23</v>
      </c>
      <c r="I251" s="28"/>
      <c r="J251" s="28"/>
      <c r="K251" s="28"/>
      <c r="L251" s="7">
        <v>15.0</v>
      </c>
      <c r="M251" s="28"/>
      <c r="N251" s="28"/>
      <c r="O251" s="28">
        <v>15.0</v>
      </c>
      <c r="P251" s="28">
        <v>15.0</v>
      </c>
      <c r="Q251" s="28">
        <v>15.0</v>
      </c>
      <c r="R251" s="28"/>
      <c r="S251" s="28"/>
      <c r="T251" s="28"/>
      <c r="U251" s="28"/>
      <c r="V251" s="28">
        <v>15.0</v>
      </c>
      <c r="W251" s="28"/>
      <c r="X251" s="28"/>
      <c r="Y251" s="28"/>
      <c r="Z251" s="28">
        <v>15.0</v>
      </c>
      <c r="AA251" s="28"/>
      <c r="AB251" s="28"/>
      <c r="AC251" s="28">
        <v>15.0</v>
      </c>
      <c r="AD251" s="28">
        <v>15.0</v>
      </c>
      <c r="AE251" s="28">
        <v>15.0</v>
      </c>
      <c r="AF251" s="28"/>
      <c r="AG251" s="28"/>
      <c r="AH251" s="28">
        <v>15.0</v>
      </c>
      <c r="AI251" s="28"/>
      <c r="AJ251" s="28">
        <v>15.0</v>
      </c>
      <c r="AK251" s="28"/>
      <c r="AL251" s="27"/>
      <c r="AM251" s="28"/>
      <c r="AN251" s="32"/>
      <c r="AO251" s="32"/>
      <c r="AP251" s="32"/>
    </row>
    <row r="252">
      <c r="A252" s="33"/>
      <c r="B252" s="33"/>
      <c r="C252" s="33"/>
      <c r="D252" s="33"/>
      <c r="E252" s="25"/>
      <c r="F252" s="25"/>
      <c r="G252" s="25"/>
      <c r="H252" s="7"/>
      <c r="I252" s="28"/>
      <c r="J252" s="28"/>
      <c r="K252" s="28"/>
      <c r="L252" s="41"/>
      <c r="M252" s="38"/>
      <c r="N252" s="38"/>
      <c r="O252" s="42"/>
      <c r="P252" s="42"/>
      <c r="Q252" s="42"/>
      <c r="R252" s="28"/>
      <c r="S252" s="38"/>
      <c r="T252" s="38"/>
      <c r="U252" s="38"/>
      <c r="V252" s="42"/>
      <c r="W252" s="38"/>
      <c r="X252" s="258"/>
      <c r="Y252" s="28"/>
      <c r="Z252" s="42"/>
      <c r="AA252" s="38"/>
      <c r="AB252" s="38"/>
      <c r="AC252" s="42"/>
      <c r="AD252" s="42"/>
      <c r="AE252" s="42"/>
      <c r="AF252" s="28"/>
      <c r="AG252" s="38"/>
      <c r="AH252" s="42"/>
      <c r="AI252" s="38"/>
      <c r="AJ252" s="6"/>
      <c r="AK252" s="38"/>
      <c r="AL252" s="10"/>
      <c r="AM252" s="27"/>
      <c r="AN252" s="39"/>
      <c r="AO252" s="237"/>
      <c r="AP252" s="237"/>
    </row>
    <row r="253">
      <c r="A253" s="24" t="s">
        <v>120</v>
      </c>
      <c r="B253" s="17"/>
      <c r="C253" s="17"/>
      <c r="D253" s="18"/>
      <c r="E253" s="25">
        <v>1.0</v>
      </c>
      <c r="F253" s="25" t="s">
        <v>21</v>
      </c>
      <c r="G253" s="27"/>
      <c r="H253" s="7" t="s">
        <v>22</v>
      </c>
      <c r="I253" s="28"/>
      <c r="J253" s="28"/>
      <c r="K253" s="28"/>
      <c r="L253" s="7">
        <f t="shared" ref="L253:L254" si="2">15+30</f>
        <v>45</v>
      </c>
      <c r="M253" s="28">
        <v>30.0</v>
      </c>
      <c r="N253" s="28">
        <v>30.0</v>
      </c>
      <c r="O253" s="28">
        <v>15.0</v>
      </c>
      <c r="P253" s="28"/>
      <c r="Q253" s="28"/>
      <c r="R253" s="28"/>
      <c r="S253" s="28">
        <f t="shared" ref="S253:S254" si="3">30+45</f>
        <v>75</v>
      </c>
      <c r="T253" s="28">
        <v>30.0</v>
      </c>
      <c r="U253" s="275">
        <v>30.0</v>
      </c>
      <c r="V253" s="28">
        <v>30.0</v>
      </c>
      <c r="W253" s="28">
        <v>15.0</v>
      </c>
      <c r="X253" s="28">
        <v>30.0</v>
      </c>
      <c r="Y253" s="28"/>
      <c r="Z253" s="28">
        <v>30.0</v>
      </c>
      <c r="AA253" s="28">
        <f>15+15</f>
        <v>30</v>
      </c>
      <c r="AB253" s="28">
        <v>30.0</v>
      </c>
      <c r="AC253" s="28">
        <f t="shared" ref="AC253:AC254" si="4">15+30</f>
        <v>45</v>
      </c>
      <c r="AD253" s="28">
        <v>30.0</v>
      </c>
      <c r="AE253" s="28">
        <v>45.0</v>
      </c>
      <c r="AF253" s="28"/>
      <c r="AG253" s="28">
        <v>45.0</v>
      </c>
      <c r="AH253" s="28">
        <v>30.0</v>
      </c>
      <c r="AI253" s="28"/>
      <c r="AJ253" s="28">
        <f t="shared" ref="AJ253:AJ254" si="5">15+30</f>
        <v>45</v>
      </c>
      <c r="AK253" s="28">
        <v>30.0</v>
      </c>
      <c r="AL253" s="28"/>
      <c r="AM253" s="28"/>
      <c r="AN253" s="29">
        <f>G253+SUM(I253:AL253)-SUM(I254:AL254)</f>
        <v>0</v>
      </c>
      <c r="AO253" s="236"/>
      <c r="AP253" s="236"/>
    </row>
    <row r="254">
      <c r="A254" s="31"/>
      <c r="B254" s="17"/>
      <c r="C254" s="17"/>
      <c r="D254" s="17"/>
      <c r="E254" s="17"/>
      <c r="F254" s="18"/>
      <c r="G254" s="27"/>
      <c r="H254" s="7" t="s">
        <v>23</v>
      </c>
      <c r="I254" s="28"/>
      <c r="J254" s="28"/>
      <c r="K254" s="28"/>
      <c r="L254" s="7">
        <f t="shared" si="2"/>
        <v>45</v>
      </c>
      <c r="M254" s="28">
        <v>30.0</v>
      </c>
      <c r="N254" s="28">
        <v>30.0</v>
      </c>
      <c r="O254" s="28">
        <v>15.0</v>
      </c>
      <c r="P254" s="28"/>
      <c r="Q254" s="28"/>
      <c r="R254" s="28"/>
      <c r="S254" s="28">
        <f t="shared" si="3"/>
        <v>75</v>
      </c>
      <c r="T254" s="28">
        <v>30.0</v>
      </c>
      <c r="U254" s="275">
        <v>30.0</v>
      </c>
      <c r="V254" s="28">
        <v>30.0</v>
      </c>
      <c r="W254" s="28">
        <v>15.0</v>
      </c>
      <c r="X254" s="28">
        <v>30.0</v>
      </c>
      <c r="Y254" s="28"/>
      <c r="Z254" s="28">
        <v>30.0</v>
      </c>
      <c r="AA254" s="28">
        <v>30.0</v>
      </c>
      <c r="AB254" s="28">
        <v>30.0</v>
      </c>
      <c r="AC254" s="28">
        <f t="shared" si="4"/>
        <v>45</v>
      </c>
      <c r="AD254" s="28">
        <v>30.0</v>
      </c>
      <c r="AE254" s="28">
        <v>45.0</v>
      </c>
      <c r="AF254" s="28"/>
      <c r="AG254" s="28">
        <v>45.0</v>
      </c>
      <c r="AH254" s="28">
        <v>30.0</v>
      </c>
      <c r="AI254" s="28"/>
      <c r="AJ254" s="28">
        <f t="shared" si="5"/>
        <v>45</v>
      </c>
      <c r="AK254" s="28">
        <v>30.0</v>
      </c>
      <c r="AL254" s="28"/>
      <c r="AM254" s="28"/>
      <c r="AN254" s="32"/>
      <c r="AO254" s="32"/>
      <c r="AP254" s="32"/>
    </row>
    <row r="255">
      <c r="A255" s="33"/>
      <c r="B255" s="33"/>
      <c r="C255" s="33"/>
      <c r="D255" s="33"/>
      <c r="E255" s="25"/>
      <c r="F255" s="25"/>
      <c r="G255" s="25"/>
      <c r="H255" s="7"/>
      <c r="I255" s="7"/>
      <c r="J255" s="7"/>
      <c r="K255" s="7"/>
      <c r="L255" s="41"/>
      <c r="M255" s="41"/>
      <c r="N255" s="41"/>
      <c r="O255" s="41"/>
      <c r="P255" s="35"/>
      <c r="Q255" s="35"/>
      <c r="R255" s="7"/>
      <c r="S255" s="41"/>
      <c r="T255" s="41"/>
      <c r="U255" s="41"/>
      <c r="V255" s="41"/>
      <c r="W255" s="41"/>
      <c r="X255" s="41"/>
      <c r="Y255" s="7"/>
      <c r="Z255" s="41"/>
      <c r="AA255" s="41"/>
      <c r="AB255" s="41"/>
      <c r="AC255" s="41"/>
      <c r="AD255" s="41"/>
      <c r="AE255" s="41"/>
      <c r="AF255" s="7"/>
      <c r="AG255" s="41"/>
      <c r="AH255" s="42"/>
      <c r="AI255" s="38"/>
      <c r="AJ255" s="6"/>
      <c r="AK255" s="42"/>
      <c r="AL255" s="253"/>
      <c r="AM255" s="27"/>
      <c r="AN255" s="39"/>
      <c r="AO255" s="237"/>
      <c r="AP255" s="237"/>
    </row>
    <row r="256" hidden="1">
      <c r="A256" s="260" t="s">
        <v>182</v>
      </c>
      <c r="B256" s="261"/>
      <c r="C256" s="261"/>
      <c r="D256" s="261"/>
      <c r="E256" s="85"/>
      <c r="F256" s="86" t="s">
        <v>21</v>
      </c>
      <c r="G256" s="87"/>
      <c r="H256" s="88" t="s">
        <v>22</v>
      </c>
      <c r="I256" s="85"/>
      <c r="J256" s="85"/>
      <c r="K256" s="88"/>
      <c r="L256" s="247"/>
      <c r="M256" s="85"/>
      <c r="N256" s="88"/>
      <c r="O256" s="88"/>
      <c r="P256" s="88"/>
      <c r="Q256" s="85"/>
      <c r="R256" s="89"/>
      <c r="S256" s="89"/>
      <c r="T256" s="85"/>
      <c r="U256" s="89"/>
      <c r="V256" s="89"/>
      <c r="W256" s="89"/>
      <c r="X256" s="85"/>
      <c r="Y256" s="85"/>
      <c r="Z256" s="89"/>
      <c r="AA256" s="85"/>
      <c r="AB256" s="85"/>
      <c r="AC256" s="85"/>
      <c r="AD256" s="89"/>
      <c r="AE256" s="85"/>
      <c r="AF256" s="90"/>
      <c r="AG256" s="90"/>
      <c r="AH256" s="90"/>
      <c r="AI256" s="90"/>
      <c r="AJ256" s="90"/>
      <c r="AK256" s="89"/>
      <c r="AL256" s="85"/>
      <c r="AM256" s="85"/>
      <c r="AN256" s="91">
        <f>G256+SUM(I256:AL256)-SUM(I257:AL257)</f>
        <v>0</v>
      </c>
      <c r="AO256" s="91"/>
      <c r="AP256" s="237"/>
    </row>
    <row r="257" hidden="1">
      <c r="A257" s="92"/>
      <c r="B257" s="17"/>
      <c r="C257" s="17"/>
      <c r="D257" s="17"/>
      <c r="E257" s="17"/>
      <c r="F257" s="18"/>
      <c r="G257" s="87"/>
      <c r="H257" s="88" t="s">
        <v>23</v>
      </c>
      <c r="I257" s="85"/>
      <c r="J257" s="85"/>
      <c r="K257" s="88"/>
      <c r="L257" s="247"/>
      <c r="M257" s="85"/>
      <c r="N257" s="88"/>
      <c r="O257" s="88"/>
      <c r="P257" s="88"/>
      <c r="Q257" s="85"/>
      <c r="R257" s="89"/>
      <c r="S257" s="89"/>
      <c r="T257" s="85"/>
      <c r="U257" s="89"/>
      <c r="V257" s="89"/>
      <c r="W257" s="89"/>
      <c r="X257" s="85"/>
      <c r="Y257" s="85"/>
      <c r="Z257" s="89"/>
      <c r="AA257" s="85"/>
      <c r="AB257" s="85"/>
      <c r="AC257" s="85"/>
      <c r="AD257" s="89"/>
      <c r="AE257" s="85"/>
      <c r="AF257" s="90"/>
      <c r="AG257" s="90"/>
      <c r="AH257" s="90"/>
      <c r="AI257" s="90"/>
      <c r="AJ257" s="90"/>
      <c r="AK257" s="89"/>
      <c r="AL257" s="85"/>
      <c r="AM257" s="85"/>
      <c r="AN257" s="32"/>
      <c r="AO257" s="32"/>
      <c r="AP257" s="237"/>
    </row>
    <row r="258" hidden="1">
      <c r="A258" s="87"/>
      <c r="B258" s="87"/>
      <c r="C258" s="87"/>
      <c r="D258" s="87"/>
      <c r="E258" s="85"/>
      <c r="F258" s="87"/>
      <c r="G258" s="87"/>
      <c r="H258" s="87"/>
      <c r="I258" s="85"/>
      <c r="J258" s="85"/>
      <c r="K258" s="87"/>
      <c r="L258" s="247"/>
      <c r="M258" s="85"/>
      <c r="N258" s="87"/>
      <c r="O258" s="87"/>
      <c r="P258" s="87"/>
      <c r="Q258" s="85"/>
      <c r="R258" s="87"/>
      <c r="S258" s="87"/>
      <c r="T258" s="85"/>
      <c r="U258" s="87"/>
      <c r="V258" s="87"/>
      <c r="W258" s="87"/>
      <c r="X258" s="85"/>
      <c r="Y258" s="85"/>
      <c r="Z258" s="87"/>
      <c r="AA258" s="85"/>
      <c r="AB258" s="85"/>
      <c r="AC258" s="85"/>
      <c r="AD258" s="87"/>
      <c r="AE258" s="85"/>
      <c r="AF258" s="85"/>
      <c r="AG258" s="85"/>
      <c r="AH258" s="85"/>
      <c r="AI258" s="85"/>
      <c r="AJ258" s="85"/>
      <c r="AK258" s="87"/>
      <c r="AL258" s="85"/>
      <c r="AM258" s="85"/>
      <c r="AN258" s="85"/>
      <c r="AO258" s="87"/>
      <c r="AP258" s="237"/>
    </row>
    <row r="259" hidden="1">
      <c r="A259" s="260" t="s">
        <v>122</v>
      </c>
      <c r="B259" s="261"/>
      <c r="C259" s="261"/>
      <c r="D259" s="261"/>
      <c r="E259" s="85"/>
      <c r="F259" s="86" t="s">
        <v>21</v>
      </c>
      <c r="G259" s="87"/>
      <c r="H259" s="88" t="s">
        <v>22</v>
      </c>
      <c r="I259" s="85"/>
      <c r="J259" s="85"/>
      <c r="K259" s="88"/>
      <c r="L259" s="247"/>
      <c r="M259" s="85"/>
      <c r="N259" s="88"/>
      <c r="O259" s="88"/>
      <c r="P259" s="88"/>
      <c r="Q259" s="85"/>
      <c r="R259" s="89"/>
      <c r="S259" s="89"/>
      <c r="T259" s="85"/>
      <c r="U259" s="89"/>
      <c r="V259" s="89"/>
      <c r="W259" s="89"/>
      <c r="X259" s="85"/>
      <c r="Y259" s="85"/>
      <c r="Z259" s="89"/>
      <c r="AA259" s="85"/>
      <c r="AB259" s="85"/>
      <c r="AC259" s="85"/>
      <c r="AD259" s="89"/>
      <c r="AE259" s="85"/>
      <c r="AF259" s="90"/>
      <c r="AG259" s="90"/>
      <c r="AH259" s="90"/>
      <c r="AI259" s="90"/>
      <c r="AJ259" s="90"/>
      <c r="AK259" s="89"/>
      <c r="AL259" s="85"/>
      <c r="AM259" s="85"/>
      <c r="AN259" s="91">
        <f>G259+SUM(I259:AL259)-SUM(I260:AL260)</f>
        <v>0</v>
      </c>
      <c r="AO259" s="91"/>
      <c r="AP259" s="237"/>
    </row>
    <row r="260" hidden="1">
      <c r="A260" s="92"/>
      <c r="B260" s="17"/>
      <c r="C260" s="17"/>
      <c r="D260" s="17"/>
      <c r="E260" s="17"/>
      <c r="F260" s="18"/>
      <c r="G260" s="87"/>
      <c r="H260" s="88" t="s">
        <v>23</v>
      </c>
      <c r="I260" s="85"/>
      <c r="J260" s="85"/>
      <c r="K260" s="88"/>
      <c r="L260" s="247"/>
      <c r="M260" s="85"/>
      <c r="N260" s="88"/>
      <c r="O260" s="88"/>
      <c r="P260" s="88"/>
      <c r="Q260" s="85"/>
      <c r="R260" s="89"/>
      <c r="S260" s="89"/>
      <c r="T260" s="85"/>
      <c r="U260" s="89"/>
      <c r="V260" s="89"/>
      <c r="W260" s="89"/>
      <c r="X260" s="85"/>
      <c r="Y260" s="85"/>
      <c r="Z260" s="89"/>
      <c r="AA260" s="85"/>
      <c r="AB260" s="85"/>
      <c r="AC260" s="85"/>
      <c r="AD260" s="89"/>
      <c r="AE260" s="85"/>
      <c r="AF260" s="90"/>
      <c r="AG260" s="90"/>
      <c r="AH260" s="90"/>
      <c r="AI260" s="90"/>
      <c r="AJ260" s="90"/>
      <c r="AK260" s="89"/>
      <c r="AL260" s="85"/>
      <c r="AM260" s="85"/>
      <c r="AN260" s="32"/>
      <c r="AO260" s="32"/>
      <c r="AP260" s="237"/>
    </row>
    <row r="261" hidden="1">
      <c r="A261" s="87"/>
      <c r="B261" s="87"/>
      <c r="C261" s="87"/>
      <c r="D261" s="87"/>
      <c r="E261" s="85"/>
      <c r="F261" s="87"/>
      <c r="G261" s="87"/>
      <c r="H261" s="87"/>
      <c r="I261" s="85"/>
      <c r="J261" s="85"/>
      <c r="K261" s="87"/>
      <c r="L261" s="247"/>
      <c r="M261" s="85"/>
      <c r="N261" s="87"/>
      <c r="O261" s="87"/>
      <c r="P261" s="87"/>
      <c r="Q261" s="85"/>
      <c r="R261" s="87"/>
      <c r="S261" s="87"/>
      <c r="T261" s="85"/>
      <c r="U261" s="87"/>
      <c r="V261" s="87"/>
      <c r="W261" s="87"/>
      <c r="X261" s="85"/>
      <c r="Y261" s="85"/>
      <c r="Z261" s="87"/>
      <c r="AA261" s="85"/>
      <c r="AB261" s="85"/>
      <c r="AC261" s="85"/>
      <c r="AD261" s="87"/>
      <c r="AE261" s="85"/>
      <c r="AF261" s="85"/>
      <c r="AG261" s="85"/>
      <c r="AH261" s="85"/>
      <c r="AI261" s="85"/>
      <c r="AJ261" s="85"/>
      <c r="AK261" s="87"/>
      <c r="AL261" s="85"/>
      <c r="AM261" s="85"/>
      <c r="AN261" s="85"/>
      <c r="AO261" s="87"/>
      <c r="AP261" s="237"/>
    </row>
    <row r="262" hidden="1">
      <c r="A262" s="262" t="s">
        <v>123</v>
      </c>
      <c r="B262" s="87"/>
      <c r="C262" s="87"/>
      <c r="D262" s="87"/>
      <c r="E262" s="85"/>
      <c r="F262" s="86" t="s">
        <v>21</v>
      </c>
      <c r="G262" s="87"/>
      <c r="H262" s="88" t="s">
        <v>22</v>
      </c>
      <c r="I262" s="85"/>
      <c r="J262" s="85"/>
      <c r="K262" s="87"/>
      <c r="L262" s="247"/>
      <c r="M262" s="85"/>
      <c r="N262" s="87"/>
      <c r="O262" s="87"/>
      <c r="P262" s="87"/>
      <c r="Q262" s="85"/>
      <c r="R262" s="87"/>
      <c r="S262" s="87"/>
      <c r="T262" s="85"/>
      <c r="U262" s="87"/>
      <c r="V262" s="87"/>
      <c r="W262" s="87"/>
      <c r="X262" s="85"/>
      <c r="Y262" s="85"/>
      <c r="Z262" s="87"/>
      <c r="AA262" s="85"/>
      <c r="AB262" s="85"/>
      <c r="AC262" s="85"/>
      <c r="AD262" s="87"/>
      <c r="AE262" s="85"/>
      <c r="AF262" s="85"/>
      <c r="AG262" s="85"/>
      <c r="AH262" s="85"/>
      <c r="AI262" s="85"/>
      <c r="AJ262" s="85"/>
      <c r="AK262" s="87"/>
      <c r="AL262" s="85"/>
      <c r="AM262" s="85"/>
      <c r="AN262" s="91">
        <f>G262+SUM(I262:AL262)-SUM(I263:AL263)</f>
        <v>0</v>
      </c>
      <c r="AO262" s="91"/>
      <c r="AP262" s="237"/>
    </row>
    <row r="263" hidden="1">
      <c r="A263" s="96"/>
      <c r="B263" s="17"/>
      <c r="C263" s="17"/>
      <c r="D263" s="17"/>
      <c r="E263" s="17"/>
      <c r="F263" s="18"/>
      <c r="G263" s="87"/>
      <c r="H263" s="88" t="s">
        <v>23</v>
      </c>
      <c r="I263" s="85"/>
      <c r="J263" s="85"/>
      <c r="K263" s="87"/>
      <c r="L263" s="247"/>
      <c r="M263" s="85"/>
      <c r="N263" s="87"/>
      <c r="O263" s="87"/>
      <c r="P263" s="87"/>
      <c r="Q263" s="85"/>
      <c r="R263" s="87"/>
      <c r="S263" s="87"/>
      <c r="T263" s="85"/>
      <c r="U263" s="87"/>
      <c r="V263" s="87"/>
      <c r="W263" s="87"/>
      <c r="X263" s="85"/>
      <c r="Y263" s="85"/>
      <c r="Z263" s="87"/>
      <c r="AA263" s="85"/>
      <c r="AB263" s="85"/>
      <c r="AC263" s="85"/>
      <c r="AD263" s="87"/>
      <c r="AE263" s="85"/>
      <c r="AF263" s="85"/>
      <c r="AG263" s="85"/>
      <c r="AH263" s="85"/>
      <c r="AI263" s="85"/>
      <c r="AJ263" s="85"/>
      <c r="AK263" s="87"/>
      <c r="AL263" s="85"/>
      <c r="AM263" s="85"/>
      <c r="AN263" s="32"/>
      <c r="AO263" s="32"/>
      <c r="AP263" s="237"/>
    </row>
    <row r="264" hidden="1">
      <c r="A264" s="87"/>
      <c r="B264" s="87"/>
      <c r="C264" s="87"/>
      <c r="D264" s="87"/>
      <c r="E264" s="85"/>
      <c r="F264" s="87"/>
      <c r="G264" s="87"/>
      <c r="H264" s="87"/>
      <c r="I264" s="85"/>
      <c r="J264" s="85"/>
      <c r="K264" s="87"/>
      <c r="L264" s="247"/>
      <c r="M264" s="85"/>
      <c r="N264" s="87"/>
      <c r="O264" s="87"/>
      <c r="P264" s="87"/>
      <c r="Q264" s="85"/>
      <c r="R264" s="87"/>
      <c r="S264" s="87"/>
      <c r="T264" s="85"/>
      <c r="U264" s="87"/>
      <c r="V264" s="87"/>
      <c r="W264" s="87"/>
      <c r="X264" s="85"/>
      <c r="Y264" s="85"/>
      <c r="Z264" s="87"/>
      <c r="AA264" s="85"/>
      <c r="AB264" s="85"/>
      <c r="AC264" s="85"/>
      <c r="AD264" s="87"/>
      <c r="AE264" s="85"/>
      <c r="AF264" s="85"/>
      <c r="AG264" s="85"/>
      <c r="AH264" s="85"/>
      <c r="AI264" s="85"/>
      <c r="AJ264" s="85"/>
      <c r="AK264" s="87"/>
      <c r="AL264" s="85"/>
      <c r="AM264" s="85"/>
      <c r="AN264" s="85"/>
      <c r="AO264" s="87"/>
      <c r="AP264" s="237"/>
    </row>
    <row r="265">
      <c r="A265" s="24" t="s">
        <v>124</v>
      </c>
      <c r="B265" s="17"/>
      <c r="C265" s="17"/>
      <c r="D265" s="18"/>
      <c r="E265" s="57"/>
      <c r="F265" s="25"/>
      <c r="G265" s="28">
        <v>6.0</v>
      </c>
      <c r="H265" s="7" t="s">
        <v>22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>
        <v>8.0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28"/>
      <c r="AI265" s="28"/>
      <c r="AJ265" s="27"/>
      <c r="AK265" s="28"/>
      <c r="AL265" s="27"/>
      <c r="AM265" s="27"/>
      <c r="AN265" s="29">
        <f>G265+SUM(I265:AM265)-SUM(I266:AM266)</f>
        <v>-2</v>
      </c>
      <c r="AO265" s="236"/>
      <c r="AP265" s="236"/>
    </row>
    <row r="266">
      <c r="A266" s="31"/>
      <c r="B266" s="17"/>
      <c r="C266" s="17"/>
      <c r="D266" s="17"/>
      <c r="E266" s="17"/>
      <c r="F266" s="18"/>
      <c r="G266" s="27"/>
      <c r="H266" s="7" t="s">
        <v>23</v>
      </c>
      <c r="I266" s="7"/>
      <c r="J266" s="7"/>
      <c r="K266" s="7"/>
      <c r="L266" s="7">
        <v>1.0</v>
      </c>
      <c r="M266" s="7"/>
      <c r="N266" s="7">
        <v>1.0</v>
      </c>
      <c r="O266" s="7">
        <v>1.0</v>
      </c>
      <c r="P266" s="7"/>
      <c r="Q266" s="7"/>
      <c r="R266" s="7"/>
      <c r="S266" s="7">
        <f>1+1</f>
        <v>2</v>
      </c>
      <c r="T266" s="7"/>
      <c r="U266" s="7">
        <v>1.0</v>
      </c>
      <c r="V266" s="7"/>
      <c r="W266" s="7">
        <f>1+1</f>
        <v>2</v>
      </c>
      <c r="X266" s="7"/>
      <c r="Y266" s="7"/>
      <c r="Z266" s="7">
        <f>1+1</f>
        <v>2</v>
      </c>
      <c r="AA266" s="7">
        <v>1.0</v>
      </c>
      <c r="AB266" s="7"/>
      <c r="AC266" s="7"/>
      <c r="AD266" s="7"/>
      <c r="AE266" s="7">
        <v>1.0</v>
      </c>
      <c r="AF266" s="7"/>
      <c r="AG266" s="7">
        <f>1+1</f>
        <v>2</v>
      </c>
      <c r="AH266" s="28"/>
      <c r="AI266" s="28"/>
      <c r="AJ266" s="28"/>
      <c r="AK266" s="28">
        <v>1.0</v>
      </c>
      <c r="AL266" s="28">
        <v>1.0</v>
      </c>
      <c r="AM266" s="28"/>
      <c r="AN266" s="32"/>
      <c r="AO266" s="32"/>
      <c r="AP266" s="32"/>
    </row>
    <row r="267">
      <c r="A267" s="33"/>
      <c r="B267" s="33"/>
      <c r="C267" s="33"/>
      <c r="D267" s="33"/>
      <c r="E267" s="25"/>
      <c r="F267" s="25"/>
      <c r="G267" s="25"/>
      <c r="H267" s="25"/>
      <c r="I267" s="7"/>
      <c r="J267" s="7"/>
      <c r="K267" s="7"/>
      <c r="L267" s="263"/>
      <c r="M267" s="35"/>
      <c r="N267" s="263"/>
      <c r="O267" s="263"/>
      <c r="P267" s="35"/>
      <c r="Q267" s="35"/>
      <c r="R267" s="7"/>
      <c r="S267" s="263"/>
      <c r="T267" s="35"/>
      <c r="U267" s="263"/>
      <c r="V267" s="35"/>
      <c r="W267" s="263"/>
      <c r="X267" s="264"/>
      <c r="Y267" s="7"/>
      <c r="Z267" s="263"/>
      <c r="AA267" s="263"/>
      <c r="AB267" s="35"/>
      <c r="AC267" s="35"/>
      <c r="AD267" s="35"/>
      <c r="AE267" s="263"/>
      <c r="AF267" s="7"/>
      <c r="AG267" s="263"/>
      <c r="AH267" s="38"/>
      <c r="AI267" s="38"/>
      <c r="AJ267" s="10"/>
      <c r="AK267" s="265"/>
      <c r="AL267" s="101"/>
      <c r="AM267" s="27"/>
      <c r="AN267" s="39"/>
      <c r="AO267" s="237"/>
      <c r="AP267" s="237"/>
    </row>
    <row r="268">
      <c r="A268" s="24" t="s">
        <v>126</v>
      </c>
      <c r="B268" s="17"/>
      <c r="C268" s="17"/>
      <c r="D268" s="18"/>
      <c r="E268" s="57"/>
      <c r="F268" s="25"/>
      <c r="G268" s="28">
        <v>10.0</v>
      </c>
      <c r="H268" s="7" t="s">
        <v>22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>
        <v>11.0</v>
      </c>
      <c r="AA268" s="7"/>
      <c r="AB268" s="7"/>
      <c r="AC268" s="7"/>
      <c r="AD268" s="7"/>
      <c r="AE268" s="7"/>
      <c r="AF268" s="7"/>
      <c r="AG268" s="7"/>
      <c r="AH268" s="28"/>
      <c r="AI268" s="28"/>
      <c r="AJ268" s="27"/>
      <c r="AK268" s="28"/>
      <c r="AL268" s="27"/>
      <c r="AM268" s="27"/>
      <c r="AN268" s="29">
        <f>G268+SUM(I268:AM268)-SUM(I269:AM269)</f>
        <v>3</v>
      </c>
      <c r="AO268" s="236"/>
      <c r="AP268" s="236"/>
    </row>
    <row r="269">
      <c r="A269" s="24"/>
      <c r="B269" s="17"/>
      <c r="C269" s="17"/>
      <c r="D269" s="17"/>
      <c r="E269" s="17"/>
      <c r="F269" s="18"/>
      <c r="G269" s="27"/>
      <c r="H269" s="7" t="s">
        <v>23</v>
      </c>
      <c r="I269" s="7"/>
      <c r="J269" s="7"/>
      <c r="K269" s="7"/>
      <c r="L269" s="7">
        <v>2.0</v>
      </c>
      <c r="M269" s="7"/>
      <c r="N269" s="7">
        <v>1.0</v>
      </c>
      <c r="O269" s="7"/>
      <c r="P269" s="7">
        <v>1.0</v>
      </c>
      <c r="Q269" s="7"/>
      <c r="R269" s="28"/>
      <c r="S269" s="28">
        <v>1.0</v>
      </c>
      <c r="T269" s="28">
        <v>1.0</v>
      </c>
      <c r="U269" s="28">
        <v>1.0</v>
      </c>
      <c r="V269" s="28"/>
      <c r="W269" s="28"/>
      <c r="X269" s="28">
        <v>1.0</v>
      </c>
      <c r="Y269" s="28"/>
      <c r="Z269" s="28"/>
      <c r="AA269" s="28">
        <v>1.0</v>
      </c>
      <c r="AB269" s="28">
        <f>1+2</f>
        <v>3</v>
      </c>
      <c r="AC269" s="28">
        <v>1.0</v>
      </c>
      <c r="AD269" s="28"/>
      <c r="AE269" s="28">
        <v>1.0</v>
      </c>
      <c r="AF269" s="28"/>
      <c r="AG269" s="28">
        <v>1.0</v>
      </c>
      <c r="AH269" s="28">
        <v>1.0</v>
      </c>
      <c r="AI269" s="28"/>
      <c r="AJ269" s="28">
        <v>1.0</v>
      </c>
      <c r="AK269" s="28"/>
      <c r="AL269" s="28">
        <v>1.0</v>
      </c>
      <c r="AM269" s="28"/>
      <c r="AN269" s="32"/>
      <c r="AO269" s="32"/>
      <c r="AP269" s="32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276"/>
      <c r="M270" s="98"/>
      <c r="N270" s="209"/>
      <c r="O270" s="98"/>
      <c r="P270" s="209"/>
      <c r="Q270" s="98"/>
      <c r="R270" s="97"/>
      <c r="S270" s="209"/>
      <c r="T270" s="209"/>
      <c r="U270" s="209"/>
      <c r="V270" s="98"/>
      <c r="W270" s="98"/>
      <c r="X270" s="209"/>
      <c r="Y270" s="97"/>
      <c r="Z270" s="98"/>
      <c r="AA270" s="209"/>
      <c r="AB270" s="209"/>
      <c r="AC270" s="209"/>
      <c r="AD270" s="98"/>
      <c r="AE270" s="209"/>
      <c r="AF270" s="97"/>
      <c r="AG270" s="209"/>
      <c r="AH270" s="209"/>
      <c r="AI270" s="98"/>
      <c r="AJ270" s="209"/>
      <c r="AK270" s="98"/>
      <c r="AL270" s="209"/>
      <c r="AM270" s="97"/>
      <c r="AN270" s="97"/>
      <c r="AO270" s="97"/>
      <c r="AP270" s="97"/>
    </row>
    <row r="271" hidden="1">
      <c r="A271" s="24" t="s">
        <v>179</v>
      </c>
      <c r="B271" s="17"/>
      <c r="C271" s="17"/>
      <c r="D271" s="18"/>
      <c r="E271" s="57"/>
      <c r="F271" s="25"/>
      <c r="G271" s="28"/>
      <c r="H271" s="7" t="s">
        <v>22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28"/>
      <c r="AI271" s="28"/>
      <c r="AJ271" s="27"/>
      <c r="AK271" s="28"/>
      <c r="AL271" s="27"/>
      <c r="AM271" s="27"/>
      <c r="AN271" s="29">
        <f>G271+SUM(I271:AL271)-SUM(I272:AL272)</f>
        <v>0</v>
      </c>
      <c r="AO271" s="236"/>
      <c r="AP271" s="236"/>
    </row>
    <row r="272" hidden="1">
      <c r="A272" s="24"/>
      <c r="B272" s="17"/>
      <c r="C272" s="17"/>
      <c r="D272" s="17"/>
      <c r="E272" s="17"/>
      <c r="F272" s="18"/>
      <c r="G272" s="27"/>
      <c r="H272" s="7" t="s">
        <v>23</v>
      </c>
      <c r="I272" s="7"/>
      <c r="J272" s="7"/>
      <c r="K272" s="7"/>
      <c r="L272" s="7"/>
      <c r="M272" s="7"/>
      <c r="N272" s="7"/>
      <c r="O272" s="7"/>
      <c r="P272" s="7"/>
      <c r="Q272" s="7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32"/>
      <c r="AO272" s="32"/>
      <c r="AP272" s="32"/>
    </row>
    <row r="273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26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  <c r="AI273" s="97"/>
      <c r="AJ273" s="97"/>
      <c r="AK273" s="97"/>
      <c r="AL273" s="97"/>
      <c r="AM273" s="97"/>
      <c r="AN273" s="97"/>
      <c r="AO273" s="97"/>
      <c r="AP273" s="97"/>
    </row>
    <row r="274" hidden="1">
      <c r="A274" s="223"/>
      <c r="B274" s="223"/>
      <c r="C274" s="223"/>
      <c r="D274" s="223"/>
      <c r="E274" s="224"/>
      <c r="F274" s="225"/>
      <c r="G274" s="1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"/>
      <c r="AI274" s="1"/>
      <c r="AJ274" s="2"/>
      <c r="AK274" s="1"/>
      <c r="AL274" s="2"/>
      <c r="AM274" s="2"/>
      <c r="AN274" s="30"/>
    </row>
    <row r="275">
      <c r="A275" s="227" t="s">
        <v>169</v>
      </c>
      <c r="B275" s="223"/>
      <c r="C275" s="223"/>
      <c r="D275" s="223"/>
      <c r="E275" s="224"/>
      <c r="F275" s="225"/>
      <c r="G275" s="1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"/>
      <c r="AI275" s="1"/>
      <c r="AJ275" s="2"/>
      <c r="AK275" s="1"/>
      <c r="AL275" s="2"/>
      <c r="AM275" s="2"/>
      <c r="AN275" s="30"/>
    </row>
    <row r="276">
      <c r="A276" s="24" t="s">
        <v>170</v>
      </c>
      <c r="B276" s="17"/>
      <c r="C276" s="17"/>
      <c r="D276" s="18"/>
      <c r="E276" s="57"/>
      <c r="F276" s="25"/>
      <c r="G276" s="28"/>
      <c r="H276" s="7" t="s">
        <v>139</v>
      </c>
      <c r="I276" s="7"/>
      <c r="J276" s="7"/>
      <c r="K276" s="7"/>
      <c r="L276" s="41"/>
      <c r="M276" s="41"/>
      <c r="N276" s="41"/>
      <c r="O276" s="41"/>
      <c r="P276" s="41"/>
      <c r="Q276" s="41"/>
      <c r="R276" s="7"/>
      <c r="S276" s="41"/>
      <c r="T276" s="41"/>
      <c r="U276" s="41"/>
      <c r="V276" s="41"/>
      <c r="W276" s="41"/>
      <c r="X276" s="35"/>
      <c r="Y276" s="7"/>
      <c r="Z276" s="41"/>
      <c r="AA276" s="41"/>
      <c r="AB276" s="41"/>
      <c r="AC276" s="41"/>
      <c r="AD276" s="41"/>
      <c r="AE276" s="35"/>
      <c r="AF276" s="7"/>
      <c r="AG276" s="41"/>
      <c r="AH276" s="42"/>
      <c r="AI276" s="42"/>
      <c r="AJ276" s="6"/>
      <c r="AK276" s="42"/>
      <c r="AL276" s="6"/>
      <c r="AM276" s="27"/>
      <c r="AN276" s="29"/>
    </row>
    <row r="277">
      <c r="A277" s="31"/>
      <c r="B277" s="17"/>
      <c r="C277" s="17"/>
      <c r="D277" s="17"/>
      <c r="E277" s="17"/>
      <c r="F277" s="18"/>
      <c r="G277" s="27"/>
      <c r="H277" s="7" t="s">
        <v>140</v>
      </c>
      <c r="I277" s="7"/>
      <c r="J277" s="7"/>
      <c r="K277" s="7"/>
      <c r="L277" s="41"/>
      <c r="M277" s="41"/>
      <c r="N277" s="41"/>
      <c r="O277" s="41"/>
      <c r="P277" s="41"/>
      <c r="Q277" s="41"/>
      <c r="R277" s="7"/>
      <c r="S277" s="41"/>
      <c r="T277" s="41"/>
      <c r="U277" s="41"/>
      <c r="V277" s="41"/>
      <c r="W277" s="41"/>
      <c r="X277" s="41"/>
      <c r="Y277" s="7"/>
      <c r="Z277" s="35"/>
      <c r="AA277" s="35"/>
      <c r="AB277" s="41"/>
      <c r="AC277" s="35"/>
      <c r="AD277" s="35"/>
      <c r="AE277" s="35"/>
      <c r="AF277" s="7"/>
      <c r="AG277" s="35"/>
      <c r="AH277" s="38"/>
      <c r="AI277" s="42"/>
      <c r="AJ277" s="6"/>
      <c r="AK277" s="42"/>
      <c r="AL277" s="42"/>
      <c r="AM277" s="28"/>
      <c r="AN277" s="32"/>
    </row>
    <row r="278">
      <c r="A278" s="24" t="s">
        <v>171</v>
      </c>
      <c r="B278" s="17"/>
      <c r="C278" s="17"/>
      <c r="D278" s="18"/>
      <c r="E278" s="57"/>
      <c r="F278" s="25"/>
      <c r="G278" s="28"/>
      <c r="H278" s="7" t="s">
        <v>140</v>
      </c>
      <c r="I278" s="7"/>
      <c r="J278" s="7"/>
      <c r="K278" s="7"/>
      <c r="L278" s="35"/>
      <c r="M278" s="35"/>
      <c r="N278" s="35"/>
      <c r="O278" s="35"/>
      <c r="P278" s="35"/>
      <c r="Q278" s="35"/>
      <c r="R278" s="7"/>
      <c r="S278" s="41"/>
      <c r="T278" s="41"/>
      <c r="U278" s="35"/>
      <c r="V278" s="41"/>
      <c r="W278" s="35"/>
      <c r="X278" s="35"/>
      <c r="Y278" s="7"/>
      <c r="Z278" s="35"/>
      <c r="AA278" s="35"/>
      <c r="AB278" s="35"/>
      <c r="AC278" s="41"/>
      <c r="AD278" s="41"/>
      <c r="AE278" s="35"/>
      <c r="AF278" s="7"/>
      <c r="AG278" s="35"/>
      <c r="AH278" s="38"/>
      <c r="AI278" s="38"/>
      <c r="AJ278" s="10"/>
      <c r="AK278" s="38"/>
      <c r="AL278" s="10"/>
      <c r="AM278" s="27"/>
      <c r="AN278" s="39"/>
    </row>
    <row r="279">
      <c r="L279" s="254"/>
    </row>
    <row r="280">
      <c r="L280" s="254"/>
    </row>
  </sheetData>
  <mergeCells count="430">
    <mergeCell ref="AO97:AO98"/>
    <mergeCell ref="AP97:AP98"/>
    <mergeCell ref="AN90:AN91"/>
    <mergeCell ref="AO90:AO91"/>
    <mergeCell ref="AP90:AP91"/>
    <mergeCell ref="AN94:AN95"/>
    <mergeCell ref="AO94:AO95"/>
    <mergeCell ref="AP94:AP95"/>
    <mergeCell ref="AN97:AN98"/>
    <mergeCell ref="AO126:AO127"/>
    <mergeCell ref="AP126:AP127"/>
    <mergeCell ref="AN120:AN121"/>
    <mergeCell ref="AO120:AO121"/>
    <mergeCell ref="AP120:AP121"/>
    <mergeCell ref="AN123:AN124"/>
    <mergeCell ref="AO123:AO124"/>
    <mergeCell ref="AP123:AP124"/>
    <mergeCell ref="AN126:AN127"/>
    <mergeCell ref="AO135:AO136"/>
    <mergeCell ref="AP135:AP136"/>
    <mergeCell ref="AN129:AN130"/>
    <mergeCell ref="AO129:AO130"/>
    <mergeCell ref="AP129:AP130"/>
    <mergeCell ref="AN132:AN133"/>
    <mergeCell ref="AO132:AO133"/>
    <mergeCell ref="AP132:AP133"/>
    <mergeCell ref="AN135:AN136"/>
    <mergeCell ref="AO144:AO145"/>
    <mergeCell ref="AP144:AP145"/>
    <mergeCell ref="AN138:AN139"/>
    <mergeCell ref="AO138:AO139"/>
    <mergeCell ref="AP138:AP139"/>
    <mergeCell ref="AN141:AN142"/>
    <mergeCell ref="AO141:AO142"/>
    <mergeCell ref="AP141:AP142"/>
    <mergeCell ref="AN144:AN145"/>
    <mergeCell ref="AO153:AO154"/>
    <mergeCell ref="AP153:AP154"/>
    <mergeCell ref="AN147:AN148"/>
    <mergeCell ref="AO147:AO148"/>
    <mergeCell ref="AP147:AP148"/>
    <mergeCell ref="AN150:AN151"/>
    <mergeCell ref="AO150:AO151"/>
    <mergeCell ref="AP150:AP151"/>
    <mergeCell ref="AN153:AN154"/>
    <mergeCell ref="AO162:AO163"/>
    <mergeCell ref="AP162:AP163"/>
    <mergeCell ref="AN156:AN157"/>
    <mergeCell ref="AO156:AO157"/>
    <mergeCell ref="AP156:AP157"/>
    <mergeCell ref="AN159:AN160"/>
    <mergeCell ref="AO159:AO160"/>
    <mergeCell ref="AP159:AP160"/>
    <mergeCell ref="AN162:AN163"/>
    <mergeCell ref="AO171:AO172"/>
    <mergeCell ref="AP171:AP172"/>
    <mergeCell ref="AN165:AN166"/>
    <mergeCell ref="AO165:AO166"/>
    <mergeCell ref="AP165:AP166"/>
    <mergeCell ref="AN168:AN169"/>
    <mergeCell ref="AO168:AO169"/>
    <mergeCell ref="AP168:AP169"/>
    <mergeCell ref="AN171:AN172"/>
    <mergeCell ref="A180:D180"/>
    <mergeCell ref="A181:F181"/>
    <mergeCell ref="A183:D183"/>
    <mergeCell ref="A184:F184"/>
    <mergeCell ref="A186:D186"/>
    <mergeCell ref="A189:F189"/>
    <mergeCell ref="A190:D190"/>
    <mergeCell ref="A191:F191"/>
    <mergeCell ref="A193:D193"/>
    <mergeCell ref="A194:F194"/>
    <mergeCell ref="A196:D196"/>
    <mergeCell ref="A197:F197"/>
    <mergeCell ref="A199:D199"/>
    <mergeCell ref="A200:F200"/>
    <mergeCell ref="A212:F212"/>
    <mergeCell ref="A214:D214"/>
    <mergeCell ref="A217:G217"/>
    <mergeCell ref="A218:D218"/>
    <mergeCell ref="A219:F219"/>
    <mergeCell ref="A221:D221"/>
    <mergeCell ref="A222:F222"/>
    <mergeCell ref="A224:G224"/>
    <mergeCell ref="A225:D225"/>
    <mergeCell ref="A226:F226"/>
    <mergeCell ref="A228:D228"/>
    <mergeCell ref="A229:F229"/>
    <mergeCell ref="A231:D231"/>
    <mergeCell ref="A234:G234"/>
    <mergeCell ref="A235:D235"/>
    <mergeCell ref="A236:F236"/>
    <mergeCell ref="A238:D238"/>
    <mergeCell ref="A239:F239"/>
    <mergeCell ref="A241:D241"/>
    <mergeCell ref="A242:F242"/>
    <mergeCell ref="A244:D244"/>
    <mergeCell ref="A245:F245"/>
    <mergeCell ref="A247:D247"/>
    <mergeCell ref="A248:F248"/>
    <mergeCell ref="A250:D250"/>
    <mergeCell ref="A251:F251"/>
    <mergeCell ref="A253:D253"/>
    <mergeCell ref="A254:F254"/>
    <mergeCell ref="A271:D271"/>
    <mergeCell ref="A272:F272"/>
    <mergeCell ref="A276:D276"/>
    <mergeCell ref="A277:F277"/>
    <mergeCell ref="A278:D278"/>
    <mergeCell ref="A257:F257"/>
    <mergeCell ref="A260:F260"/>
    <mergeCell ref="A263:F263"/>
    <mergeCell ref="A265:D265"/>
    <mergeCell ref="A266:F266"/>
    <mergeCell ref="A268:D268"/>
    <mergeCell ref="A269:F269"/>
    <mergeCell ref="A117:D117"/>
    <mergeCell ref="A118:F118"/>
    <mergeCell ref="A120:D120"/>
    <mergeCell ref="A121:F121"/>
    <mergeCell ref="A123:D123"/>
    <mergeCell ref="A124:F124"/>
    <mergeCell ref="A126:D126"/>
    <mergeCell ref="A127:F127"/>
    <mergeCell ref="A129:D129"/>
    <mergeCell ref="A130:F130"/>
    <mergeCell ref="A132:D132"/>
    <mergeCell ref="A133:F133"/>
    <mergeCell ref="A135:D135"/>
    <mergeCell ref="A136:F136"/>
    <mergeCell ref="A138:D138"/>
    <mergeCell ref="A139:F139"/>
    <mergeCell ref="A141:D141"/>
    <mergeCell ref="A142:F142"/>
    <mergeCell ref="A144:D144"/>
    <mergeCell ref="A145:F145"/>
    <mergeCell ref="A147:D147"/>
    <mergeCell ref="A148:F148"/>
    <mergeCell ref="A150:D150"/>
    <mergeCell ref="A151:F151"/>
    <mergeCell ref="A153:D153"/>
    <mergeCell ref="A154:F154"/>
    <mergeCell ref="A156:D156"/>
    <mergeCell ref="A157:F157"/>
    <mergeCell ref="A159:D159"/>
    <mergeCell ref="A160:F160"/>
    <mergeCell ref="A162:D162"/>
    <mergeCell ref="A163:F163"/>
    <mergeCell ref="A165:D165"/>
    <mergeCell ref="A166:F166"/>
    <mergeCell ref="A168:D168"/>
    <mergeCell ref="A169:F169"/>
    <mergeCell ref="A171:D171"/>
    <mergeCell ref="A172:F172"/>
    <mergeCell ref="A174:D174"/>
    <mergeCell ref="A175:F175"/>
    <mergeCell ref="A177:D177"/>
    <mergeCell ref="A178:F178"/>
    <mergeCell ref="A202:D202"/>
    <mergeCell ref="A203:F203"/>
    <mergeCell ref="A205:D205"/>
    <mergeCell ref="A206:F206"/>
    <mergeCell ref="A208:D208"/>
    <mergeCell ref="A209:F209"/>
    <mergeCell ref="A211:D211"/>
    <mergeCell ref="P3:R3"/>
    <mergeCell ref="A5:E5"/>
    <mergeCell ref="A7:E7"/>
    <mergeCell ref="A9:F9"/>
    <mergeCell ref="AN10:AN11"/>
    <mergeCell ref="AO10:AO11"/>
    <mergeCell ref="AP10:AP11"/>
    <mergeCell ref="AO19:AO20"/>
    <mergeCell ref="AP19:AP20"/>
    <mergeCell ref="A10:D10"/>
    <mergeCell ref="A11:F11"/>
    <mergeCell ref="A13:D13"/>
    <mergeCell ref="A14:F14"/>
    <mergeCell ref="A16:D16"/>
    <mergeCell ref="A17:F17"/>
    <mergeCell ref="A19:D19"/>
    <mergeCell ref="AN13:AN14"/>
    <mergeCell ref="AO13:AO14"/>
    <mergeCell ref="AP13:AP14"/>
    <mergeCell ref="AN16:AN17"/>
    <mergeCell ref="AO16:AO17"/>
    <mergeCell ref="AP16:AP17"/>
    <mergeCell ref="AN19:AN20"/>
    <mergeCell ref="A20:F20"/>
    <mergeCell ref="A22:D22"/>
    <mergeCell ref="A23:F23"/>
    <mergeCell ref="A25:D25"/>
    <mergeCell ref="A26:F26"/>
    <mergeCell ref="A28:D28"/>
    <mergeCell ref="A29:F29"/>
    <mergeCell ref="AN32:AN33"/>
    <mergeCell ref="AO32:AO33"/>
    <mergeCell ref="AP32:AP33"/>
    <mergeCell ref="A31:F31"/>
    <mergeCell ref="A32:D32"/>
    <mergeCell ref="A33:F33"/>
    <mergeCell ref="A35:D35"/>
    <mergeCell ref="A36:F36"/>
    <mergeCell ref="A38:D38"/>
    <mergeCell ref="A39:F39"/>
    <mergeCell ref="AO59:AO60"/>
    <mergeCell ref="AP59:AP60"/>
    <mergeCell ref="AN53:AN54"/>
    <mergeCell ref="AO53:AO54"/>
    <mergeCell ref="AP53:AP54"/>
    <mergeCell ref="AN56:AN57"/>
    <mergeCell ref="AO56:AO57"/>
    <mergeCell ref="AP56:AP57"/>
    <mergeCell ref="AN59:AN60"/>
    <mergeCell ref="AO68:AO69"/>
    <mergeCell ref="AP68:AP69"/>
    <mergeCell ref="AN62:AN63"/>
    <mergeCell ref="AO62:AO63"/>
    <mergeCell ref="AP62:AP63"/>
    <mergeCell ref="AN65:AN66"/>
    <mergeCell ref="AO65:AO66"/>
    <mergeCell ref="AP65:AP66"/>
    <mergeCell ref="AN68:AN69"/>
    <mergeCell ref="AO77:AO78"/>
    <mergeCell ref="AP77:AP78"/>
    <mergeCell ref="AN71:AN72"/>
    <mergeCell ref="AO71:AO72"/>
    <mergeCell ref="AP71:AP72"/>
    <mergeCell ref="AN74:AN75"/>
    <mergeCell ref="AO74:AO75"/>
    <mergeCell ref="AP74:AP75"/>
    <mergeCell ref="AN77:AN78"/>
    <mergeCell ref="AO87:AO88"/>
    <mergeCell ref="AP87:AP88"/>
    <mergeCell ref="AN80:AN81"/>
    <mergeCell ref="AO80:AO81"/>
    <mergeCell ref="AP80:AP81"/>
    <mergeCell ref="AN84:AN85"/>
    <mergeCell ref="AO84:AO85"/>
    <mergeCell ref="AP84:AP85"/>
    <mergeCell ref="AN87:AN88"/>
    <mergeCell ref="AO107:AO108"/>
    <mergeCell ref="AP107:AP108"/>
    <mergeCell ref="AN101:AN102"/>
    <mergeCell ref="AO101:AO102"/>
    <mergeCell ref="AP101:AP102"/>
    <mergeCell ref="AN104:AN105"/>
    <mergeCell ref="AO104:AO105"/>
    <mergeCell ref="AP104:AP105"/>
    <mergeCell ref="AN107:AN108"/>
    <mergeCell ref="A41:D41"/>
    <mergeCell ref="A42:F42"/>
    <mergeCell ref="A44:D44"/>
    <mergeCell ref="A45:F45"/>
    <mergeCell ref="A47:D47"/>
    <mergeCell ref="A48:F48"/>
    <mergeCell ref="A50:D50"/>
    <mergeCell ref="A51:F51"/>
    <mergeCell ref="A53:D53"/>
    <mergeCell ref="A54:F54"/>
    <mergeCell ref="A56:D56"/>
    <mergeCell ref="A57:F57"/>
    <mergeCell ref="A59:D59"/>
    <mergeCell ref="A60:F60"/>
    <mergeCell ref="A62:D62"/>
    <mergeCell ref="A63:F63"/>
    <mergeCell ref="A65:D65"/>
    <mergeCell ref="A66:F66"/>
    <mergeCell ref="A68:D68"/>
    <mergeCell ref="A69:F69"/>
    <mergeCell ref="A71:D71"/>
    <mergeCell ref="A72:F72"/>
    <mergeCell ref="A74:D74"/>
    <mergeCell ref="A75:F75"/>
    <mergeCell ref="A77:D77"/>
    <mergeCell ref="A78:F78"/>
    <mergeCell ref="A80:D80"/>
    <mergeCell ref="A83:F83"/>
    <mergeCell ref="A84:D84"/>
    <mergeCell ref="A85:F85"/>
    <mergeCell ref="A87:D87"/>
    <mergeCell ref="A88:F88"/>
    <mergeCell ref="A90:D90"/>
    <mergeCell ref="A93:F93"/>
    <mergeCell ref="A94:D94"/>
    <mergeCell ref="A95:F95"/>
    <mergeCell ref="A97:D97"/>
    <mergeCell ref="A100:F100"/>
    <mergeCell ref="A101:D101"/>
    <mergeCell ref="A102:F102"/>
    <mergeCell ref="A104:D104"/>
    <mergeCell ref="A105:F105"/>
    <mergeCell ref="A107:D107"/>
    <mergeCell ref="A108:F108"/>
    <mergeCell ref="A110:D110"/>
    <mergeCell ref="A111:F111"/>
    <mergeCell ref="A113:D113"/>
    <mergeCell ref="A114:F114"/>
    <mergeCell ref="A116:F116"/>
    <mergeCell ref="AO238:AO239"/>
    <mergeCell ref="AP238:AP239"/>
    <mergeCell ref="AN231:AN232"/>
    <mergeCell ref="AO231:AO232"/>
    <mergeCell ref="AP231:AP232"/>
    <mergeCell ref="AN235:AN236"/>
    <mergeCell ref="AO235:AO236"/>
    <mergeCell ref="AP235:AP236"/>
    <mergeCell ref="AN238:AN239"/>
    <mergeCell ref="AO247:AO248"/>
    <mergeCell ref="AP247:AP248"/>
    <mergeCell ref="AN241:AN242"/>
    <mergeCell ref="AO241:AO242"/>
    <mergeCell ref="AP241:AP242"/>
    <mergeCell ref="AN244:AN245"/>
    <mergeCell ref="AO244:AO245"/>
    <mergeCell ref="AP244:AP245"/>
    <mergeCell ref="AN247:AN248"/>
    <mergeCell ref="AN250:AN251"/>
    <mergeCell ref="AO250:AO251"/>
    <mergeCell ref="AP250:AP251"/>
    <mergeCell ref="AN253:AN254"/>
    <mergeCell ref="AO253:AO254"/>
    <mergeCell ref="AP253:AP254"/>
    <mergeCell ref="AO256:AO257"/>
    <mergeCell ref="AN256:AN257"/>
    <mergeCell ref="AN259:AN260"/>
    <mergeCell ref="AO259:AO260"/>
    <mergeCell ref="AN262:AN263"/>
    <mergeCell ref="AO262:AO263"/>
    <mergeCell ref="AO265:AO266"/>
    <mergeCell ref="AP265:AP266"/>
    <mergeCell ref="AO28:AO29"/>
    <mergeCell ref="AP28:AP29"/>
    <mergeCell ref="AN22:AN23"/>
    <mergeCell ref="AO22:AO23"/>
    <mergeCell ref="AP22:AP23"/>
    <mergeCell ref="AN25:AN26"/>
    <mergeCell ref="AO25:AO26"/>
    <mergeCell ref="AP25:AP26"/>
    <mergeCell ref="AN28:AN29"/>
    <mergeCell ref="AO41:AO42"/>
    <mergeCell ref="AP41:AP42"/>
    <mergeCell ref="AN35:AN36"/>
    <mergeCell ref="AO35:AO36"/>
    <mergeCell ref="AP35:AP36"/>
    <mergeCell ref="AN38:AN39"/>
    <mergeCell ref="AO38:AO39"/>
    <mergeCell ref="AP38:AP39"/>
    <mergeCell ref="AN41:AN42"/>
    <mergeCell ref="AO50:AO51"/>
    <mergeCell ref="AP50:AP51"/>
    <mergeCell ref="AN44:AN45"/>
    <mergeCell ref="AO44:AO45"/>
    <mergeCell ref="AP44:AP45"/>
    <mergeCell ref="AN47:AN48"/>
    <mergeCell ref="AO47:AO48"/>
    <mergeCell ref="AP47:AP48"/>
    <mergeCell ref="AN50:AN51"/>
    <mergeCell ref="AN265:AN266"/>
    <mergeCell ref="AN268:AN269"/>
    <mergeCell ref="AO268:AO269"/>
    <mergeCell ref="AP268:AP269"/>
    <mergeCell ref="AN271:AN272"/>
    <mergeCell ref="AO271:AO272"/>
    <mergeCell ref="AP271:AP272"/>
    <mergeCell ref="AN276:AN277"/>
    <mergeCell ref="AO117:AO118"/>
    <mergeCell ref="AP117:AP118"/>
    <mergeCell ref="AN110:AN111"/>
    <mergeCell ref="AO110:AO111"/>
    <mergeCell ref="AP110:AP111"/>
    <mergeCell ref="AN113:AN114"/>
    <mergeCell ref="AO113:AO114"/>
    <mergeCell ref="AP113:AP114"/>
    <mergeCell ref="AN117:AN118"/>
    <mergeCell ref="AO180:AO181"/>
    <mergeCell ref="AP180:AP181"/>
    <mergeCell ref="AN174:AN175"/>
    <mergeCell ref="AO174:AO175"/>
    <mergeCell ref="AP174:AP175"/>
    <mergeCell ref="AN177:AN178"/>
    <mergeCell ref="AO177:AO178"/>
    <mergeCell ref="AP177:AP178"/>
    <mergeCell ref="AN180:AN181"/>
    <mergeCell ref="AO190:AO191"/>
    <mergeCell ref="AP190:AP191"/>
    <mergeCell ref="AN183:AN184"/>
    <mergeCell ref="AO183:AO184"/>
    <mergeCell ref="AP183:AP184"/>
    <mergeCell ref="AN186:AN187"/>
    <mergeCell ref="AO186:AO187"/>
    <mergeCell ref="AP186:AP187"/>
    <mergeCell ref="AN190:AN191"/>
    <mergeCell ref="AO199:AO200"/>
    <mergeCell ref="AP199:AP200"/>
    <mergeCell ref="AN193:AN194"/>
    <mergeCell ref="AO193:AO194"/>
    <mergeCell ref="AP193:AP194"/>
    <mergeCell ref="AN196:AN197"/>
    <mergeCell ref="AO196:AO197"/>
    <mergeCell ref="AP196:AP197"/>
    <mergeCell ref="AN199:AN200"/>
    <mergeCell ref="AO208:AO209"/>
    <mergeCell ref="AP208:AP209"/>
    <mergeCell ref="AN202:AN203"/>
    <mergeCell ref="AO202:AO203"/>
    <mergeCell ref="AP202:AP203"/>
    <mergeCell ref="AN205:AN206"/>
    <mergeCell ref="AO205:AO206"/>
    <mergeCell ref="AP205:AP206"/>
    <mergeCell ref="AN208:AN209"/>
    <mergeCell ref="AO218:AO219"/>
    <mergeCell ref="AP218:AP219"/>
    <mergeCell ref="AN211:AN212"/>
    <mergeCell ref="AO211:AO212"/>
    <mergeCell ref="AP211:AP212"/>
    <mergeCell ref="AN214:AN215"/>
    <mergeCell ref="AO214:AO215"/>
    <mergeCell ref="AP214:AP215"/>
    <mergeCell ref="AN218:AN219"/>
    <mergeCell ref="AO228:AO229"/>
    <mergeCell ref="AP228:AP229"/>
    <mergeCell ref="AN221:AN222"/>
    <mergeCell ref="AO221:AO222"/>
    <mergeCell ref="AP221:AP222"/>
    <mergeCell ref="AN225:AN226"/>
    <mergeCell ref="AO225:AO226"/>
    <mergeCell ref="AP225:AP226"/>
    <mergeCell ref="AN228:AN229"/>
  </mergeCells>
  <conditionalFormatting sqref="AO10:AP269 AN256:AN257 AN259:AN260 AN262:AN263 AO271:AP272">
    <cfRule type="colorScale" priority="1">
      <colorScale>
        <cfvo type="min"/>
        <cfvo type="formula" val="8"/>
        <cfvo type="formula" val="268.1"/>
        <color rgb="FFE67C73"/>
        <color rgb="FFFFFFFF"/>
        <color rgb="FF57BB8A"/>
      </colorScale>
    </cfRule>
  </conditionalFormatting>
  <conditionalFormatting sqref="AP6:AP269 AP271:AP272">
    <cfRule type="colorScale" priority="2">
      <colorScale>
        <cfvo type="percentile" val="0"/>
        <cfvo type="percentile" val="50"/>
        <cfvo type="percentile" val="100"/>
        <color rgb="FFFF0000"/>
        <color rgb="FFFFFFFF"/>
        <color rgb="FF57BB8A"/>
      </colorScale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8.0" topLeftCell="I9" activePane="bottomRight" state="frozen"/>
      <selection activeCell="I1" sqref="I1" pane="topRight"/>
      <selection activeCell="A9" sqref="A9" pane="bottomLeft"/>
      <selection activeCell="I9" sqref="I9" pane="bottomRight"/>
    </sheetView>
  </sheetViews>
  <sheetFormatPr customHeight="1" defaultColWidth="12.63" defaultRowHeight="15.75"/>
  <cols>
    <col customWidth="1" min="1" max="1" width="9.38"/>
    <col customWidth="1" min="2" max="2" width="10.5"/>
    <col customWidth="1" min="4" max="4" width="0.38"/>
    <col customWidth="1" min="5" max="5" width="4.13"/>
    <col customWidth="1" min="6" max="6" width="4.75"/>
    <col customWidth="1" min="7" max="7" width="7.25"/>
    <col customWidth="1" min="8" max="8" width="4.25"/>
    <col customWidth="1" min="9" max="11" width="5.88"/>
    <col customWidth="1" min="12" max="12" width="7.75"/>
    <col customWidth="1" min="13" max="14" width="5.88"/>
    <col customWidth="1" min="15" max="15" width="6.13"/>
    <col customWidth="1" min="16" max="21" width="5.88"/>
    <col customWidth="1" min="22" max="22" width="6.0"/>
    <col customWidth="1" min="23" max="25" width="5.88"/>
    <col customWidth="1" min="26" max="26" width="6.13"/>
    <col customWidth="1" min="27" max="39" width="5.88"/>
    <col customWidth="1" min="40" max="40" width="12.63"/>
    <col customWidth="1" min="41" max="41" width="13.38"/>
    <col customWidth="1" min="42" max="42" width="2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/>
      <c r="AH1" s="1"/>
      <c r="AI1" s="2"/>
      <c r="AJ1" s="2"/>
      <c r="AK1" s="2"/>
      <c r="AL1" s="2"/>
      <c r="AM1" s="2"/>
      <c r="AN1" s="2"/>
      <c r="AO1" s="2"/>
      <c r="AP1" s="2"/>
    </row>
    <row r="2">
      <c r="B2" s="2"/>
      <c r="C2" s="2"/>
      <c r="D2" s="2"/>
      <c r="E2" s="2"/>
      <c r="F2" s="2"/>
      <c r="G2" s="2"/>
      <c r="H2" s="2"/>
      <c r="I2" s="2"/>
      <c r="J2" s="2"/>
      <c r="K2" s="2"/>
      <c r="L2" s="3" t="s">
        <v>1</v>
      </c>
      <c r="M2" s="3" t="s">
        <v>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1"/>
      <c r="AH2" s="2"/>
      <c r="AI2" s="2"/>
      <c r="AJ2" s="2"/>
      <c r="AK2" s="2"/>
      <c r="AL2" s="2"/>
      <c r="AM2" s="2"/>
      <c r="AN2" s="2"/>
      <c r="AO2" s="2"/>
      <c r="AP2" s="2"/>
    </row>
    <row r="3">
      <c r="A3" s="2"/>
      <c r="B3" s="2"/>
      <c r="C3" s="1"/>
      <c r="D3" s="2"/>
      <c r="E3" s="2"/>
      <c r="F3" s="2"/>
      <c r="G3" s="2"/>
      <c r="H3" s="2"/>
      <c r="I3" s="2"/>
      <c r="J3" s="1" t="s">
        <v>3</v>
      </c>
      <c r="K3" s="2"/>
      <c r="L3" s="4" t="s">
        <v>4</v>
      </c>
      <c r="M3" s="4">
        <v>990.0</v>
      </c>
      <c r="N3" s="2"/>
      <c r="O3" s="28" t="s">
        <v>5</v>
      </c>
      <c r="P3" s="100">
        <v>45639.0</v>
      </c>
      <c r="Q3" s="17"/>
      <c r="R3" s="18"/>
      <c r="S3" s="2"/>
      <c r="T3" s="2"/>
      <c r="U3" s="1" t="s">
        <v>6</v>
      </c>
      <c r="V3" s="2"/>
      <c r="W3" s="2"/>
      <c r="X3" s="2"/>
      <c r="Y3" s="6"/>
      <c r="AB3" s="1" t="s">
        <v>163</v>
      </c>
      <c r="AC3" s="2"/>
      <c r="AD3" s="1"/>
      <c r="AE3" s="2"/>
      <c r="AF3" s="2"/>
      <c r="AG3" s="2"/>
      <c r="AH3" s="2"/>
      <c r="AI3" s="1"/>
      <c r="AJ3" s="2"/>
      <c r="AK3" s="1"/>
      <c r="AL3" s="2"/>
      <c r="AM3" s="2"/>
      <c r="AN3" s="2"/>
      <c r="AO3" s="2"/>
      <c r="AP3" s="2"/>
    </row>
    <row r="4">
      <c r="F4" s="2"/>
      <c r="G4" s="7" t="s">
        <v>7</v>
      </c>
      <c r="H4" s="7">
        <v>30.0</v>
      </c>
      <c r="I4" s="8"/>
      <c r="J4" s="8"/>
      <c r="K4" s="8"/>
      <c r="L4" s="7" t="s">
        <v>8</v>
      </c>
      <c r="M4" s="7">
        <v>992.0</v>
      </c>
      <c r="N4" s="8"/>
      <c r="O4" s="9"/>
      <c r="P4" s="8"/>
      <c r="Q4" s="8"/>
      <c r="R4" s="2"/>
      <c r="S4" s="2"/>
      <c r="T4" s="2"/>
      <c r="U4" s="1" t="s">
        <v>133</v>
      </c>
      <c r="V4" s="2"/>
      <c r="W4" s="2"/>
      <c r="X4" s="2"/>
      <c r="Y4" s="10"/>
      <c r="Z4" s="2"/>
      <c r="AB4" s="1" t="s">
        <v>172</v>
      </c>
      <c r="AC4" s="2"/>
      <c r="AD4" s="1"/>
      <c r="AF4" s="2"/>
      <c r="AG4" s="2"/>
      <c r="AJ4" s="2"/>
      <c r="AK4" s="1"/>
      <c r="AL4" s="2"/>
      <c r="AM4" s="2"/>
      <c r="AN4" s="1"/>
      <c r="AO4" s="2"/>
      <c r="AP4" s="2"/>
    </row>
    <row r="5">
      <c r="A5" s="11" t="s">
        <v>180</v>
      </c>
      <c r="F5" s="2"/>
      <c r="G5" s="8"/>
      <c r="H5" s="8"/>
      <c r="I5" s="8"/>
      <c r="J5" s="8"/>
      <c r="K5" s="8"/>
      <c r="L5" s="7" t="s">
        <v>11</v>
      </c>
      <c r="M5" s="7">
        <v>989.0</v>
      </c>
      <c r="N5" s="8"/>
      <c r="O5" s="12" t="s">
        <v>0</v>
      </c>
      <c r="P5" s="12"/>
      <c r="Q5" s="8"/>
      <c r="R5" s="2"/>
      <c r="S5" s="2"/>
      <c r="T5" s="2"/>
      <c r="U5" s="2"/>
      <c r="V5" s="2"/>
      <c r="W5" s="2"/>
      <c r="X5" s="2"/>
      <c r="Y5" s="2"/>
      <c r="Z5" s="2"/>
      <c r="AB5" s="2"/>
      <c r="AC5" s="2"/>
      <c r="AD5" s="1"/>
      <c r="AF5" s="1"/>
      <c r="AG5" s="1"/>
      <c r="AJ5" s="2"/>
      <c r="AK5" s="1"/>
      <c r="AL5" s="2"/>
      <c r="AM5" s="2"/>
      <c r="AN5" s="1"/>
      <c r="AO5" s="2"/>
      <c r="AP5" s="2"/>
    </row>
    <row r="6">
      <c r="A6" s="2"/>
      <c r="B6" s="2"/>
      <c r="C6" s="2"/>
      <c r="D6" s="2"/>
      <c r="E6" s="12"/>
      <c r="F6" s="12"/>
      <c r="G6" s="8"/>
      <c r="H6" s="8"/>
      <c r="I6" s="8"/>
      <c r="J6" s="8"/>
      <c r="K6" s="8"/>
      <c r="L6" s="7" t="s">
        <v>12</v>
      </c>
      <c r="M6" s="7"/>
      <c r="N6" s="8"/>
      <c r="O6" s="8"/>
      <c r="P6" s="8"/>
      <c r="Q6" s="12"/>
      <c r="R6" s="1"/>
      <c r="S6" s="1"/>
      <c r="T6" s="2"/>
      <c r="U6" s="1" t="s">
        <v>128</v>
      </c>
      <c r="V6" s="2"/>
      <c r="W6" s="2"/>
      <c r="X6" s="2"/>
      <c r="Y6" s="101"/>
      <c r="Z6" s="2"/>
      <c r="AB6" s="1"/>
      <c r="AC6" s="1"/>
      <c r="AD6" s="2"/>
      <c r="AE6" s="2"/>
      <c r="AF6" s="2"/>
      <c r="AG6" s="2"/>
      <c r="AH6" s="2"/>
      <c r="AI6" s="2"/>
      <c r="AJ6" s="2"/>
      <c r="AK6" s="1"/>
      <c r="AL6" s="2"/>
      <c r="AM6" s="2"/>
      <c r="AN6" s="2"/>
      <c r="AO6" s="2"/>
      <c r="AP6" s="2"/>
    </row>
    <row r="7">
      <c r="A7" s="13" t="s">
        <v>13</v>
      </c>
      <c r="F7" s="12"/>
      <c r="G7" s="8"/>
      <c r="H7" s="8"/>
      <c r="I7" s="8"/>
      <c r="J7" s="8"/>
      <c r="K7" s="8"/>
      <c r="L7" s="8"/>
      <c r="M7" s="8"/>
      <c r="N7" s="8"/>
      <c r="O7" s="8"/>
      <c r="P7" s="8"/>
      <c r="Q7" s="12"/>
      <c r="R7" s="1"/>
      <c r="S7" s="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>
      <c r="A8" s="211"/>
      <c r="B8" s="2"/>
      <c r="C8" s="2"/>
      <c r="D8" s="1"/>
      <c r="E8" s="1" t="s">
        <v>181</v>
      </c>
      <c r="F8" s="2"/>
      <c r="G8" s="12"/>
      <c r="H8" s="8"/>
      <c r="I8" s="14">
        <v>45627.0</v>
      </c>
      <c r="J8" s="14">
        <v>45628.0</v>
      </c>
      <c r="K8" s="14">
        <v>45629.0</v>
      </c>
      <c r="L8" s="14">
        <v>45630.0</v>
      </c>
      <c r="M8" s="14">
        <v>45631.0</v>
      </c>
      <c r="N8" s="14">
        <v>45632.0</v>
      </c>
      <c r="O8" s="14">
        <v>45633.0</v>
      </c>
      <c r="P8" s="14">
        <v>45634.0</v>
      </c>
      <c r="Q8" s="14">
        <v>45635.0</v>
      </c>
      <c r="R8" s="14">
        <v>45636.0</v>
      </c>
      <c r="S8" s="14">
        <v>45637.0</v>
      </c>
      <c r="T8" s="14">
        <v>45638.0</v>
      </c>
      <c r="U8" s="14">
        <v>45639.0</v>
      </c>
      <c r="V8" s="14">
        <v>45640.0</v>
      </c>
      <c r="W8" s="14">
        <v>45641.0</v>
      </c>
      <c r="X8" s="14">
        <v>45642.0</v>
      </c>
      <c r="Y8" s="14">
        <v>45643.0</v>
      </c>
      <c r="Z8" s="14">
        <v>45644.0</v>
      </c>
      <c r="AA8" s="14">
        <v>45645.0</v>
      </c>
      <c r="AB8" s="14">
        <v>45646.0</v>
      </c>
      <c r="AC8" s="14">
        <v>45647.0</v>
      </c>
      <c r="AD8" s="14">
        <v>45648.0</v>
      </c>
      <c r="AE8" s="14">
        <v>45649.0</v>
      </c>
      <c r="AF8" s="14">
        <v>45650.0</v>
      </c>
      <c r="AG8" s="14">
        <v>45651.0</v>
      </c>
      <c r="AH8" s="14">
        <v>45652.0</v>
      </c>
      <c r="AI8" s="14">
        <v>45653.0</v>
      </c>
      <c r="AJ8" s="14">
        <v>45654.0</v>
      </c>
      <c r="AK8" s="14">
        <v>45655.0</v>
      </c>
      <c r="AL8" s="14">
        <v>45656.0</v>
      </c>
      <c r="AM8" s="14">
        <v>45657.0</v>
      </c>
      <c r="AN8" s="13" t="s">
        <v>16</v>
      </c>
      <c r="AO8" s="13" t="s">
        <v>17</v>
      </c>
      <c r="AP8" s="13" t="s">
        <v>18</v>
      </c>
    </row>
    <row r="9">
      <c r="A9" s="16" t="s">
        <v>19</v>
      </c>
      <c r="B9" s="17"/>
      <c r="C9" s="17"/>
      <c r="D9" s="17"/>
      <c r="E9" s="17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  <c r="S9" s="20"/>
      <c r="T9" s="20"/>
      <c r="U9" s="20"/>
      <c r="V9" s="20"/>
      <c r="W9" s="20"/>
      <c r="X9" s="20"/>
      <c r="Y9" s="20"/>
      <c r="Z9" s="20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2"/>
      <c r="AO9" s="22"/>
      <c r="AP9" s="22"/>
    </row>
    <row r="10">
      <c r="A10" s="24" t="s">
        <v>130</v>
      </c>
      <c r="B10" s="17"/>
      <c r="C10" s="17"/>
      <c r="D10" s="18"/>
      <c r="E10" s="25">
        <v>1.0</v>
      </c>
      <c r="F10" s="25" t="s">
        <v>21</v>
      </c>
      <c r="G10" s="7">
        <v>330.0</v>
      </c>
      <c r="H10" s="7" t="s">
        <v>22</v>
      </c>
      <c r="I10" s="7"/>
      <c r="J10" s="26"/>
      <c r="K10" s="7"/>
      <c r="L10" s="7">
        <v>150.0</v>
      </c>
      <c r="M10" s="7"/>
      <c r="N10" s="26"/>
      <c r="O10" s="7"/>
      <c r="P10" s="7"/>
      <c r="Q10" s="7"/>
      <c r="R10" s="28">
        <v>360.0</v>
      </c>
      <c r="S10" s="27"/>
      <c r="T10" s="28"/>
      <c r="U10" s="28"/>
      <c r="V10" s="28">
        <v>150.0</v>
      </c>
      <c r="W10" s="27"/>
      <c r="X10" s="27"/>
      <c r="Y10" s="28"/>
      <c r="Z10" s="27"/>
      <c r="AA10" s="28"/>
      <c r="AB10" s="27"/>
      <c r="AC10" s="27"/>
      <c r="AD10" s="28"/>
      <c r="AE10" s="28"/>
      <c r="AF10" s="27"/>
      <c r="AG10" s="28"/>
      <c r="AH10" s="28"/>
      <c r="AI10" s="28"/>
      <c r="AJ10" s="27"/>
      <c r="AK10" s="28"/>
      <c r="AL10" s="28"/>
      <c r="AM10" s="27"/>
      <c r="AN10" s="29">
        <f>G10+SUM(I10:AM10)-SUM(I11:AM11)</f>
        <v>390</v>
      </c>
      <c r="AO10" s="29">
        <f>ROUNDDOWN((AN10/E10)/$H$4,1)</f>
        <v>13</v>
      </c>
      <c r="AP10" s="29">
        <f>$M$4+AO10</f>
        <v>1005</v>
      </c>
    </row>
    <row r="11">
      <c r="A11" s="212"/>
      <c r="B11" s="17"/>
      <c r="C11" s="17"/>
      <c r="D11" s="17"/>
      <c r="E11" s="17"/>
      <c r="F11" s="18"/>
      <c r="G11" s="26"/>
      <c r="H11" s="7" t="s">
        <v>23</v>
      </c>
      <c r="I11" s="7"/>
      <c r="J11" s="26"/>
      <c r="K11" s="26"/>
      <c r="L11" s="7">
        <v>300.0</v>
      </c>
      <c r="M11" s="26"/>
      <c r="N11" s="7"/>
      <c r="O11" s="26"/>
      <c r="P11" s="7"/>
      <c r="Q11" s="7"/>
      <c r="R11" s="28"/>
      <c r="S11" s="27"/>
      <c r="T11" s="28"/>
      <c r="U11" s="27"/>
      <c r="V11" s="28">
        <v>300.0</v>
      </c>
      <c r="W11" s="27"/>
      <c r="X11" s="10"/>
      <c r="Y11" s="10"/>
      <c r="Z11" s="38"/>
      <c r="AA11" s="38"/>
      <c r="AB11" s="38"/>
      <c r="AC11" s="38"/>
      <c r="AD11" s="28"/>
      <c r="AE11" s="27"/>
      <c r="AF11" s="27"/>
      <c r="AG11" s="27"/>
      <c r="AH11" s="27"/>
      <c r="AI11" s="27"/>
      <c r="AJ11" s="28"/>
      <c r="AK11" s="27"/>
      <c r="AL11" s="27"/>
      <c r="AM11" s="27"/>
      <c r="AN11" s="32"/>
      <c r="AO11" s="32"/>
      <c r="AP11" s="32"/>
    </row>
    <row r="12">
      <c r="A12" s="33"/>
      <c r="B12" s="33"/>
      <c r="C12" s="33"/>
      <c r="D12" s="33"/>
      <c r="E12" s="25"/>
      <c r="F12" s="25"/>
      <c r="G12" s="34"/>
      <c r="H12" s="7"/>
      <c r="I12" s="35"/>
      <c r="J12" s="36"/>
      <c r="K12" s="36"/>
      <c r="L12" s="37"/>
      <c r="M12" s="36"/>
      <c r="N12" s="36"/>
      <c r="O12" s="36"/>
      <c r="P12" s="26"/>
      <c r="Q12" s="36"/>
      <c r="R12" s="10"/>
      <c r="S12" s="10"/>
      <c r="T12" s="10"/>
      <c r="U12" s="10"/>
      <c r="V12" s="42"/>
      <c r="W12" s="27"/>
      <c r="Y12" s="27"/>
      <c r="Z12" s="27"/>
      <c r="AA12" s="27"/>
      <c r="AB12" s="27"/>
      <c r="AC12" s="27"/>
      <c r="AD12" s="27"/>
      <c r="AE12" s="27"/>
      <c r="AF12" s="27"/>
      <c r="AG12" s="27"/>
      <c r="AH12" s="28"/>
      <c r="AI12" s="27"/>
      <c r="AJ12" s="27"/>
      <c r="AK12" s="27"/>
      <c r="AL12" s="27"/>
      <c r="AM12" s="27"/>
      <c r="AN12" s="39"/>
      <c r="AO12" s="39"/>
      <c r="AP12" s="39"/>
    </row>
    <row r="13">
      <c r="A13" s="24" t="s">
        <v>24</v>
      </c>
      <c r="B13" s="17"/>
      <c r="C13" s="17"/>
      <c r="D13" s="18"/>
      <c r="E13" s="25">
        <v>1.0</v>
      </c>
      <c r="F13" s="25" t="s">
        <v>21</v>
      </c>
      <c r="G13" s="34">
        <v>437.0</v>
      </c>
      <c r="H13" s="7" t="s">
        <v>22</v>
      </c>
      <c r="I13" s="7"/>
      <c r="J13" s="7">
        <v>510.0</v>
      </c>
      <c r="K13" s="26"/>
      <c r="L13" s="26"/>
      <c r="M13" s="7"/>
      <c r="N13" s="26"/>
      <c r="O13" s="26"/>
      <c r="P13" s="7"/>
      <c r="Q13" s="26"/>
      <c r="R13" s="27"/>
      <c r="S13" s="27"/>
      <c r="T13" s="28"/>
      <c r="U13" s="28"/>
      <c r="V13" s="28"/>
      <c r="W13" s="27"/>
      <c r="X13" s="28">
        <v>510.0</v>
      </c>
      <c r="Y13" s="28">
        <v>60.0</v>
      </c>
      <c r="Z13" s="28"/>
      <c r="AA13" s="28">
        <v>450.0</v>
      </c>
      <c r="AB13" s="27"/>
      <c r="AC13" s="27"/>
      <c r="AD13" s="28"/>
      <c r="AE13" s="28"/>
      <c r="AF13" s="27"/>
      <c r="AG13" s="28"/>
      <c r="AH13" s="27"/>
      <c r="AI13" s="27"/>
      <c r="AJ13" s="27"/>
      <c r="AK13" s="27"/>
      <c r="AL13" s="27"/>
      <c r="AM13" s="27"/>
      <c r="AN13" s="29">
        <f>G13+SUM(I13:AM13)-SUM(I14:AM14)</f>
        <v>1397</v>
      </c>
      <c r="AO13" s="29">
        <f>ROUNDDOWN((AN13/E13)/$H$4,1)</f>
        <v>46.5</v>
      </c>
      <c r="AP13" s="29">
        <f>$M$4+AO13</f>
        <v>1038.5</v>
      </c>
    </row>
    <row r="14">
      <c r="A14" s="31"/>
      <c r="B14" s="17"/>
      <c r="C14" s="17"/>
      <c r="D14" s="17"/>
      <c r="E14" s="17"/>
      <c r="F14" s="18"/>
      <c r="G14" s="40"/>
      <c r="H14" s="7" t="s">
        <v>23</v>
      </c>
      <c r="I14" s="7"/>
      <c r="J14" s="7">
        <v>60.0</v>
      </c>
      <c r="K14" s="7"/>
      <c r="L14" s="7">
        <v>60.0</v>
      </c>
      <c r="M14" s="7">
        <v>60.0</v>
      </c>
      <c r="N14" s="7"/>
      <c r="O14" s="7"/>
      <c r="P14" s="7"/>
      <c r="Q14" s="7">
        <v>60.0</v>
      </c>
      <c r="R14" s="28"/>
      <c r="S14" s="28">
        <v>90.0</v>
      </c>
      <c r="T14" s="28"/>
      <c r="U14" s="28">
        <v>60.0</v>
      </c>
      <c r="V14" s="28"/>
      <c r="W14" s="28"/>
      <c r="X14" s="28"/>
      <c r="Y14" s="28">
        <v>60.0</v>
      </c>
      <c r="Z14" s="28">
        <v>60.0</v>
      </c>
      <c r="AA14" s="28"/>
      <c r="AB14" s="28"/>
      <c r="AC14" s="28"/>
      <c r="AD14" s="28"/>
      <c r="AE14" s="28"/>
      <c r="AF14" s="28"/>
      <c r="AG14" s="28"/>
      <c r="AH14" s="28">
        <v>60.0</v>
      </c>
      <c r="AI14" s="28"/>
      <c r="AJ14" s="28"/>
      <c r="AK14" s="28"/>
      <c r="AL14" s="28"/>
      <c r="AM14" s="27"/>
      <c r="AN14" s="32"/>
      <c r="AO14" s="32"/>
      <c r="AP14" s="32"/>
    </row>
    <row r="15">
      <c r="A15" s="33"/>
      <c r="B15" s="33"/>
      <c r="C15" s="33"/>
      <c r="D15" s="33"/>
      <c r="E15" s="25"/>
      <c r="F15" s="25"/>
      <c r="G15" s="7"/>
      <c r="H15" s="7"/>
      <c r="I15" s="35"/>
      <c r="J15" s="37"/>
      <c r="K15" s="36"/>
      <c r="L15" s="37"/>
      <c r="M15" s="37"/>
      <c r="N15" s="36"/>
      <c r="O15" s="35"/>
      <c r="P15" s="26"/>
      <c r="Q15" s="37"/>
      <c r="R15" s="10"/>
      <c r="S15" s="6"/>
      <c r="T15" s="10"/>
      <c r="U15" s="6"/>
      <c r="V15" s="38"/>
      <c r="W15" s="27"/>
      <c r="X15" s="10"/>
      <c r="Y15" s="6"/>
      <c r="Z15" s="6"/>
      <c r="AA15" s="10"/>
      <c r="AB15" s="10"/>
      <c r="AC15" s="10"/>
      <c r="AD15" s="27"/>
      <c r="AE15" s="27"/>
      <c r="AF15" s="28"/>
      <c r="AG15" s="27"/>
      <c r="AH15" s="27"/>
      <c r="AI15" s="27"/>
      <c r="AJ15" s="27"/>
      <c r="AK15" s="27"/>
      <c r="AL15" s="27"/>
      <c r="AM15" s="27"/>
      <c r="AN15" s="39"/>
      <c r="AO15" s="39"/>
      <c r="AP15" s="39"/>
    </row>
    <row r="16">
      <c r="A16" s="24" t="s">
        <v>25</v>
      </c>
      <c r="B16" s="17"/>
      <c r="C16" s="17"/>
      <c r="D16" s="18"/>
      <c r="E16" s="25">
        <v>4.0</v>
      </c>
      <c r="F16" s="25" t="s">
        <v>21</v>
      </c>
      <c r="G16" s="7">
        <v>194.0</v>
      </c>
      <c r="H16" s="7" t="s">
        <v>22</v>
      </c>
      <c r="I16" s="7"/>
      <c r="J16" s="7">
        <v>2040.0</v>
      </c>
      <c r="K16" s="26"/>
      <c r="L16" s="26"/>
      <c r="M16" s="26"/>
      <c r="N16" s="26"/>
      <c r="O16" s="7"/>
      <c r="P16" s="7"/>
      <c r="Q16" s="26"/>
      <c r="R16" s="27"/>
      <c r="S16" s="27"/>
      <c r="T16" s="28"/>
      <c r="U16" s="28"/>
      <c r="V16" s="28"/>
      <c r="W16" s="27"/>
      <c r="X16" s="28">
        <v>2040.0</v>
      </c>
      <c r="Y16" s="28">
        <v>1040.0</v>
      </c>
      <c r="Z16" s="28"/>
      <c r="AA16" s="28">
        <v>1000.0</v>
      </c>
      <c r="AB16" s="27"/>
      <c r="AC16" s="27"/>
      <c r="AD16" s="28"/>
      <c r="AE16" s="28"/>
      <c r="AF16" s="28"/>
      <c r="AG16" s="28"/>
      <c r="AH16" s="28"/>
      <c r="AI16" s="27"/>
      <c r="AJ16" s="27"/>
      <c r="AK16" s="28"/>
      <c r="AL16" s="27"/>
      <c r="AM16" s="27"/>
      <c r="AN16" s="29">
        <f>G16+SUM(I16:AM16)-SUM(I17:AM17)</f>
        <v>4392</v>
      </c>
      <c r="AO16" s="29">
        <f>ROUNDDOWN((AN16/E16)/$H$4,1)</f>
        <v>36.6</v>
      </c>
      <c r="AP16" s="29">
        <f>$M$4+AO16</f>
        <v>1028.6</v>
      </c>
    </row>
    <row r="17">
      <c r="A17" s="31"/>
      <c r="B17" s="17"/>
      <c r="C17" s="17"/>
      <c r="D17" s="17"/>
      <c r="E17" s="17"/>
      <c r="F17" s="18"/>
      <c r="G17" s="26"/>
      <c r="H17" s="7" t="s">
        <v>23</v>
      </c>
      <c r="I17" s="7"/>
      <c r="J17" s="7"/>
      <c r="K17" s="7">
        <f>240+2</f>
        <v>242</v>
      </c>
      <c r="L17" s="7"/>
      <c r="M17" s="7">
        <v>240.0</v>
      </c>
      <c r="N17" s="7"/>
      <c r="O17" s="7">
        <v>240.0</v>
      </c>
      <c r="P17" s="7"/>
      <c r="Q17" s="7"/>
      <c r="R17" s="28">
        <v>240.0</v>
      </c>
      <c r="S17" s="28"/>
      <c r="T17" s="28">
        <f>240+40</f>
        <v>280</v>
      </c>
      <c r="U17" s="28"/>
      <c r="V17" s="28">
        <f>240+80</f>
        <v>320</v>
      </c>
      <c r="W17" s="27"/>
      <c r="X17" s="28"/>
      <c r="Y17" s="28"/>
      <c r="Z17" s="28">
        <v>240.0</v>
      </c>
      <c r="AA17" s="28"/>
      <c r="AB17" s="28">
        <v>120.0</v>
      </c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32"/>
      <c r="AO17" s="32"/>
      <c r="AP17" s="32"/>
    </row>
    <row r="18">
      <c r="A18" s="33"/>
      <c r="B18" s="33"/>
      <c r="C18" s="33"/>
      <c r="D18" s="33"/>
      <c r="E18" s="25"/>
      <c r="F18" s="25"/>
      <c r="G18" s="43"/>
      <c r="H18" s="7"/>
      <c r="I18" s="36"/>
      <c r="J18" s="36"/>
      <c r="K18" s="37"/>
      <c r="L18" s="36"/>
      <c r="M18" s="37"/>
      <c r="N18" s="36"/>
      <c r="O18" s="37"/>
      <c r="P18" s="26"/>
      <c r="Q18" s="36"/>
      <c r="R18" s="6"/>
      <c r="S18" s="38"/>
      <c r="T18" s="6"/>
      <c r="U18" s="38"/>
      <c r="V18" s="6"/>
      <c r="W18" s="28"/>
      <c r="X18" s="10"/>
      <c r="Y18" s="10"/>
      <c r="Z18" s="6"/>
      <c r="AA18" s="10"/>
      <c r="AB18" s="6"/>
      <c r="AC18" s="10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39"/>
      <c r="AO18" s="39"/>
      <c r="AP18" s="39"/>
    </row>
    <row r="19">
      <c r="A19" s="24" t="s">
        <v>26</v>
      </c>
      <c r="B19" s="17"/>
      <c r="C19" s="17"/>
      <c r="D19" s="18"/>
      <c r="E19" s="25">
        <v>5.0</v>
      </c>
      <c r="F19" s="25" t="s">
        <v>21</v>
      </c>
      <c r="G19" s="43">
        <v>1663.0</v>
      </c>
      <c r="H19" s="7" t="s">
        <v>22</v>
      </c>
      <c r="I19" s="7"/>
      <c r="J19" s="7"/>
      <c r="K19" s="26"/>
      <c r="L19" s="7">
        <v>450.0</v>
      </c>
      <c r="M19" s="7"/>
      <c r="N19" s="7"/>
      <c r="O19" s="26"/>
      <c r="P19" s="7"/>
      <c r="Q19" s="7">
        <v>450.0</v>
      </c>
      <c r="R19" s="27"/>
      <c r="S19" s="28"/>
      <c r="T19" s="28"/>
      <c r="U19" s="28">
        <v>450.0</v>
      </c>
      <c r="V19" s="27"/>
      <c r="W19" s="27"/>
      <c r="X19" s="28"/>
      <c r="Y19" s="28">
        <v>450.0</v>
      </c>
      <c r="Z19" s="27"/>
      <c r="AA19" s="28">
        <v>450.0</v>
      </c>
      <c r="AB19" s="28"/>
      <c r="AC19" s="28">
        <v>450.0</v>
      </c>
      <c r="AD19" s="28"/>
      <c r="AE19" s="28"/>
      <c r="AF19" s="27"/>
      <c r="AG19" s="28"/>
      <c r="AH19" s="28"/>
      <c r="AI19" s="28"/>
      <c r="AJ19" s="27"/>
      <c r="AK19" s="27"/>
      <c r="AL19" s="28"/>
      <c r="AM19" s="27"/>
      <c r="AN19" s="29">
        <f>G19+SUM(I19:AM19)-SUM(I20:AM20)</f>
        <v>2053</v>
      </c>
      <c r="AO19" s="29">
        <f>ROUNDDOWN((AN19/E19)/$H$4,1)</f>
        <v>13.6</v>
      </c>
      <c r="AP19" s="29">
        <f>$M$4+AO19</f>
        <v>1005.6</v>
      </c>
    </row>
    <row r="20">
      <c r="A20" s="31"/>
      <c r="B20" s="17"/>
      <c r="C20" s="17"/>
      <c r="D20" s="17"/>
      <c r="E20" s="17"/>
      <c r="F20" s="18"/>
      <c r="G20" s="26"/>
      <c r="H20" s="7" t="s">
        <v>23</v>
      </c>
      <c r="I20" s="7"/>
      <c r="J20" s="7">
        <v>120.0</v>
      </c>
      <c r="K20" s="7">
        <v>270.0</v>
      </c>
      <c r="L20" s="7">
        <v>120.0</v>
      </c>
      <c r="M20" s="7">
        <v>120.0</v>
      </c>
      <c r="N20" s="7">
        <v>240.0</v>
      </c>
      <c r="O20" s="7"/>
      <c r="P20" s="7"/>
      <c r="Q20" s="7">
        <v>120.0</v>
      </c>
      <c r="R20" s="28">
        <v>270.0</v>
      </c>
      <c r="S20" s="28">
        <v>120.0</v>
      </c>
      <c r="T20" s="28">
        <v>270.0</v>
      </c>
      <c r="U20" s="28">
        <v>120.0</v>
      </c>
      <c r="V20" s="28"/>
      <c r="W20" s="28"/>
      <c r="X20" s="28"/>
      <c r="Y20" s="28">
        <f>150+270</f>
        <v>420</v>
      </c>
      <c r="Z20" s="28">
        <v>120.0</v>
      </c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7"/>
      <c r="AN20" s="32"/>
      <c r="AO20" s="32"/>
      <c r="AP20" s="32"/>
    </row>
    <row r="21">
      <c r="A21" s="33"/>
      <c r="B21" s="33"/>
      <c r="C21" s="33"/>
      <c r="D21" s="33"/>
      <c r="E21" s="25"/>
      <c r="F21" s="25"/>
      <c r="G21" s="7"/>
      <c r="H21" s="7"/>
      <c r="I21" s="36"/>
      <c r="J21" s="37"/>
      <c r="K21" s="37"/>
      <c r="L21" s="41"/>
      <c r="M21" s="37"/>
      <c r="N21" s="37"/>
      <c r="O21" s="36"/>
      <c r="P21" s="26"/>
      <c r="Q21" s="37"/>
      <c r="R21" s="6"/>
      <c r="S21" s="6"/>
      <c r="T21" s="6"/>
      <c r="U21" s="6"/>
      <c r="V21" s="10"/>
      <c r="W21" s="27"/>
      <c r="X21" s="10"/>
      <c r="Y21" s="6"/>
      <c r="Z21" s="6"/>
      <c r="AA21" s="10"/>
      <c r="AB21" s="10"/>
      <c r="AC21" s="10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39"/>
      <c r="AO21" s="39"/>
      <c r="AP21" s="39"/>
    </row>
    <row r="22">
      <c r="A22" s="24" t="s">
        <v>27</v>
      </c>
      <c r="B22" s="17"/>
      <c r="C22" s="17"/>
      <c r="D22" s="18"/>
      <c r="E22" s="25">
        <v>4.0</v>
      </c>
      <c r="F22" s="25" t="s">
        <v>21</v>
      </c>
      <c r="G22" s="7">
        <v>493.0</v>
      </c>
      <c r="H22" s="7" t="s">
        <v>22</v>
      </c>
      <c r="I22" s="7"/>
      <c r="J22" s="26"/>
      <c r="K22" s="7"/>
      <c r="L22" s="7">
        <v>360.0</v>
      </c>
      <c r="M22" s="26"/>
      <c r="N22" s="26"/>
      <c r="O22" s="7"/>
      <c r="P22" s="7"/>
      <c r="Q22" s="7">
        <v>1680.0</v>
      </c>
      <c r="R22" s="28"/>
      <c r="S22" s="27"/>
      <c r="T22" s="28"/>
      <c r="U22" s="28"/>
      <c r="V22" s="28">
        <v>600.0</v>
      </c>
      <c r="W22" s="27"/>
      <c r="X22" s="28"/>
      <c r="Y22" s="28"/>
      <c r="Z22" s="27"/>
      <c r="AA22" s="28">
        <v>600.0</v>
      </c>
      <c r="AB22" s="28"/>
      <c r="AC22" s="28">
        <v>600.0</v>
      </c>
      <c r="AD22" s="28"/>
      <c r="AE22" s="28"/>
      <c r="AF22" s="28"/>
      <c r="AG22" s="28"/>
      <c r="AH22" s="27"/>
      <c r="AI22" s="28"/>
      <c r="AJ22" s="27"/>
      <c r="AK22" s="28"/>
      <c r="AL22" s="28"/>
      <c r="AM22" s="28"/>
      <c r="AN22" s="29">
        <f>G22+SUM(I22:AM22)-SUM(I23:AM23)</f>
        <v>2533</v>
      </c>
      <c r="AO22" s="29">
        <f>ROUNDDOWN((AN22/E22)/$H$4,1)</f>
        <v>21.1</v>
      </c>
      <c r="AP22" s="29">
        <f>$M$4+AO22</f>
        <v>1013.1</v>
      </c>
    </row>
    <row r="23">
      <c r="A23" s="31"/>
      <c r="B23" s="17"/>
      <c r="C23" s="17"/>
      <c r="D23" s="17"/>
      <c r="E23" s="17"/>
      <c r="F23" s="18"/>
      <c r="G23" s="26"/>
      <c r="H23" s="7" t="s">
        <v>23</v>
      </c>
      <c r="I23" s="7"/>
      <c r="J23" s="7"/>
      <c r="K23" s="7"/>
      <c r="L23" s="7">
        <v>240.0</v>
      </c>
      <c r="M23" s="7">
        <v>240.0</v>
      </c>
      <c r="N23" s="7"/>
      <c r="O23" s="7"/>
      <c r="P23" s="7"/>
      <c r="Q23" s="7">
        <v>240.0</v>
      </c>
      <c r="R23" s="28"/>
      <c r="S23" s="28">
        <v>360.0</v>
      </c>
      <c r="T23" s="28"/>
      <c r="U23" s="28">
        <v>240.0</v>
      </c>
      <c r="V23" s="28"/>
      <c r="W23" s="28"/>
      <c r="X23" s="28"/>
      <c r="Y23" s="28">
        <v>240.0</v>
      </c>
      <c r="Z23" s="28">
        <v>240.0</v>
      </c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7"/>
      <c r="AN23" s="32"/>
      <c r="AO23" s="32"/>
      <c r="AP23" s="32"/>
    </row>
    <row r="24">
      <c r="A24" s="33"/>
      <c r="B24" s="33"/>
      <c r="C24" s="33"/>
      <c r="D24" s="33"/>
      <c r="E24" s="25"/>
      <c r="F24" s="25"/>
      <c r="G24" s="7"/>
      <c r="H24" s="7"/>
      <c r="I24" s="35"/>
      <c r="J24" s="36"/>
      <c r="K24" s="36"/>
      <c r="L24" s="37"/>
      <c r="M24" s="37"/>
      <c r="N24" s="36"/>
      <c r="O24" s="36"/>
      <c r="P24" s="26"/>
      <c r="Q24" s="37"/>
      <c r="R24" s="10"/>
      <c r="S24" s="6"/>
      <c r="T24" s="10"/>
      <c r="U24" s="6"/>
      <c r="V24" s="10"/>
      <c r="W24" s="27"/>
      <c r="X24" s="10"/>
      <c r="Y24" s="6"/>
      <c r="Z24" s="6"/>
      <c r="AA24" s="10"/>
      <c r="AB24" s="10"/>
      <c r="AC24" s="10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39"/>
      <c r="AO24" s="39"/>
      <c r="AP24" s="39"/>
    </row>
    <row r="25">
      <c r="A25" s="24" t="s">
        <v>28</v>
      </c>
      <c r="B25" s="17"/>
      <c r="C25" s="17"/>
      <c r="D25" s="18"/>
      <c r="E25" s="25">
        <v>4.0</v>
      </c>
      <c r="F25" s="25" t="s">
        <v>21</v>
      </c>
      <c r="G25" s="7">
        <f>420*4</f>
        <v>1680</v>
      </c>
      <c r="H25" s="7" t="s">
        <v>22</v>
      </c>
      <c r="I25" s="7"/>
      <c r="J25" s="7"/>
      <c r="K25" s="7"/>
      <c r="L25" s="7">
        <v>480.0</v>
      </c>
      <c r="M25" s="7"/>
      <c r="N25" s="7"/>
      <c r="O25" s="26"/>
      <c r="P25" s="7"/>
      <c r="Q25" s="7"/>
      <c r="R25" s="28">
        <v>480.0</v>
      </c>
      <c r="S25" s="27"/>
      <c r="T25" s="28"/>
      <c r="U25" s="28"/>
      <c r="V25" s="27"/>
      <c r="W25" s="27"/>
      <c r="X25" s="27"/>
      <c r="Y25" s="28"/>
      <c r="Z25" s="27"/>
      <c r="AA25" s="28"/>
      <c r="AB25" s="28"/>
      <c r="AC25" s="27"/>
      <c r="AD25" s="28"/>
      <c r="AE25" s="28"/>
      <c r="AF25" s="28"/>
      <c r="AG25" s="28"/>
      <c r="AH25" s="28"/>
      <c r="AI25" s="28"/>
      <c r="AJ25" s="27"/>
      <c r="AK25" s="28"/>
      <c r="AL25" s="28"/>
      <c r="AM25" s="28"/>
      <c r="AN25" s="29">
        <f>G25+SUM(I25:AM25)-SUM(I26:AM26)</f>
        <v>660</v>
      </c>
      <c r="AO25" s="29">
        <f>ROUNDDOWN((AN25/E25)/$H$4,1)</f>
        <v>5.5</v>
      </c>
      <c r="AP25" s="29">
        <f>$M$4+AO25</f>
        <v>997.5</v>
      </c>
    </row>
    <row r="26">
      <c r="A26" s="31"/>
      <c r="B26" s="17"/>
      <c r="C26" s="17"/>
      <c r="D26" s="17"/>
      <c r="E26" s="17"/>
      <c r="F26" s="18"/>
      <c r="G26" s="26"/>
      <c r="H26" s="7" t="s">
        <v>23</v>
      </c>
      <c r="I26" s="7"/>
      <c r="J26" s="7">
        <v>600.0</v>
      </c>
      <c r="K26" s="7"/>
      <c r="L26" s="7"/>
      <c r="M26" s="7"/>
      <c r="N26" s="7"/>
      <c r="O26" s="7"/>
      <c r="P26" s="7"/>
      <c r="Q26" s="7">
        <v>540.0</v>
      </c>
      <c r="R26" s="27"/>
      <c r="S26" s="28"/>
      <c r="T26" s="28"/>
      <c r="U26" s="28">
        <v>840.0</v>
      </c>
      <c r="V26" s="28"/>
      <c r="W26" s="27"/>
      <c r="X26" s="28"/>
      <c r="Y26" s="28"/>
      <c r="Z26" s="27"/>
      <c r="AA26" s="28"/>
      <c r="AB26" s="28"/>
      <c r="AC26" s="28"/>
      <c r="AD26" s="27"/>
      <c r="AE26" s="28"/>
      <c r="AF26" s="28"/>
      <c r="AG26" s="27"/>
      <c r="AH26" s="28"/>
      <c r="AI26" s="28"/>
      <c r="AJ26" s="28"/>
      <c r="AK26" s="27"/>
      <c r="AL26" s="27"/>
      <c r="AM26" s="27"/>
      <c r="AN26" s="32"/>
      <c r="AO26" s="32"/>
      <c r="AP26" s="32"/>
    </row>
    <row r="27">
      <c r="A27" s="33"/>
      <c r="B27" s="33"/>
      <c r="C27" s="33"/>
      <c r="D27" s="33"/>
      <c r="E27" s="25"/>
      <c r="F27" s="25"/>
      <c r="G27" s="7"/>
      <c r="H27" s="7"/>
      <c r="I27" s="35"/>
      <c r="J27" s="37"/>
      <c r="K27" s="36"/>
      <c r="L27" s="36"/>
      <c r="M27" s="36"/>
      <c r="N27" s="36"/>
      <c r="O27" s="36"/>
      <c r="P27" s="26"/>
      <c r="Q27" s="37"/>
      <c r="R27" s="10"/>
      <c r="S27" s="38"/>
      <c r="T27" s="10"/>
      <c r="U27" s="6"/>
      <c r="V27" s="38"/>
      <c r="W27" s="27"/>
      <c r="X27" s="10"/>
      <c r="Y27" s="10"/>
      <c r="Z27" s="10"/>
      <c r="AA27" s="10"/>
      <c r="AB27" s="10"/>
      <c r="AC27" s="10"/>
      <c r="AD27" s="27"/>
      <c r="AE27" s="27"/>
      <c r="AF27" s="27"/>
      <c r="AG27" s="27"/>
      <c r="AH27" s="28"/>
      <c r="AI27" s="27"/>
      <c r="AJ27" s="27"/>
      <c r="AK27" s="27"/>
      <c r="AL27" s="27"/>
      <c r="AM27" s="27"/>
      <c r="AN27" s="39"/>
      <c r="AO27" s="39"/>
      <c r="AP27" s="39"/>
    </row>
    <row r="28">
      <c r="A28" s="24" t="s">
        <v>29</v>
      </c>
      <c r="B28" s="17"/>
      <c r="C28" s="17"/>
      <c r="D28" s="18"/>
      <c r="E28" s="25">
        <v>1.0</v>
      </c>
      <c r="F28" s="25" t="s">
        <v>30</v>
      </c>
      <c r="G28" s="7">
        <v>87.0</v>
      </c>
      <c r="H28" s="7" t="s">
        <v>22</v>
      </c>
      <c r="I28" s="7"/>
      <c r="J28" s="7"/>
      <c r="K28" s="7">
        <v>100.0</v>
      </c>
      <c r="L28" s="7"/>
      <c r="M28" s="7"/>
      <c r="N28" s="7">
        <v>100.0</v>
      </c>
      <c r="O28" s="7">
        <v>100.0</v>
      </c>
      <c r="P28" s="26"/>
      <c r="Q28" s="7"/>
      <c r="R28" s="28"/>
      <c r="S28" s="28">
        <v>100.0</v>
      </c>
      <c r="T28" s="28">
        <f>60+40</f>
        <v>100</v>
      </c>
      <c r="U28" s="27"/>
      <c r="V28" s="28"/>
      <c r="W28" s="27"/>
      <c r="X28" s="28">
        <v>120.0</v>
      </c>
      <c r="Y28" s="28"/>
      <c r="Z28" s="28"/>
      <c r="AA28" s="28">
        <v>100.0</v>
      </c>
      <c r="AB28" s="28"/>
      <c r="AC28" s="28"/>
      <c r="AD28" s="27"/>
      <c r="AE28" s="28"/>
      <c r="AF28" s="28"/>
      <c r="AG28" s="28"/>
      <c r="AH28" s="28"/>
      <c r="AI28" s="28"/>
      <c r="AJ28" s="28"/>
      <c r="AK28" s="28"/>
      <c r="AL28" s="27"/>
      <c r="AM28" s="27"/>
      <c r="AN28" s="29">
        <f>G28+SUM(I28:AM28)-SUM(I29:AM29)</f>
        <v>257</v>
      </c>
      <c r="AO28" s="29">
        <f>ROUNDDOWN((AN28/E28)/$H$4,1)</f>
        <v>8.5</v>
      </c>
      <c r="AP28" s="29">
        <f>$M$4+AO28</f>
        <v>1000.5</v>
      </c>
    </row>
    <row r="29">
      <c r="A29" s="31"/>
      <c r="B29" s="17"/>
      <c r="C29" s="17"/>
      <c r="D29" s="17"/>
      <c r="E29" s="17"/>
      <c r="F29" s="18"/>
      <c r="G29" s="26"/>
      <c r="H29" s="7" t="s">
        <v>23</v>
      </c>
      <c r="I29" s="7">
        <v>34.0</v>
      </c>
      <c r="J29" s="7">
        <v>15.0</v>
      </c>
      <c r="K29" s="7">
        <v>36.0</v>
      </c>
      <c r="L29" s="7">
        <v>34.0</v>
      </c>
      <c r="M29" s="7">
        <v>38.0</v>
      </c>
      <c r="N29" s="7">
        <v>35.0</v>
      </c>
      <c r="O29" s="7">
        <v>27.0</v>
      </c>
      <c r="P29" s="7"/>
      <c r="Q29" s="7">
        <v>36.0</v>
      </c>
      <c r="R29" s="28">
        <v>40.0</v>
      </c>
      <c r="S29" s="28">
        <v>33.0</v>
      </c>
      <c r="T29" s="28">
        <v>32.0</v>
      </c>
      <c r="U29" s="28">
        <v>33.0</v>
      </c>
      <c r="V29" s="28">
        <v>41.0</v>
      </c>
      <c r="W29" s="28"/>
      <c r="X29" s="28">
        <v>32.0</v>
      </c>
      <c r="Y29" s="28">
        <v>24.0</v>
      </c>
      <c r="Z29" s="28">
        <v>21.0</v>
      </c>
      <c r="AA29" s="28">
        <v>21.0</v>
      </c>
      <c r="AB29" s="28"/>
      <c r="AC29" s="28"/>
      <c r="AD29" s="28"/>
      <c r="AE29" s="28"/>
      <c r="AF29" s="28"/>
      <c r="AG29" s="28"/>
      <c r="AH29" s="28">
        <v>18.0</v>
      </c>
      <c r="AI29" s="28"/>
      <c r="AJ29" s="28"/>
      <c r="AK29" s="28"/>
      <c r="AL29" s="28"/>
      <c r="AM29" s="28"/>
      <c r="AN29" s="32"/>
      <c r="AO29" s="32"/>
      <c r="AP29" s="32"/>
    </row>
    <row r="30">
      <c r="A30" s="44"/>
      <c r="B30" s="44"/>
      <c r="C30" s="44"/>
      <c r="D30" s="44"/>
      <c r="E30" s="44"/>
      <c r="F30" s="44"/>
      <c r="G30" s="45"/>
      <c r="H30" s="45"/>
      <c r="I30" s="46"/>
      <c r="J30" s="46"/>
      <c r="K30" s="46"/>
      <c r="L30" s="46"/>
      <c r="M30" s="46"/>
      <c r="N30" s="46"/>
      <c r="O30" s="46"/>
      <c r="P30" s="268"/>
      <c r="Q30" s="46"/>
      <c r="R30" s="6"/>
      <c r="S30" s="6"/>
      <c r="T30" s="6"/>
      <c r="U30" s="6"/>
      <c r="V30" s="6"/>
      <c r="W30" s="27"/>
      <c r="X30" s="6"/>
      <c r="Y30" s="6"/>
      <c r="Z30" s="6"/>
      <c r="AA30" s="6"/>
      <c r="AB30" s="10"/>
      <c r="AC30" s="10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48"/>
      <c r="AO30" s="48"/>
      <c r="AP30" s="48"/>
    </row>
    <row r="31">
      <c r="A31" s="50" t="s">
        <v>31</v>
      </c>
      <c r="B31" s="17"/>
      <c r="C31" s="17"/>
      <c r="D31" s="17"/>
      <c r="E31" s="17"/>
      <c r="F31" s="18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</row>
    <row r="32">
      <c r="A32" s="24" t="s">
        <v>32</v>
      </c>
      <c r="B32" s="17"/>
      <c r="C32" s="17"/>
      <c r="D32" s="18"/>
      <c r="E32" s="25">
        <v>2.0</v>
      </c>
      <c r="F32" s="25" t="s">
        <v>21</v>
      </c>
      <c r="G32" s="7">
        <f>29+6</f>
        <v>35</v>
      </c>
      <c r="H32" s="7" t="s">
        <v>22</v>
      </c>
      <c r="I32" s="7"/>
      <c r="J32" s="7">
        <f>15+45+45</f>
        <v>105</v>
      </c>
      <c r="K32" s="7">
        <f>45+45</f>
        <v>90</v>
      </c>
      <c r="L32" s="7">
        <v>45.0</v>
      </c>
      <c r="M32" s="7">
        <f>15+30+30</f>
        <v>75</v>
      </c>
      <c r="N32" s="7">
        <f>30+60</f>
        <v>90</v>
      </c>
      <c r="O32" s="7">
        <f>45+30</f>
        <v>75</v>
      </c>
      <c r="P32" s="7"/>
      <c r="Q32" s="7">
        <f>45+45</f>
        <v>90</v>
      </c>
      <c r="R32" s="28">
        <v>90.0</v>
      </c>
      <c r="S32" s="28">
        <f t="shared" ref="S32:T32" si="1">60+30</f>
        <v>90</v>
      </c>
      <c r="T32" s="28">
        <f t="shared" si="1"/>
        <v>90</v>
      </c>
      <c r="U32" s="28">
        <f>30+60</f>
        <v>90</v>
      </c>
      <c r="V32" s="28">
        <f>60+30</f>
        <v>90</v>
      </c>
      <c r="W32" s="28"/>
      <c r="X32" s="28">
        <f>15+15+45</f>
        <v>75</v>
      </c>
      <c r="Y32" s="28">
        <f>30+60</f>
        <v>90</v>
      </c>
      <c r="Z32" s="28">
        <f>30+30</f>
        <v>60</v>
      </c>
      <c r="AA32" s="28">
        <v>30.0</v>
      </c>
      <c r="AB32" s="28">
        <v>45.0</v>
      </c>
      <c r="AC32" s="28">
        <f>30+30</f>
        <v>60</v>
      </c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9">
        <f>G32+SUM(I32:AM32)-SUM(I33:AM33)</f>
        <v>315</v>
      </c>
      <c r="AO32" s="236">
        <f>ROUNDDOWN((AN32/E32)/$H$4,1)</f>
        <v>5.2</v>
      </c>
      <c r="AP32" s="236">
        <f>$M$3+AO32</f>
        <v>995.2</v>
      </c>
    </row>
    <row r="33">
      <c r="A33" s="31"/>
      <c r="B33" s="17"/>
      <c r="C33" s="17"/>
      <c r="D33" s="17"/>
      <c r="E33" s="17"/>
      <c r="F33" s="18"/>
      <c r="G33" s="26"/>
      <c r="H33" s="7" t="s">
        <v>23</v>
      </c>
      <c r="I33" s="7">
        <v>68.0</v>
      </c>
      <c r="J33" s="7">
        <v>30.0</v>
      </c>
      <c r="K33" s="7">
        <v>72.0</v>
      </c>
      <c r="L33" s="7">
        <v>68.0</v>
      </c>
      <c r="M33" s="7">
        <v>76.0</v>
      </c>
      <c r="N33" s="7">
        <v>70.0</v>
      </c>
      <c r="O33" s="7">
        <v>54.0</v>
      </c>
      <c r="P33" s="7"/>
      <c r="Q33" s="7">
        <v>72.0</v>
      </c>
      <c r="R33" s="28">
        <v>80.0</v>
      </c>
      <c r="S33" s="28">
        <v>66.0</v>
      </c>
      <c r="T33" s="28">
        <v>64.0</v>
      </c>
      <c r="U33" s="28">
        <v>66.0</v>
      </c>
      <c r="V33" s="28">
        <v>82.0</v>
      </c>
      <c r="W33" s="28"/>
      <c r="X33" s="28">
        <v>64.0</v>
      </c>
      <c r="Y33" s="28">
        <v>48.0</v>
      </c>
      <c r="Z33" s="28">
        <v>42.0</v>
      </c>
      <c r="AA33" s="28">
        <v>42.0</v>
      </c>
      <c r="AB33" s="28"/>
      <c r="AC33" s="28"/>
      <c r="AD33" s="28"/>
      <c r="AE33" s="28"/>
      <c r="AF33" s="28"/>
      <c r="AG33" s="28"/>
      <c r="AH33" s="28">
        <v>36.0</v>
      </c>
      <c r="AI33" s="28"/>
      <c r="AJ33" s="28"/>
      <c r="AK33" s="28"/>
      <c r="AL33" s="28"/>
      <c r="AM33" s="28"/>
      <c r="AN33" s="32"/>
      <c r="AO33" s="32"/>
      <c r="AP33" s="32"/>
    </row>
    <row r="34">
      <c r="A34" s="33"/>
      <c r="B34" s="33"/>
      <c r="C34" s="33"/>
      <c r="D34" s="33"/>
      <c r="E34" s="25"/>
      <c r="F34" s="25"/>
      <c r="G34" s="7"/>
      <c r="H34" s="7"/>
      <c r="I34" s="41"/>
      <c r="J34" s="37"/>
      <c r="K34" s="41"/>
      <c r="L34" s="41"/>
      <c r="M34" s="41"/>
      <c r="N34" s="41"/>
      <c r="O34" s="37"/>
      <c r="P34" s="7"/>
      <c r="Q34" s="37"/>
      <c r="R34" s="42"/>
      <c r="S34" s="42"/>
      <c r="T34" s="6"/>
      <c r="U34" s="42"/>
      <c r="V34" s="42"/>
      <c r="W34" s="28"/>
      <c r="X34" s="6"/>
      <c r="Y34" s="6"/>
      <c r="Z34" s="6"/>
      <c r="AA34" s="6"/>
      <c r="AB34" s="38"/>
      <c r="AC34" s="38"/>
      <c r="AD34" s="28"/>
      <c r="AE34" s="27"/>
      <c r="AF34" s="27"/>
      <c r="AG34" s="27"/>
      <c r="AH34" s="28"/>
      <c r="AI34" s="27"/>
      <c r="AJ34" s="27"/>
      <c r="AK34" s="27"/>
      <c r="AL34" s="27"/>
      <c r="AM34" s="27"/>
      <c r="AN34" s="39"/>
      <c r="AO34" s="237"/>
      <c r="AP34" s="237"/>
    </row>
    <row r="35">
      <c r="A35" s="24" t="s">
        <v>33</v>
      </c>
      <c r="B35" s="17"/>
      <c r="C35" s="17"/>
      <c r="D35" s="18"/>
      <c r="E35" s="25">
        <v>2.0</v>
      </c>
      <c r="F35" s="25" t="s">
        <v>21</v>
      </c>
      <c r="G35" s="7">
        <f>29+9</f>
        <v>38</v>
      </c>
      <c r="H35" s="7" t="s">
        <v>22</v>
      </c>
      <c r="I35" s="7"/>
      <c r="J35" s="7">
        <f>15+45+45</f>
        <v>105</v>
      </c>
      <c r="K35" s="7">
        <f>45+45</f>
        <v>90</v>
      </c>
      <c r="L35" s="7">
        <v>45.0</v>
      </c>
      <c r="M35" s="7">
        <f>15+30+30</f>
        <v>75</v>
      </c>
      <c r="N35" s="7">
        <f>30+60</f>
        <v>90</v>
      </c>
      <c r="O35" s="7">
        <f>45+30</f>
        <v>75</v>
      </c>
      <c r="P35" s="7"/>
      <c r="Q35" s="7">
        <f>45+45</f>
        <v>90</v>
      </c>
      <c r="R35" s="28">
        <v>90.0</v>
      </c>
      <c r="S35" s="28">
        <f t="shared" ref="S35:T35" si="2">60+30</f>
        <v>90</v>
      </c>
      <c r="T35" s="28">
        <f t="shared" si="2"/>
        <v>90</v>
      </c>
      <c r="U35" s="28">
        <f>30+60</f>
        <v>90</v>
      </c>
      <c r="V35" s="28">
        <f>60+30</f>
        <v>90</v>
      </c>
      <c r="W35" s="28"/>
      <c r="X35" s="28">
        <f>15+15+45</f>
        <v>75</v>
      </c>
      <c r="Y35" s="28">
        <f>30+60</f>
        <v>90</v>
      </c>
      <c r="Z35" s="28">
        <f>30+30</f>
        <v>60</v>
      </c>
      <c r="AA35" s="28">
        <v>30.0</v>
      </c>
      <c r="AB35" s="28">
        <v>45.0</v>
      </c>
      <c r="AC35" s="28">
        <f>30+30</f>
        <v>60</v>
      </c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9">
        <f>G35+SUM(I35:AM35)-SUM(I36:AM36)</f>
        <v>318</v>
      </c>
      <c r="AO35" s="236">
        <f>ROUNDDOWN((AN35/E35)/$H$4,1)</f>
        <v>5.3</v>
      </c>
      <c r="AP35" s="236">
        <f>$M$3+AO35</f>
        <v>995.3</v>
      </c>
    </row>
    <row r="36">
      <c r="A36" s="31"/>
      <c r="B36" s="17"/>
      <c r="C36" s="17"/>
      <c r="D36" s="17"/>
      <c r="E36" s="17"/>
      <c r="F36" s="18"/>
      <c r="G36" s="26"/>
      <c r="H36" s="7" t="s">
        <v>23</v>
      </c>
      <c r="I36" s="7">
        <v>68.0</v>
      </c>
      <c r="J36" s="7">
        <v>30.0</v>
      </c>
      <c r="K36" s="7">
        <v>72.0</v>
      </c>
      <c r="L36" s="7">
        <v>68.0</v>
      </c>
      <c r="M36" s="7">
        <v>76.0</v>
      </c>
      <c r="N36" s="7">
        <v>70.0</v>
      </c>
      <c r="O36" s="7">
        <v>54.0</v>
      </c>
      <c r="P36" s="7"/>
      <c r="Q36" s="7">
        <v>72.0</v>
      </c>
      <c r="R36" s="28">
        <v>80.0</v>
      </c>
      <c r="S36" s="28">
        <v>66.0</v>
      </c>
      <c r="T36" s="28">
        <v>64.0</v>
      </c>
      <c r="U36" s="28">
        <v>66.0</v>
      </c>
      <c r="V36" s="28">
        <v>82.0</v>
      </c>
      <c r="W36" s="28"/>
      <c r="X36" s="28">
        <v>64.0</v>
      </c>
      <c r="Y36" s="28">
        <v>48.0</v>
      </c>
      <c r="Z36" s="28">
        <v>42.0</v>
      </c>
      <c r="AA36" s="28">
        <v>42.0</v>
      </c>
      <c r="AB36" s="28"/>
      <c r="AC36" s="28"/>
      <c r="AD36" s="28"/>
      <c r="AE36" s="28"/>
      <c r="AF36" s="28"/>
      <c r="AG36" s="28"/>
      <c r="AH36" s="28">
        <v>36.0</v>
      </c>
      <c r="AI36" s="28"/>
      <c r="AJ36" s="28"/>
      <c r="AK36" s="28"/>
      <c r="AL36" s="28"/>
      <c r="AM36" s="28"/>
      <c r="AN36" s="32"/>
      <c r="AO36" s="32"/>
      <c r="AP36" s="32"/>
    </row>
    <row r="37">
      <c r="A37" s="33"/>
      <c r="B37" s="33"/>
      <c r="C37" s="33"/>
      <c r="D37" s="33"/>
      <c r="E37" s="25"/>
      <c r="F37" s="25"/>
      <c r="G37" s="7"/>
      <c r="H37" s="7"/>
      <c r="I37" s="37"/>
      <c r="J37" s="37"/>
      <c r="K37" s="37"/>
      <c r="L37" s="37"/>
      <c r="M37" s="37"/>
      <c r="N37" s="37"/>
      <c r="O37" s="37"/>
      <c r="P37" s="26"/>
      <c r="Q37" s="37"/>
      <c r="R37" s="42"/>
      <c r="S37" s="6"/>
      <c r="T37" s="6"/>
      <c r="U37" s="6"/>
      <c r="V37" s="6"/>
      <c r="W37" s="27"/>
      <c r="X37" s="6"/>
      <c r="Y37" s="6"/>
      <c r="Z37" s="6"/>
      <c r="AA37" s="6"/>
      <c r="AB37" s="10"/>
      <c r="AC37" s="10"/>
      <c r="AD37" s="27"/>
      <c r="AE37" s="27"/>
      <c r="AF37" s="27"/>
      <c r="AG37" s="27"/>
      <c r="AH37" s="27"/>
      <c r="AI37" s="27"/>
      <c r="AJ37" s="27"/>
      <c r="AK37" s="27"/>
      <c r="AL37" s="28"/>
      <c r="AM37" s="27"/>
      <c r="AN37" s="39"/>
      <c r="AO37" s="237"/>
      <c r="AP37" s="237"/>
    </row>
    <row r="38">
      <c r="A38" s="24" t="s">
        <v>34</v>
      </c>
      <c r="B38" s="17"/>
      <c r="C38" s="17"/>
      <c r="D38" s="18"/>
      <c r="E38" s="25">
        <v>1.0</v>
      </c>
      <c r="F38" s="25" t="s">
        <v>21</v>
      </c>
      <c r="G38" s="7">
        <v>625.0</v>
      </c>
      <c r="H38" s="7" t="s">
        <v>22</v>
      </c>
      <c r="I38" s="26"/>
      <c r="J38" s="26"/>
      <c r="K38" s="26"/>
      <c r="L38" s="26"/>
      <c r="M38" s="7">
        <v>510.0</v>
      </c>
      <c r="N38" s="26"/>
      <c r="O38" s="26"/>
      <c r="P38" s="26"/>
      <c r="Q38" s="26"/>
      <c r="R38" s="28"/>
      <c r="S38" s="27"/>
      <c r="T38" s="27"/>
      <c r="U38" s="27"/>
      <c r="V38" s="27"/>
      <c r="W38" s="27"/>
      <c r="X38" s="27"/>
      <c r="Y38" s="28"/>
      <c r="Z38" s="27"/>
      <c r="AA38" s="27"/>
      <c r="AB38" s="27"/>
      <c r="AC38" s="27"/>
      <c r="AD38" s="27"/>
      <c r="AE38" s="27"/>
      <c r="AF38" s="28"/>
      <c r="AG38" s="27"/>
      <c r="AH38" s="27"/>
      <c r="AI38" s="27"/>
      <c r="AJ38" s="28"/>
      <c r="AK38" s="28"/>
      <c r="AL38" s="27"/>
      <c r="AM38" s="27"/>
      <c r="AN38" s="29">
        <f>G38+SUM(I38:AM38)-SUM(I39:AM39)</f>
        <v>625</v>
      </c>
      <c r="AO38" s="236">
        <f>ROUNDDOWN((AN38/E38)/$H$4,1)</f>
        <v>20.8</v>
      </c>
      <c r="AP38" s="236">
        <f>$M$3+AO38</f>
        <v>1010.8</v>
      </c>
    </row>
    <row r="39">
      <c r="A39" s="31"/>
      <c r="B39" s="17"/>
      <c r="C39" s="17"/>
      <c r="D39" s="17"/>
      <c r="E39" s="17"/>
      <c r="F39" s="18"/>
      <c r="G39" s="26"/>
      <c r="H39" s="7" t="s">
        <v>23</v>
      </c>
      <c r="I39" s="7"/>
      <c r="J39" s="7"/>
      <c r="K39" s="7">
        <v>50.0</v>
      </c>
      <c r="L39" s="7"/>
      <c r="M39" s="7">
        <v>80.0</v>
      </c>
      <c r="N39" s="7"/>
      <c r="O39" s="7">
        <v>80.0</v>
      </c>
      <c r="P39" s="7"/>
      <c r="Q39" s="7"/>
      <c r="R39" s="28">
        <v>60.0</v>
      </c>
      <c r="S39" s="28"/>
      <c r="T39" s="28">
        <v>60.0</v>
      </c>
      <c r="U39" s="28"/>
      <c r="V39" s="28"/>
      <c r="W39" s="28"/>
      <c r="X39" s="28"/>
      <c r="Y39" s="28">
        <v>60.0</v>
      </c>
      <c r="Z39" s="28">
        <v>60.0</v>
      </c>
      <c r="AA39" s="28">
        <v>60.0</v>
      </c>
      <c r="AB39" s="28"/>
      <c r="AC39" s="28"/>
      <c r="AD39" s="27"/>
      <c r="AE39" s="28"/>
      <c r="AF39" s="28"/>
      <c r="AG39" s="28"/>
      <c r="AH39" s="27"/>
      <c r="AI39" s="28"/>
      <c r="AJ39" s="27"/>
      <c r="AK39" s="27"/>
      <c r="AL39" s="28"/>
      <c r="AM39" s="27"/>
      <c r="AN39" s="32"/>
      <c r="AO39" s="32"/>
      <c r="AP39" s="32"/>
    </row>
    <row r="40">
      <c r="A40" s="33"/>
      <c r="B40" s="33"/>
      <c r="C40" s="33"/>
      <c r="D40" s="33"/>
      <c r="E40" s="25"/>
      <c r="F40" s="25"/>
      <c r="G40" s="7"/>
      <c r="H40" s="7"/>
      <c r="I40" s="36"/>
      <c r="J40" s="36"/>
      <c r="K40" s="41"/>
      <c r="L40" s="36"/>
      <c r="M40" s="37"/>
      <c r="N40" s="36"/>
      <c r="O40" s="37"/>
      <c r="P40" s="7"/>
      <c r="Q40" s="36"/>
      <c r="R40" s="42"/>
      <c r="S40" s="10"/>
      <c r="T40" s="6"/>
      <c r="U40" s="10"/>
      <c r="V40" s="10"/>
      <c r="W40" s="27"/>
      <c r="X40" s="10"/>
      <c r="Y40" s="6"/>
      <c r="Z40" s="6"/>
      <c r="AA40" s="6"/>
      <c r="AB40" s="10"/>
      <c r="AC40" s="10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39"/>
      <c r="AO40" s="237"/>
      <c r="AP40" s="237"/>
    </row>
    <row r="41">
      <c r="A41" s="24" t="s">
        <v>35</v>
      </c>
      <c r="B41" s="17"/>
      <c r="C41" s="17"/>
      <c r="D41" s="18"/>
      <c r="E41" s="25">
        <v>1.0</v>
      </c>
      <c r="F41" s="25" t="s">
        <v>21</v>
      </c>
      <c r="G41" s="7">
        <v>755.0</v>
      </c>
      <c r="H41" s="7" t="s">
        <v>22</v>
      </c>
      <c r="I41" s="26"/>
      <c r="J41" s="26"/>
      <c r="K41" s="26"/>
      <c r="L41" s="26"/>
      <c r="M41" s="7">
        <v>510.0</v>
      </c>
      <c r="N41" s="7"/>
      <c r="O41" s="26"/>
      <c r="P41" s="26"/>
      <c r="Q41" s="26"/>
      <c r="R41" s="28"/>
      <c r="S41" s="27"/>
      <c r="T41" s="27"/>
      <c r="U41" s="27"/>
      <c r="V41" s="27"/>
      <c r="W41" s="27"/>
      <c r="X41" s="27"/>
      <c r="Y41" s="28"/>
      <c r="Z41" s="27"/>
      <c r="AA41" s="27"/>
      <c r="AB41" s="27"/>
      <c r="AC41" s="27"/>
      <c r="AD41" s="27"/>
      <c r="AE41" s="27"/>
      <c r="AF41" s="28"/>
      <c r="AG41" s="27"/>
      <c r="AH41" s="27"/>
      <c r="AI41" s="27"/>
      <c r="AJ41" s="28"/>
      <c r="AK41" s="28"/>
      <c r="AL41" s="27"/>
      <c r="AM41" s="27"/>
      <c r="AN41" s="29">
        <f>G41+SUM(I41:AM41)-SUM(I42:AM42)</f>
        <v>755</v>
      </c>
      <c r="AO41" s="236">
        <f>ROUNDDOWN((AN41/E41)/$H$4,1)</f>
        <v>25.1</v>
      </c>
      <c r="AP41" s="236">
        <f>$M$3+AO41</f>
        <v>1015.1</v>
      </c>
    </row>
    <row r="42">
      <c r="A42" s="31"/>
      <c r="B42" s="17"/>
      <c r="C42" s="17"/>
      <c r="D42" s="17"/>
      <c r="E42" s="17"/>
      <c r="F42" s="18"/>
      <c r="G42" s="26"/>
      <c r="H42" s="7" t="s">
        <v>23</v>
      </c>
      <c r="I42" s="7"/>
      <c r="J42" s="7"/>
      <c r="K42" s="7">
        <v>50.0</v>
      </c>
      <c r="L42" s="7"/>
      <c r="M42" s="7">
        <v>80.0</v>
      </c>
      <c r="N42" s="7"/>
      <c r="O42" s="7">
        <v>80.0</v>
      </c>
      <c r="P42" s="7"/>
      <c r="Q42" s="7"/>
      <c r="R42" s="28">
        <v>60.0</v>
      </c>
      <c r="S42" s="28"/>
      <c r="T42" s="28">
        <v>60.0</v>
      </c>
      <c r="U42" s="28"/>
      <c r="V42" s="28"/>
      <c r="W42" s="28"/>
      <c r="X42" s="28"/>
      <c r="Y42" s="28">
        <v>60.0</v>
      </c>
      <c r="Z42" s="28">
        <v>60.0</v>
      </c>
      <c r="AA42" s="28">
        <v>60.0</v>
      </c>
      <c r="AB42" s="28"/>
      <c r="AC42" s="28"/>
      <c r="AD42" s="27"/>
      <c r="AE42" s="28"/>
      <c r="AF42" s="28"/>
      <c r="AG42" s="28"/>
      <c r="AH42" s="27"/>
      <c r="AI42" s="28"/>
      <c r="AJ42" s="27"/>
      <c r="AK42" s="27"/>
      <c r="AL42" s="28"/>
      <c r="AM42" s="27"/>
      <c r="AN42" s="32"/>
      <c r="AO42" s="32"/>
      <c r="AP42" s="32"/>
    </row>
    <row r="43">
      <c r="A43" s="33"/>
      <c r="B43" s="33"/>
      <c r="C43" s="33"/>
      <c r="D43" s="33"/>
      <c r="E43" s="25"/>
      <c r="F43" s="25"/>
      <c r="G43" s="7"/>
      <c r="H43" s="7"/>
      <c r="I43" s="36"/>
      <c r="J43" s="36"/>
      <c r="K43" s="41"/>
      <c r="L43" s="36"/>
      <c r="M43" s="37"/>
      <c r="N43" s="36"/>
      <c r="O43" s="37"/>
      <c r="P43" s="7"/>
      <c r="Q43" s="36"/>
      <c r="R43" s="42"/>
      <c r="S43" s="10"/>
      <c r="T43" s="6"/>
      <c r="U43" s="10"/>
      <c r="V43" s="10"/>
      <c r="W43" s="27"/>
      <c r="X43" s="10"/>
      <c r="Y43" s="6"/>
      <c r="Z43" s="6"/>
      <c r="AA43" s="6"/>
      <c r="AB43" s="10"/>
      <c r="AC43" s="10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39"/>
      <c r="AO43" s="237"/>
      <c r="AP43" s="237"/>
    </row>
    <row r="44">
      <c r="A44" s="24" t="s">
        <v>36</v>
      </c>
      <c r="B44" s="17"/>
      <c r="C44" s="17"/>
      <c r="D44" s="18"/>
      <c r="E44" s="25">
        <v>2.0</v>
      </c>
      <c r="F44" s="25" t="s">
        <v>21</v>
      </c>
      <c r="G44" s="7">
        <v>1390.0</v>
      </c>
      <c r="H44" s="7" t="s">
        <v>22</v>
      </c>
      <c r="I44" s="26"/>
      <c r="J44" s="7">
        <v>1020.0</v>
      </c>
      <c r="K44" s="7"/>
      <c r="L44" s="7"/>
      <c r="M44" s="26"/>
      <c r="N44" s="26"/>
      <c r="O44" s="26"/>
      <c r="P44" s="26"/>
      <c r="Q44" s="26"/>
      <c r="R44" s="27"/>
      <c r="S44" s="27"/>
      <c r="T44" s="28">
        <v>2040.0</v>
      </c>
      <c r="U44" s="27"/>
      <c r="V44" s="27"/>
      <c r="W44" s="27"/>
      <c r="X44" s="28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9">
        <f>G44+SUM(I44:AM44)-SUM(I45:AM45)</f>
        <v>3350</v>
      </c>
      <c r="AO44" s="236">
        <f>ROUNDDOWN((AN44/E44)/$H$4,1)</f>
        <v>55.8</v>
      </c>
      <c r="AP44" s="236">
        <f>$M$3+AO44</f>
        <v>1045.8</v>
      </c>
    </row>
    <row r="45">
      <c r="A45" s="31"/>
      <c r="B45" s="17"/>
      <c r="C45" s="17"/>
      <c r="D45" s="17"/>
      <c r="E45" s="17"/>
      <c r="F45" s="18"/>
      <c r="G45" s="26"/>
      <c r="H45" s="7" t="s">
        <v>23</v>
      </c>
      <c r="I45" s="7">
        <v>68.0</v>
      </c>
      <c r="J45" s="7">
        <v>30.0</v>
      </c>
      <c r="K45" s="7">
        <v>72.0</v>
      </c>
      <c r="L45" s="7">
        <v>68.0</v>
      </c>
      <c r="M45" s="7">
        <v>76.0</v>
      </c>
      <c r="N45" s="7">
        <v>70.0</v>
      </c>
      <c r="O45" s="7">
        <v>54.0</v>
      </c>
      <c r="P45" s="7"/>
      <c r="Q45" s="7">
        <v>72.0</v>
      </c>
      <c r="R45" s="28">
        <v>80.0</v>
      </c>
      <c r="S45" s="28">
        <v>66.0</v>
      </c>
      <c r="T45" s="28">
        <v>64.0</v>
      </c>
      <c r="U45" s="28">
        <v>66.0</v>
      </c>
      <c r="V45" s="28">
        <v>82.0</v>
      </c>
      <c r="W45" s="28"/>
      <c r="X45" s="28">
        <v>64.0</v>
      </c>
      <c r="Y45" s="28">
        <v>48.0</v>
      </c>
      <c r="Z45" s="28">
        <v>42.0</v>
      </c>
      <c r="AA45" s="28">
        <v>42.0</v>
      </c>
      <c r="AB45" s="28"/>
      <c r="AC45" s="28"/>
      <c r="AD45" s="28"/>
      <c r="AE45" s="28"/>
      <c r="AF45" s="28"/>
      <c r="AG45" s="28"/>
      <c r="AH45" s="28">
        <v>36.0</v>
      </c>
      <c r="AI45" s="28"/>
      <c r="AJ45" s="28"/>
      <c r="AK45" s="28"/>
      <c r="AL45" s="28"/>
      <c r="AM45" s="28"/>
      <c r="AN45" s="32"/>
      <c r="AO45" s="32"/>
      <c r="AP45" s="32"/>
    </row>
    <row r="46">
      <c r="A46" s="33"/>
      <c r="B46" s="33"/>
      <c r="C46" s="33"/>
      <c r="D46" s="33"/>
      <c r="E46" s="25"/>
      <c r="F46" s="25"/>
      <c r="G46" s="7"/>
      <c r="H46" s="7"/>
      <c r="I46" s="37"/>
      <c r="J46" s="37"/>
      <c r="K46" s="41"/>
      <c r="L46" s="37"/>
      <c r="M46" s="37"/>
      <c r="N46" s="37"/>
      <c r="O46" s="37"/>
      <c r="P46" s="7"/>
      <c r="Q46" s="41"/>
      <c r="R46" s="6"/>
      <c r="S46" s="6"/>
      <c r="T46" s="6"/>
      <c r="U46" s="6"/>
      <c r="V46" s="6"/>
      <c r="W46" s="27"/>
      <c r="X46" s="6"/>
      <c r="Y46" s="6"/>
      <c r="Z46" s="6"/>
      <c r="AA46" s="6"/>
      <c r="AB46" s="10"/>
      <c r="AC46" s="10"/>
      <c r="AD46" s="27"/>
      <c r="AE46" s="27"/>
      <c r="AF46" s="28"/>
      <c r="AG46" s="27"/>
      <c r="AH46" s="27"/>
      <c r="AI46" s="27"/>
      <c r="AJ46" s="27"/>
      <c r="AK46" s="27"/>
      <c r="AL46" s="27"/>
      <c r="AM46" s="27"/>
      <c r="AN46" s="39"/>
      <c r="AO46" s="237"/>
      <c r="AP46" s="237"/>
    </row>
    <row r="47">
      <c r="A47" s="24" t="s">
        <v>37</v>
      </c>
      <c r="B47" s="17"/>
      <c r="C47" s="17"/>
      <c r="D47" s="18"/>
      <c r="E47" s="25">
        <v>2.0</v>
      </c>
      <c r="F47" s="25" t="s">
        <v>21</v>
      </c>
      <c r="G47" s="7">
        <v>812.0</v>
      </c>
      <c r="H47" s="7" t="s">
        <v>22</v>
      </c>
      <c r="I47" s="26"/>
      <c r="J47" s="7">
        <v>300.0</v>
      </c>
      <c r="K47" s="7"/>
      <c r="L47" s="7"/>
      <c r="M47" s="7"/>
      <c r="N47" s="7">
        <v>400.0</v>
      </c>
      <c r="O47" s="7"/>
      <c r="P47" s="7"/>
      <c r="Q47" s="7">
        <v>320.0</v>
      </c>
      <c r="R47" s="27"/>
      <c r="S47" s="28"/>
      <c r="T47" s="28"/>
      <c r="U47" s="28"/>
      <c r="V47" s="28"/>
      <c r="W47" s="28"/>
      <c r="X47" s="28"/>
      <c r="Y47" s="28"/>
      <c r="Z47" s="28">
        <v>360.0</v>
      </c>
      <c r="AA47" s="28"/>
      <c r="AB47" s="27"/>
      <c r="AC47" s="28"/>
      <c r="AD47" s="28"/>
      <c r="AE47" s="28"/>
      <c r="AF47" s="28"/>
      <c r="AG47" s="28"/>
      <c r="AH47" s="28"/>
      <c r="AI47" s="27"/>
      <c r="AJ47" s="28"/>
      <c r="AK47" s="28"/>
      <c r="AL47" s="28"/>
      <c r="AM47" s="27"/>
      <c r="AN47" s="29">
        <f>G47+SUM(I47:AM47)-SUM(I48:AM48)</f>
        <v>1092</v>
      </c>
      <c r="AO47" s="236">
        <f>ROUNDDOWN((AN47/E47)/$H$4,1)</f>
        <v>18.2</v>
      </c>
      <c r="AP47" s="236">
        <f>$M$3+AO47</f>
        <v>1008.2</v>
      </c>
    </row>
    <row r="48">
      <c r="A48" s="31"/>
      <c r="B48" s="17"/>
      <c r="C48" s="17"/>
      <c r="D48" s="17"/>
      <c r="E48" s="17"/>
      <c r="F48" s="18"/>
      <c r="G48" s="26"/>
      <c r="H48" s="7" t="s">
        <v>23</v>
      </c>
      <c r="I48" s="7">
        <v>68.0</v>
      </c>
      <c r="J48" s="7">
        <v>30.0</v>
      </c>
      <c r="K48" s="7">
        <v>72.0</v>
      </c>
      <c r="L48" s="7">
        <v>68.0</v>
      </c>
      <c r="M48" s="7">
        <v>76.0</v>
      </c>
      <c r="N48" s="7">
        <v>70.0</v>
      </c>
      <c r="O48" s="7">
        <v>54.0</v>
      </c>
      <c r="P48" s="7"/>
      <c r="Q48" s="7">
        <v>72.0</v>
      </c>
      <c r="R48" s="28">
        <v>80.0</v>
      </c>
      <c r="S48" s="28">
        <v>66.0</v>
      </c>
      <c r="T48" s="28">
        <v>64.0</v>
      </c>
      <c r="U48" s="28">
        <v>66.0</v>
      </c>
      <c r="V48" s="28">
        <v>82.0</v>
      </c>
      <c r="W48" s="28"/>
      <c r="X48" s="28">
        <v>64.0</v>
      </c>
      <c r="Y48" s="28">
        <v>48.0</v>
      </c>
      <c r="Z48" s="28">
        <v>42.0</v>
      </c>
      <c r="AA48" s="28">
        <v>42.0</v>
      </c>
      <c r="AB48" s="28"/>
      <c r="AC48" s="28"/>
      <c r="AD48" s="28"/>
      <c r="AE48" s="28"/>
      <c r="AF48" s="28"/>
      <c r="AG48" s="28"/>
      <c r="AH48" s="28">
        <v>36.0</v>
      </c>
      <c r="AI48" s="28"/>
      <c r="AJ48" s="28"/>
      <c r="AK48" s="28"/>
      <c r="AL48" s="28"/>
      <c r="AM48" s="28"/>
      <c r="AN48" s="32"/>
      <c r="AO48" s="32"/>
      <c r="AP48" s="32"/>
    </row>
    <row r="49">
      <c r="A49" s="33"/>
      <c r="B49" s="33"/>
      <c r="C49" s="33"/>
      <c r="D49" s="33"/>
      <c r="E49" s="25"/>
      <c r="F49" s="25"/>
      <c r="G49" s="7"/>
      <c r="H49" s="7"/>
      <c r="I49" s="37"/>
      <c r="J49" s="37"/>
      <c r="K49" s="41"/>
      <c r="L49" s="37"/>
      <c r="M49" s="37"/>
      <c r="N49" s="37"/>
      <c r="O49" s="37"/>
      <c r="P49" s="7"/>
      <c r="Q49" s="37"/>
      <c r="R49" s="6"/>
      <c r="S49" s="6"/>
      <c r="T49" s="6"/>
      <c r="U49" s="42"/>
      <c r="V49" s="6"/>
      <c r="W49" s="27"/>
      <c r="X49" s="6"/>
      <c r="Y49" s="6"/>
      <c r="Z49" s="6"/>
      <c r="AA49" s="6"/>
      <c r="AB49" s="38"/>
      <c r="AC49" s="38"/>
      <c r="AD49" s="27"/>
      <c r="AE49" s="27"/>
      <c r="AF49" s="28"/>
      <c r="AG49" s="27"/>
      <c r="AH49" s="27"/>
      <c r="AI49" s="27"/>
      <c r="AJ49" s="27"/>
      <c r="AK49" s="27"/>
      <c r="AL49" s="27"/>
      <c r="AM49" s="27"/>
      <c r="AN49" s="39"/>
      <c r="AO49" s="237"/>
      <c r="AP49" s="237"/>
    </row>
    <row r="50">
      <c r="A50" s="24" t="s">
        <v>38</v>
      </c>
      <c r="B50" s="17"/>
      <c r="C50" s="17"/>
      <c r="D50" s="18"/>
      <c r="E50" s="25">
        <v>1.0</v>
      </c>
      <c r="F50" s="25" t="s">
        <v>21</v>
      </c>
      <c r="G50" s="7">
        <v>594.0</v>
      </c>
      <c r="H50" s="7" t="s">
        <v>22</v>
      </c>
      <c r="I50" s="26"/>
      <c r="J50" s="7">
        <v>150.0</v>
      </c>
      <c r="K50" s="7"/>
      <c r="L50" s="7"/>
      <c r="M50" s="7"/>
      <c r="N50" s="7">
        <v>200.0</v>
      </c>
      <c r="O50" s="7"/>
      <c r="P50" s="7"/>
      <c r="Q50" s="7">
        <v>160.0</v>
      </c>
      <c r="R50" s="27"/>
      <c r="S50" s="28"/>
      <c r="T50" s="28"/>
      <c r="U50" s="28"/>
      <c r="V50" s="28"/>
      <c r="W50" s="28"/>
      <c r="X50" s="28"/>
      <c r="Y50" s="28"/>
      <c r="Z50" s="28">
        <v>180.0</v>
      </c>
      <c r="AA50" s="28"/>
      <c r="AB50" s="27"/>
      <c r="AC50" s="28"/>
      <c r="AD50" s="28"/>
      <c r="AE50" s="28"/>
      <c r="AF50" s="28"/>
      <c r="AG50" s="28"/>
      <c r="AH50" s="28"/>
      <c r="AI50" s="27"/>
      <c r="AJ50" s="28"/>
      <c r="AK50" s="28"/>
      <c r="AL50" s="28"/>
      <c r="AM50" s="27"/>
      <c r="AN50" s="29">
        <f>G50+SUM(I50:AM50)-SUM(I51:AM51)</f>
        <v>734</v>
      </c>
      <c r="AO50" s="236">
        <f>ROUNDDOWN((AN50/E50)/$H$4,1)</f>
        <v>24.4</v>
      </c>
      <c r="AP50" s="236">
        <f>$M$3+AO50</f>
        <v>1014.4</v>
      </c>
    </row>
    <row r="51">
      <c r="A51" s="31"/>
      <c r="B51" s="17"/>
      <c r="C51" s="17"/>
      <c r="D51" s="17"/>
      <c r="E51" s="17"/>
      <c r="F51" s="18"/>
      <c r="G51" s="26"/>
      <c r="H51" s="7" t="s">
        <v>23</v>
      </c>
      <c r="I51" s="7">
        <v>34.0</v>
      </c>
      <c r="J51" s="7">
        <v>15.0</v>
      </c>
      <c r="K51" s="7">
        <v>36.0</v>
      </c>
      <c r="L51" s="7">
        <v>34.0</v>
      </c>
      <c r="M51" s="7">
        <v>38.0</v>
      </c>
      <c r="N51" s="7">
        <v>35.0</v>
      </c>
      <c r="O51" s="7">
        <v>27.0</v>
      </c>
      <c r="P51" s="7"/>
      <c r="Q51" s="7">
        <v>36.0</v>
      </c>
      <c r="R51" s="28">
        <v>40.0</v>
      </c>
      <c r="S51" s="28">
        <v>33.0</v>
      </c>
      <c r="T51" s="28">
        <v>32.0</v>
      </c>
      <c r="U51" s="28">
        <v>33.0</v>
      </c>
      <c r="V51" s="28">
        <v>41.0</v>
      </c>
      <c r="W51" s="28"/>
      <c r="X51" s="28">
        <v>32.0</v>
      </c>
      <c r="Y51" s="28">
        <v>24.0</v>
      </c>
      <c r="Z51" s="28">
        <v>21.0</v>
      </c>
      <c r="AA51" s="28">
        <v>21.0</v>
      </c>
      <c r="AB51" s="28"/>
      <c r="AC51" s="28"/>
      <c r="AD51" s="28"/>
      <c r="AE51" s="28"/>
      <c r="AF51" s="28"/>
      <c r="AG51" s="28"/>
      <c r="AH51" s="28">
        <v>18.0</v>
      </c>
      <c r="AI51" s="28"/>
      <c r="AJ51" s="28"/>
      <c r="AK51" s="28"/>
      <c r="AL51" s="28"/>
      <c r="AM51" s="28"/>
      <c r="AN51" s="32"/>
      <c r="AO51" s="32"/>
      <c r="AP51" s="32"/>
    </row>
    <row r="52">
      <c r="A52" s="33"/>
      <c r="B52" s="33"/>
      <c r="C52" s="33"/>
      <c r="D52" s="33"/>
      <c r="E52" s="25"/>
      <c r="F52" s="25"/>
      <c r="G52" s="7"/>
      <c r="H52" s="7"/>
      <c r="I52" s="37"/>
      <c r="J52" s="37"/>
      <c r="K52" s="41"/>
      <c r="L52" s="37"/>
      <c r="M52" s="37"/>
      <c r="N52" s="37"/>
      <c r="O52" s="37"/>
      <c r="P52" s="7"/>
      <c r="Q52" s="37"/>
      <c r="R52" s="6"/>
      <c r="S52" s="6"/>
      <c r="T52" s="6"/>
      <c r="U52" s="6"/>
      <c r="V52" s="6"/>
      <c r="W52" s="28"/>
      <c r="X52" s="6"/>
      <c r="Y52" s="6"/>
      <c r="Z52" s="6"/>
      <c r="AA52" s="6"/>
      <c r="AB52" s="10"/>
      <c r="AC52" s="10"/>
      <c r="AD52" s="27"/>
      <c r="AE52" s="27"/>
      <c r="AF52" s="28"/>
      <c r="AG52" s="27"/>
      <c r="AH52" s="27"/>
      <c r="AI52" s="27"/>
      <c r="AJ52" s="27"/>
      <c r="AK52" s="27"/>
      <c r="AL52" s="27"/>
      <c r="AM52" s="27"/>
      <c r="AN52" s="39"/>
      <c r="AO52" s="237"/>
      <c r="AP52" s="237"/>
    </row>
    <row r="53">
      <c r="A53" s="24" t="s">
        <v>39</v>
      </c>
      <c r="B53" s="17"/>
      <c r="C53" s="17"/>
      <c r="D53" s="18"/>
      <c r="E53" s="25">
        <v>1.0</v>
      </c>
      <c r="F53" s="25" t="s">
        <v>21</v>
      </c>
      <c r="G53" s="7">
        <v>616.0</v>
      </c>
      <c r="H53" s="7" t="s">
        <v>22</v>
      </c>
      <c r="I53" s="7"/>
      <c r="J53" s="7">
        <v>150.0</v>
      </c>
      <c r="K53" s="7"/>
      <c r="L53" s="7"/>
      <c r="M53" s="7"/>
      <c r="N53" s="7">
        <v>200.0</v>
      </c>
      <c r="O53" s="7"/>
      <c r="P53" s="7"/>
      <c r="Q53" s="7">
        <v>160.0</v>
      </c>
      <c r="R53" s="27"/>
      <c r="S53" s="28"/>
      <c r="T53" s="28"/>
      <c r="U53" s="28"/>
      <c r="V53" s="28"/>
      <c r="W53" s="28"/>
      <c r="X53" s="28"/>
      <c r="Y53" s="28"/>
      <c r="Z53" s="28">
        <v>180.0</v>
      </c>
      <c r="AA53" s="28"/>
      <c r="AB53" s="27"/>
      <c r="AC53" s="28"/>
      <c r="AD53" s="28"/>
      <c r="AE53" s="28"/>
      <c r="AF53" s="28"/>
      <c r="AG53" s="28"/>
      <c r="AH53" s="28"/>
      <c r="AI53" s="27"/>
      <c r="AJ53" s="28"/>
      <c r="AK53" s="28"/>
      <c r="AL53" s="28"/>
      <c r="AM53" s="27"/>
      <c r="AN53" s="29">
        <f>G53+SUM(I53:AM53)-SUM(I54:AM54)</f>
        <v>756</v>
      </c>
      <c r="AO53" s="236">
        <f>ROUNDDOWN((AN53/E53)/$H$4,1)</f>
        <v>25.2</v>
      </c>
      <c r="AP53" s="236">
        <f>$M$3+AO53</f>
        <v>1015.2</v>
      </c>
    </row>
    <row r="54">
      <c r="A54" s="31"/>
      <c r="B54" s="17"/>
      <c r="C54" s="17"/>
      <c r="D54" s="17"/>
      <c r="E54" s="17"/>
      <c r="F54" s="18"/>
      <c r="G54" s="26"/>
      <c r="H54" s="7" t="s">
        <v>23</v>
      </c>
      <c r="I54" s="7">
        <v>34.0</v>
      </c>
      <c r="J54" s="7">
        <v>15.0</v>
      </c>
      <c r="K54" s="7">
        <v>36.0</v>
      </c>
      <c r="L54" s="7">
        <v>34.0</v>
      </c>
      <c r="M54" s="7">
        <v>38.0</v>
      </c>
      <c r="N54" s="7">
        <v>35.0</v>
      </c>
      <c r="O54" s="7">
        <v>27.0</v>
      </c>
      <c r="P54" s="7"/>
      <c r="Q54" s="7">
        <v>36.0</v>
      </c>
      <c r="R54" s="28">
        <v>40.0</v>
      </c>
      <c r="S54" s="28">
        <v>33.0</v>
      </c>
      <c r="T54" s="28">
        <v>32.0</v>
      </c>
      <c r="U54" s="28">
        <v>33.0</v>
      </c>
      <c r="V54" s="28">
        <v>41.0</v>
      </c>
      <c r="W54" s="28"/>
      <c r="X54" s="28">
        <v>32.0</v>
      </c>
      <c r="Y54" s="28">
        <v>24.0</v>
      </c>
      <c r="Z54" s="28">
        <v>21.0</v>
      </c>
      <c r="AA54" s="28">
        <v>21.0</v>
      </c>
      <c r="AB54" s="28"/>
      <c r="AC54" s="28"/>
      <c r="AD54" s="28"/>
      <c r="AE54" s="28"/>
      <c r="AF54" s="28"/>
      <c r="AG54" s="28"/>
      <c r="AH54" s="28">
        <v>18.0</v>
      </c>
      <c r="AI54" s="28"/>
      <c r="AJ54" s="28"/>
      <c r="AK54" s="28"/>
      <c r="AL54" s="28"/>
      <c r="AM54" s="28"/>
      <c r="AN54" s="32"/>
      <c r="AO54" s="32"/>
      <c r="AP54" s="32"/>
    </row>
    <row r="55">
      <c r="A55" s="33"/>
      <c r="B55" s="33"/>
      <c r="C55" s="33"/>
      <c r="D55" s="33"/>
      <c r="E55" s="25"/>
      <c r="F55" s="25"/>
      <c r="G55" s="7"/>
      <c r="H55" s="7"/>
      <c r="I55" s="37"/>
      <c r="J55" s="37"/>
      <c r="K55" s="41"/>
      <c r="L55" s="37"/>
      <c r="M55" s="37"/>
      <c r="N55" s="37"/>
      <c r="O55" s="41"/>
      <c r="P55" s="7"/>
      <c r="Q55" s="37"/>
      <c r="R55" s="6"/>
      <c r="S55" s="6"/>
      <c r="T55" s="6"/>
      <c r="U55" s="6"/>
      <c r="V55" s="6"/>
      <c r="W55" s="27"/>
      <c r="X55" s="6"/>
      <c r="Y55" s="6"/>
      <c r="Z55" s="6"/>
      <c r="AA55" s="6"/>
      <c r="AB55" s="10"/>
      <c r="AC55" s="10"/>
      <c r="AD55" s="27"/>
      <c r="AE55" s="27"/>
      <c r="AF55" s="28"/>
      <c r="AG55" s="27"/>
      <c r="AH55" s="27"/>
      <c r="AI55" s="27"/>
      <c r="AJ55" s="27"/>
      <c r="AK55" s="27"/>
      <c r="AL55" s="27"/>
      <c r="AM55" s="27"/>
      <c r="AN55" s="39"/>
      <c r="AO55" s="237"/>
      <c r="AP55" s="237"/>
    </row>
    <row r="56">
      <c r="A56" s="24" t="s">
        <v>40</v>
      </c>
      <c r="B56" s="17"/>
      <c r="C56" s="17"/>
      <c r="D56" s="18"/>
      <c r="E56" s="25">
        <v>1.0</v>
      </c>
      <c r="F56" s="25" t="s">
        <v>21</v>
      </c>
      <c r="G56" s="7">
        <v>743.0</v>
      </c>
      <c r="H56" s="7" t="s">
        <v>22</v>
      </c>
      <c r="I56" s="26"/>
      <c r="J56" s="7">
        <v>150.0</v>
      </c>
      <c r="K56" s="7"/>
      <c r="L56" s="7"/>
      <c r="M56" s="7"/>
      <c r="N56" s="7">
        <v>200.0</v>
      </c>
      <c r="O56" s="7"/>
      <c r="P56" s="7"/>
      <c r="Q56" s="7">
        <v>160.0</v>
      </c>
      <c r="R56" s="27"/>
      <c r="S56" s="28"/>
      <c r="T56" s="28"/>
      <c r="U56" s="28"/>
      <c r="V56" s="28"/>
      <c r="W56" s="28"/>
      <c r="X56" s="28"/>
      <c r="Y56" s="28"/>
      <c r="Z56" s="28">
        <v>180.0</v>
      </c>
      <c r="AA56" s="28"/>
      <c r="AB56" s="27"/>
      <c r="AC56" s="28"/>
      <c r="AD56" s="28"/>
      <c r="AE56" s="28"/>
      <c r="AF56" s="28"/>
      <c r="AG56" s="28"/>
      <c r="AH56" s="28"/>
      <c r="AI56" s="27"/>
      <c r="AJ56" s="28"/>
      <c r="AK56" s="28"/>
      <c r="AL56" s="28"/>
      <c r="AM56" s="27"/>
      <c r="AN56" s="29">
        <f>G56+SUM(I56:AM56)-SUM(I57:AM57)</f>
        <v>881</v>
      </c>
      <c r="AO56" s="236">
        <f>ROUNDDOWN((AN56/E56)/$H$4,1)</f>
        <v>29.3</v>
      </c>
      <c r="AP56" s="236">
        <f>$M$5+AO56</f>
        <v>1018.3</v>
      </c>
    </row>
    <row r="57">
      <c r="A57" s="31"/>
      <c r="B57" s="17"/>
      <c r="C57" s="17"/>
      <c r="D57" s="17"/>
      <c r="E57" s="17"/>
      <c r="F57" s="18"/>
      <c r="G57" s="26"/>
      <c r="H57" s="7" t="s">
        <v>23</v>
      </c>
      <c r="I57" s="7">
        <v>30.0</v>
      </c>
      <c r="J57" s="7">
        <v>20.0</v>
      </c>
      <c r="K57" s="7">
        <v>36.0</v>
      </c>
      <c r="L57" s="7">
        <v>34.0</v>
      </c>
      <c r="M57" s="7">
        <v>38.0</v>
      </c>
      <c r="N57" s="7">
        <v>35.0</v>
      </c>
      <c r="O57" s="7">
        <v>35.0</v>
      </c>
      <c r="P57" s="7"/>
      <c r="Q57" s="7">
        <v>36.0</v>
      </c>
      <c r="R57" s="28">
        <v>40.0</v>
      </c>
      <c r="S57" s="28">
        <v>33.0</v>
      </c>
      <c r="T57" s="28">
        <v>32.0</v>
      </c>
      <c r="U57" s="28">
        <v>33.0</v>
      </c>
      <c r="V57" s="28">
        <v>41.0</v>
      </c>
      <c r="W57" s="28"/>
      <c r="X57" s="28">
        <v>32.0</v>
      </c>
      <c r="Y57" s="28">
        <v>24.0</v>
      </c>
      <c r="Z57" s="28">
        <v>21.0</v>
      </c>
      <c r="AA57" s="28">
        <v>21.0</v>
      </c>
      <c r="AB57" s="28">
        <v>11.0</v>
      </c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32"/>
      <c r="AO57" s="32"/>
      <c r="AP57" s="32"/>
    </row>
    <row r="58">
      <c r="A58" s="54"/>
      <c r="B58" s="54"/>
      <c r="C58" s="54"/>
      <c r="D58" s="54"/>
      <c r="E58" s="25"/>
      <c r="F58" s="25"/>
      <c r="G58" s="7"/>
      <c r="H58" s="7"/>
      <c r="I58" s="37"/>
      <c r="J58" s="37"/>
      <c r="K58" s="41"/>
      <c r="L58" s="37"/>
      <c r="M58" s="37"/>
      <c r="N58" s="37"/>
      <c r="O58" s="37"/>
      <c r="P58" s="7"/>
      <c r="Q58" s="37"/>
      <c r="R58" s="6"/>
      <c r="S58" s="6"/>
      <c r="T58" s="6"/>
      <c r="U58" s="6"/>
      <c r="V58" s="6"/>
      <c r="W58" s="28"/>
      <c r="X58" s="42"/>
      <c r="Y58" s="6"/>
      <c r="Z58" s="6"/>
      <c r="AA58" s="6"/>
      <c r="AB58" s="6"/>
      <c r="AC58" s="10"/>
      <c r="AD58" s="27"/>
      <c r="AE58" s="27"/>
      <c r="AF58" s="28"/>
      <c r="AG58" s="27"/>
      <c r="AH58" s="27"/>
      <c r="AI58" s="27"/>
      <c r="AJ58" s="27"/>
      <c r="AK58" s="27"/>
      <c r="AL58" s="27"/>
      <c r="AM58" s="27"/>
      <c r="AN58" s="39"/>
      <c r="AO58" s="237"/>
      <c r="AP58" s="237"/>
    </row>
    <row r="59">
      <c r="A59" s="55" t="s">
        <v>41</v>
      </c>
      <c r="B59" s="17"/>
      <c r="C59" s="17"/>
      <c r="D59" s="18"/>
      <c r="E59" s="25">
        <v>1.0</v>
      </c>
      <c r="F59" s="25" t="s">
        <v>21</v>
      </c>
      <c r="G59" s="7">
        <v>547.0</v>
      </c>
      <c r="H59" s="7" t="s">
        <v>22</v>
      </c>
      <c r="I59" s="26"/>
      <c r="J59" s="7">
        <v>150.0</v>
      </c>
      <c r="K59" s="7"/>
      <c r="L59" s="7"/>
      <c r="M59" s="7"/>
      <c r="N59" s="7">
        <v>200.0</v>
      </c>
      <c r="O59" s="7"/>
      <c r="P59" s="7"/>
      <c r="Q59" s="7">
        <v>160.0</v>
      </c>
      <c r="R59" s="27"/>
      <c r="S59" s="28"/>
      <c r="T59" s="28"/>
      <c r="U59" s="28"/>
      <c r="V59" s="28"/>
      <c r="W59" s="28"/>
      <c r="X59" s="28"/>
      <c r="Y59" s="28"/>
      <c r="Z59" s="28">
        <v>180.0</v>
      </c>
      <c r="AA59" s="28"/>
      <c r="AB59" s="27"/>
      <c r="AC59" s="28"/>
      <c r="AD59" s="28"/>
      <c r="AE59" s="28"/>
      <c r="AF59" s="28"/>
      <c r="AG59" s="28"/>
      <c r="AH59" s="28"/>
      <c r="AI59" s="27"/>
      <c r="AJ59" s="28"/>
      <c r="AK59" s="28"/>
      <c r="AL59" s="28"/>
      <c r="AM59" s="27"/>
      <c r="AN59" s="29">
        <f>G59+SUM(I59:AM59)-SUM(I60:AM60)</f>
        <v>727</v>
      </c>
      <c r="AO59" s="236">
        <f>ROUNDDOWN((AN59/E59)/$H$4,1)</f>
        <v>24.2</v>
      </c>
      <c r="AP59" s="236">
        <f>$M$3+AO59</f>
        <v>1014.2</v>
      </c>
    </row>
    <row r="60">
      <c r="A60" s="31"/>
      <c r="B60" s="17"/>
      <c r="C60" s="17"/>
      <c r="D60" s="17"/>
      <c r="E60" s="17"/>
      <c r="F60" s="18"/>
      <c r="G60" s="26"/>
      <c r="H60" s="7" t="s">
        <v>23</v>
      </c>
      <c r="I60" s="7"/>
      <c r="J60" s="7"/>
      <c r="K60" s="7">
        <v>50.0</v>
      </c>
      <c r="L60" s="7"/>
      <c r="M60" s="7">
        <v>80.0</v>
      </c>
      <c r="N60" s="7"/>
      <c r="O60" s="7">
        <v>80.0</v>
      </c>
      <c r="P60" s="7"/>
      <c r="Q60" s="7"/>
      <c r="R60" s="28">
        <v>60.0</v>
      </c>
      <c r="S60" s="28"/>
      <c r="T60" s="28">
        <v>60.0</v>
      </c>
      <c r="U60" s="28"/>
      <c r="V60" s="28"/>
      <c r="W60" s="28"/>
      <c r="X60" s="28"/>
      <c r="Y60" s="28">
        <v>60.0</v>
      </c>
      <c r="Z60" s="28">
        <v>60.0</v>
      </c>
      <c r="AA60" s="28">
        <v>60.0</v>
      </c>
      <c r="AB60" s="28"/>
      <c r="AC60" s="28"/>
      <c r="AD60" s="27"/>
      <c r="AE60" s="28"/>
      <c r="AF60" s="28"/>
      <c r="AG60" s="28"/>
      <c r="AH60" s="27"/>
      <c r="AI60" s="28"/>
      <c r="AJ60" s="27"/>
      <c r="AK60" s="27"/>
      <c r="AL60" s="28"/>
      <c r="AM60" s="27"/>
      <c r="AN60" s="32"/>
      <c r="AO60" s="32"/>
      <c r="AP60" s="32"/>
    </row>
    <row r="61">
      <c r="A61" s="33"/>
      <c r="B61" s="33"/>
      <c r="C61" s="33"/>
      <c r="D61" s="33"/>
      <c r="E61" s="25"/>
      <c r="F61" s="25"/>
      <c r="G61" s="7"/>
      <c r="H61" s="7"/>
      <c r="I61" s="36"/>
      <c r="J61" s="36"/>
      <c r="K61" s="41"/>
      <c r="L61" s="36"/>
      <c r="M61" s="37"/>
      <c r="N61" s="36"/>
      <c r="O61" s="37"/>
      <c r="P61" s="7"/>
      <c r="Q61" s="36"/>
      <c r="R61" s="42"/>
      <c r="S61" s="10"/>
      <c r="T61" s="6"/>
      <c r="U61" s="10"/>
      <c r="V61" s="10"/>
      <c r="W61" s="27"/>
      <c r="X61" s="10"/>
      <c r="Y61" s="6"/>
      <c r="Z61" s="6"/>
      <c r="AA61" s="6"/>
      <c r="AB61" s="10"/>
      <c r="AC61" s="10"/>
      <c r="AD61" s="27"/>
      <c r="AE61" s="27"/>
      <c r="AF61" s="28"/>
      <c r="AG61" s="27"/>
      <c r="AH61" s="27"/>
      <c r="AI61" s="27"/>
      <c r="AJ61" s="27"/>
      <c r="AK61" s="27"/>
      <c r="AL61" s="27"/>
      <c r="AM61" s="27"/>
      <c r="AN61" s="39"/>
      <c r="AO61" s="237"/>
      <c r="AP61" s="237"/>
    </row>
    <row r="62">
      <c r="A62" s="24" t="s">
        <v>42</v>
      </c>
      <c r="B62" s="17"/>
      <c r="C62" s="17"/>
      <c r="D62" s="18"/>
      <c r="E62" s="25">
        <v>1.0</v>
      </c>
      <c r="F62" s="25" t="s">
        <v>21</v>
      </c>
      <c r="G62" s="7">
        <v>589.0</v>
      </c>
      <c r="H62" s="7" t="s">
        <v>22</v>
      </c>
      <c r="I62" s="26"/>
      <c r="J62" s="7">
        <v>150.0</v>
      </c>
      <c r="K62" s="7"/>
      <c r="L62" s="7"/>
      <c r="M62" s="7"/>
      <c r="N62" s="7">
        <v>200.0</v>
      </c>
      <c r="O62" s="7"/>
      <c r="P62" s="7"/>
      <c r="Q62" s="7">
        <v>160.0</v>
      </c>
      <c r="R62" s="27"/>
      <c r="S62" s="28"/>
      <c r="T62" s="28"/>
      <c r="U62" s="28"/>
      <c r="V62" s="28"/>
      <c r="W62" s="28"/>
      <c r="X62" s="28"/>
      <c r="Y62" s="28"/>
      <c r="Z62" s="28">
        <v>180.0</v>
      </c>
      <c r="AA62" s="28"/>
      <c r="AB62" s="27"/>
      <c r="AC62" s="28"/>
      <c r="AD62" s="28"/>
      <c r="AE62" s="28"/>
      <c r="AF62" s="28"/>
      <c r="AG62" s="28"/>
      <c r="AH62" s="28"/>
      <c r="AI62" s="27"/>
      <c r="AJ62" s="28"/>
      <c r="AK62" s="28"/>
      <c r="AL62" s="28"/>
      <c r="AM62" s="27"/>
      <c r="AN62" s="29">
        <f>G62+SUM(I62:AM62)-SUM(I63:AM63)</f>
        <v>729</v>
      </c>
      <c r="AO62" s="236">
        <f>ROUNDDOWN((AN62/E62)/$H$4,1)</f>
        <v>24.3</v>
      </c>
      <c r="AP62" s="236">
        <f>$M$3+AO62</f>
        <v>1014.3</v>
      </c>
    </row>
    <row r="63">
      <c r="A63" s="31"/>
      <c r="B63" s="17"/>
      <c r="C63" s="17"/>
      <c r="D63" s="17"/>
      <c r="E63" s="17"/>
      <c r="F63" s="18"/>
      <c r="G63" s="26"/>
      <c r="H63" s="7" t="s">
        <v>23</v>
      </c>
      <c r="I63" s="7">
        <v>34.0</v>
      </c>
      <c r="J63" s="7">
        <v>15.0</v>
      </c>
      <c r="K63" s="7">
        <v>36.0</v>
      </c>
      <c r="L63" s="7">
        <v>34.0</v>
      </c>
      <c r="M63" s="7">
        <v>38.0</v>
      </c>
      <c r="N63" s="7">
        <v>35.0</v>
      </c>
      <c r="O63" s="7">
        <v>27.0</v>
      </c>
      <c r="P63" s="7"/>
      <c r="Q63" s="7">
        <v>36.0</v>
      </c>
      <c r="R63" s="28">
        <v>40.0</v>
      </c>
      <c r="S63" s="28">
        <v>33.0</v>
      </c>
      <c r="T63" s="28">
        <v>32.0</v>
      </c>
      <c r="U63" s="28">
        <v>33.0</v>
      </c>
      <c r="V63" s="28">
        <v>41.0</v>
      </c>
      <c r="W63" s="28"/>
      <c r="X63" s="28">
        <v>32.0</v>
      </c>
      <c r="Y63" s="28">
        <v>24.0</v>
      </c>
      <c r="Z63" s="28">
        <v>21.0</v>
      </c>
      <c r="AA63" s="28">
        <v>21.0</v>
      </c>
      <c r="AB63" s="28"/>
      <c r="AC63" s="28"/>
      <c r="AD63" s="28"/>
      <c r="AE63" s="28"/>
      <c r="AF63" s="28"/>
      <c r="AG63" s="28"/>
      <c r="AH63" s="28">
        <v>18.0</v>
      </c>
      <c r="AI63" s="28"/>
      <c r="AJ63" s="28"/>
      <c r="AK63" s="28"/>
      <c r="AL63" s="28"/>
      <c r="AM63" s="28"/>
      <c r="AN63" s="32"/>
      <c r="AO63" s="32"/>
      <c r="AP63" s="32"/>
    </row>
    <row r="64">
      <c r="A64" s="54"/>
      <c r="B64" s="54"/>
      <c r="C64" s="54"/>
      <c r="D64" s="54"/>
      <c r="E64" s="25"/>
      <c r="F64" s="25"/>
      <c r="G64" s="7"/>
      <c r="H64" s="7"/>
      <c r="I64" s="37"/>
      <c r="J64" s="37"/>
      <c r="K64" s="41"/>
      <c r="L64" s="37"/>
      <c r="M64" s="37"/>
      <c r="N64" s="37"/>
      <c r="O64" s="37"/>
      <c r="P64" s="7"/>
      <c r="Q64" s="37"/>
      <c r="R64" s="6"/>
      <c r="S64" s="6"/>
      <c r="T64" s="6"/>
      <c r="U64" s="6"/>
      <c r="V64" s="6"/>
      <c r="W64" s="28"/>
      <c r="X64" s="6"/>
      <c r="Y64" s="6"/>
      <c r="Z64" s="42"/>
      <c r="AA64" s="6"/>
      <c r="AB64" s="10"/>
      <c r="AC64" s="10"/>
      <c r="AD64" s="27"/>
      <c r="AE64" s="28"/>
      <c r="AF64" s="28"/>
      <c r="AG64" s="27"/>
      <c r="AH64" s="27"/>
      <c r="AI64" s="27"/>
      <c r="AJ64" s="27"/>
      <c r="AK64" s="27"/>
      <c r="AL64" s="27"/>
      <c r="AM64" s="27"/>
      <c r="AN64" s="39"/>
      <c r="AO64" s="237"/>
      <c r="AP64" s="237"/>
    </row>
    <row r="65">
      <c r="A65" s="55" t="s">
        <v>43</v>
      </c>
      <c r="B65" s="17"/>
      <c r="C65" s="17"/>
      <c r="D65" s="18"/>
      <c r="E65" s="25">
        <v>1.0</v>
      </c>
      <c r="F65" s="25" t="s">
        <v>21</v>
      </c>
      <c r="G65" s="7">
        <v>623.0</v>
      </c>
      <c r="H65" s="7" t="s">
        <v>22</v>
      </c>
      <c r="I65" s="26"/>
      <c r="J65" s="7">
        <v>150.0</v>
      </c>
      <c r="K65" s="7"/>
      <c r="L65" s="7"/>
      <c r="M65" s="7"/>
      <c r="N65" s="7">
        <v>200.0</v>
      </c>
      <c r="O65" s="7"/>
      <c r="P65" s="7"/>
      <c r="Q65" s="7">
        <v>160.0</v>
      </c>
      <c r="R65" s="27"/>
      <c r="S65" s="28"/>
      <c r="T65" s="28"/>
      <c r="U65" s="28"/>
      <c r="V65" s="28"/>
      <c r="W65" s="28"/>
      <c r="X65" s="28"/>
      <c r="Y65" s="28"/>
      <c r="Z65" s="28">
        <v>180.0</v>
      </c>
      <c r="AA65" s="28"/>
      <c r="AB65" s="27"/>
      <c r="AC65" s="28"/>
      <c r="AD65" s="28"/>
      <c r="AE65" s="28"/>
      <c r="AF65" s="28"/>
      <c r="AG65" s="28"/>
      <c r="AH65" s="28"/>
      <c r="AI65" s="27"/>
      <c r="AJ65" s="28"/>
      <c r="AK65" s="28"/>
      <c r="AL65" s="28"/>
      <c r="AM65" s="27"/>
      <c r="AN65" s="29">
        <f>G65+SUM(I65:AM65)-SUM(I66:AM66)</f>
        <v>803</v>
      </c>
      <c r="AO65" s="236">
        <f>ROUNDDOWN((AN65/E65)/$H$4,1)</f>
        <v>26.7</v>
      </c>
      <c r="AP65" s="236">
        <f>$M$3+AO65</f>
        <v>1016.7</v>
      </c>
    </row>
    <row r="66">
      <c r="A66" s="31"/>
      <c r="B66" s="17"/>
      <c r="C66" s="17"/>
      <c r="D66" s="17"/>
      <c r="E66" s="17"/>
      <c r="F66" s="18"/>
      <c r="G66" s="26"/>
      <c r="H66" s="7" t="s">
        <v>23</v>
      </c>
      <c r="I66" s="7"/>
      <c r="J66" s="7"/>
      <c r="K66" s="7">
        <v>50.0</v>
      </c>
      <c r="L66" s="7"/>
      <c r="M66" s="7">
        <v>80.0</v>
      </c>
      <c r="N66" s="7"/>
      <c r="O66" s="7">
        <v>80.0</v>
      </c>
      <c r="P66" s="7"/>
      <c r="Q66" s="7"/>
      <c r="R66" s="28">
        <v>60.0</v>
      </c>
      <c r="S66" s="28"/>
      <c r="T66" s="28">
        <v>60.0</v>
      </c>
      <c r="U66" s="28"/>
      <c r="V66" s="28"/>
      <c r="W66" s="28"/>
      <c r="X66" s="28"/>
      <c r="Y66" s="28">
        <v>60.0</v>
      </c>
      <c r="Z66" s="28">
        <v>60.0</v>
      </c>
      <c r="AA66" s="28">
        <v>60.0</v>
      </c>
      <c r="AB66" s="28"/>
      <c r="AC66" s="28"/>
      <c r="AD66" s="27"/>
      <c r="AE66" s="28"/>
      <c r="AF66" s="28"/>
      <c r="AG66" s="28"/>
      <c r="AH66" s="27"/>
      <c r="AI66" s="28"/>
      <c r="AJ66" s="27"/>
      <c r="AK66" s="27"/>
      <c r="AL66" s="28"/>
      <c r="AM66" s="27"/>
      <c r="AN66" s="32"/>
      <c r="AO66" s="32"/>
      <c r="AP66" s="32"/>
    </row>
    <row r="67">
      <c r="A67" s="33"/>
      <c r="B67" s="33"/>
      <c r="C67" s="33"/>
      <c r="D67" s="33"/>
      <c r="E67" s="25"/>
      <c r="F67" s="25"/>
      <c r="G67" s="7"/>
      <c r="H67" s="7"/>
      <c r="I67" s="36"/>
      <c r="J67" s="36"/>
      <c r="K67" s="41"/>
      <c r="L67" s="36"/>
      <c r="M67" s="37"/>
      <c r="N67" s="36"/>
      <c r="O67" s="37"/>
      <c r="P67" s="7"/>
      <c r="Q67" s="36"/>
      <c r="R67" s="42"/>
      <c r="S67" s="10"/>
      <c r="T67" s="6"/>
      <c r="U67" s="10"/>
      <c r="V67" s="10"/>
      <c r="W67" s="27"/>
      <c r="X67" s="10"/>
      <c r="Y67" s="6"/>
      <c r="Z67" s="6"/>
      <c r="AA67" s="6"/>
      <c r="AB67" s="10"/>
      <c r="AC67" s="10"/>
      <c r="AD67" s="27"/>
      <c r="AE67" s="27"/>
      <c r="AF67" s="28"/>
      <c r="AG67" s="27"/>
      <c r="AH67" s="27"/>
      <c r="AI67" s="27"/>
      <c r="AJ67" s="27"/>
      <c r="AK67" s="27"/>
      <c r="AL67" s="27"/>
      <c r="AM67" s="27"/>
      <c r="AN67" s="39"/>
      <c r="AO67" s="237"/>
      <c r="AP67" s="237"/>
    </row>
    <row r="68">
      <c r="A68" s="24" t="s">
        <v>44</v>
      </c>
      <c r="B68" s="17"/>
      <c r="C68" s="17"/>
      <c r="D68" s="18"/>
      <c r="E68" s="25">
        <v>2.0</v>
      </c>
      <c r="F68" s="25" t="s">
        <v>21</v>
      </c>
      <c r="G68" s="7">
        <v>896.0</v>
      </c>
      <c r="H68" s="7" t="s">
        <v>22</v>
      </c>
      <c r="I68" s="26"/>
      <c r="J68" s="7">
        <v>300.0</v>
      </c>
      <c r="K68" s="7"/>
      <c r="L68" s="7"/>
      <c r="M68" s="7"/>
      <c r="N68" s="7">
        <v>400.0</v>
      </c>
      <c r="O68" s="7"/>
      <c r="P68" s="7"/>
      <c r="Q68" s="7">
        <v>320.0</v>
      </c>
      <c r="R68" s="27"/>
      <c r="S68" s="28"/>
      <c r="T68" s="28"/>
      <c r="U68" s="28"/>
      <c r="V68" s="28"/>
      <c r="W68" s="28"/>
      <c r="X68" s="28"/>
      <c r="Y68" s="28"/>
      <c r="Z68" s="28">
        <v>360.0</v>
      </c>
      <c r="AA68" s="28"/>
      <c r="AB68" s="27"/>
      <c r="AC68" s="28"/>
      <c r="AD68" s="28"/>
      <c r="AE68" s="28"/>
      <c r="AF68" s="28"/>
      <c r="AG68" s="28"/>
      <c r="AH68" s="28"/>
      <c r="AI68" s="27"/>
      <c r="AJ68" s="28"/>
      <c r="AK68" s="28"/>
      <c r="AL68" s="28"/>
      <c r="AM68" s="27"/>
      <c r="AN68" s="29">
        <f>G68+SUM(I68:AM68)-SUM(I69:AM69)</f>
        <v>1172</v>
      </c>
      <c r="AO68" s="236">
        <f>ROUNDDOWN((AN68/E68)/$H$4,1)</f>
        <v>19.5</v>
      </c>
      <c r="AP68" s="236">
        <f>$M$5+AO68</f>
        <v>1008.5</v>
      </c>
    </row>
    <row r="69">
      <c r="A69" s="31"/>
      <c r="B69" s="17"/>
      <c r="C69" s="17"/>
      <c r="D69" s="17"/>
      <c r="E69" s="17"/>
      <c r="F69" s="18"/>
      <c r="G69" s="26"/>
      <c r="H69" s="7" t="s">
        <v>23</v>
      </c>
      <c r="I69" s="7">
        <v>60.0</v>
      </c>
      <c r="J69" s="7">
        <v>40.0</v>
      </c>
      <c r="K69" s="7">
        <v>72.0</v>
      </c>
      <c r="L69" s="7">
        <v>68.0</v>
      </c>
      <c r="M69" s="7">
        <v>76.0</v>
      </c>
      <c r="N69" s="7">
        <v>70.0</v>
      </c>
      <c r="O69" s="7">
        <v>70.0</v>
      </c>
      <c r="P69" s="7"/>
      <c r="Q69" s="7">
        <v>72.0</v>
      </c>
      <c r="R69" s="28">
        <v>80.0</v>
      </c>
      <c r="S69" s="28">
        <v>66.0</v>
      </c>
      <c r="T69" s="28">
        <v>64.0</v>
      </c>
      <c r="U69" s="28">
        <v>66.0</v>
      </c>
      <c r="V69" s="28">
        <v>82.0</v>
      </c>
      <c r="W69" s="28"/>
      <c r="X69" s="28">
        <v>64.0</v>
      </c>
      <c r="Y69" s="28">
        <v>48.0</v>
      </c>
      <c r="Z69" s="28">
        <v>42.0</v>
      </c>
      <c r="AA69" s="28">
        <v>42.0</v>
      </c>
      <c r="AB69" s="28">
        <v>22.0</v>
      </c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32"/>
      <c r="AO69" s="32"/>
      <c r="AP69" s="32"/>
    </row>
    <row r="70">
      <c r="A70" s="33"/>
      <c r="B70" s="33"/>
      <c r="C70" s="33"/>
      <c r="D70" s="33"/>
      <c r="E70" s="25"/>
      <c r="F70" s="25"/>
      <c r="G70" s="7"/>
      <c r="H70" s="7"/>
      <c r="I70" s="37"/>
      <c r="J70" s="37"/>
      <c r="K70" s="37"/>
      <c r="L70" s="37"/>
      <c r="M70" s="37"/>
      <c r="N70" s="37"/>
      <c r="O70" s="37"/>
      <c r="P70" s="26"/>
      <c r="Q70" s="37"/>
      <c r="R70" s="6"/>
      <c r="S70" s="6"/>
      <c r="T70" s="6"/>
      <c r="U70" s="6"/>
      <c r="V70" s="6"/>
      <c r="W70" s="27"/>
      <c r="X70" s="6"/>
      <c r="Y70" s="6"/>
      <c r="Z70" s="6"/>
      <c r="AA70" s="6"/>
      <c r="AB70" s="6"/>
      <c r="AC70" s="10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39"/>
      <c r="AO70" s="237"/>
      <c r="AP70" s="237"/>
    </row>
    <row r="71">
      <c r="A71" s="238" t="s">
        <v>45</v>
      </c>
      <c r="B71" s="17"/>
      <c r="C71" s="17"/>
      <c r="D71" s="18"/>
      <c r="E71" s="25">
        <v>2.0</v>
      </c>
      <c r="F71" s="25" t="s">
        <v>46</v>
      </c>
      <c r="G71" s="7">
        <v>1015.0</v>
      </c>
      <c r="H71" s="7" t="s">
        <v>22</v>
      </c>
      <c r="I71" s="26"/>
      <c r="J71" s="26"/>
      <c r="K71" s="26"/>
      <c r="L71" s="7"/>
      <c r="M71" s="26"/>
      <c r="N71" s="26"/>
      <c r="O71" s="26"/>
      <c r="P71" s="26"/>
      <c r="Q71" s="26"/>
      <c r="R71" s="27">
        <f>1020+1712</f>
        <v>2732</v>
      </c>
      <c r="S71" s="27"/>
      <c r="T71" s="27"/>
      <c r="U71" s="28"/>
      <c r="V71" s="27"/>
      <c r="W71" s="27"/>
      <c r="X71" s="28"/>
      <c r="Y71" s="27"/>
      <c r="Z71" s="27"/>
      <c r="AA71" s="27"/>
      <c r="AB71" s="27"/>
      <c r="AC71" s="27"/>
      <c r="AD71" s="27"/>
      <c r="AE71" s="28"/>
      <c r="AF71" s="27"/>
      <c r="AG71" s="27"/>
      <c r="AH71" s="28"/>
      <c r="AI71" s="27"/>
      <c r="AJ71" s="27"/>
      <c r="AK71" s="27"/>
      <c r="AL71" s="27"/>
      <c r="AM71" s="27"/>
      <c r="AN71" s="29">
        <f>G71+SUM(I71:AM71)-SUM(I72:AM72)</f>
        <v>2643</v>
      </c>
      <c r="AO71" s="236">
        <f>ROUNDDOWN((AN71/E71)/$H$4,1)</f>
        <v>44</v>
      </c>
      <c r="AP71" s="236">
        <f>$M$5+AO71</f>
        <v>1033</v>
      </c>
    </row>
    <row r="72">
      <c r="A72" s="31"/>
      <c r="B72" s="17"/>
      <c r="C72" s="17"/>
      <c r="D72" s="17"/>
      <c r="E72" s="17"/>
      <c r="F72" s="18"/>
      <c r="G72" s="26"/>
      <c r="H72" s="7" t="s">
        <v>23</v>
      </c>
      <c r="I72" s="7">
        <v>60.0</v>
      </c>
      <c r="J72" s="7">
        <v>40.0</v>
      </c>
      <c r="K72" s="7">
        <v>72.0</v>
      </c>
      <c r="L72" s="7">
        <v>68.0</v>
      </c>
      <c r="M72" s="7">
        <v>76.0</v>
      </c>
      <c r="N72" s="7">
        <v>70.0</v>
      </c>
      <c r="O72" s="7">
        <v>70.0</v>
      </c>
      <c r="P72" s="7"/>
      <c r="Q72" s="7">
        <v>72.0</v>
      </c>
      <c r="R72" s="28">
        <v>80.0</v>
      </c>
      <c r="S72" s="28">
        <v>66.0</v>
      </c>
      <c r="T72" s="28">
        <v>64.0</v>
      </c>
      <c r="U72" s="28">
        <v>66.0</v>
      </c>
      <c r="V72" s="28">
        <v>82.0</v>
      </c>
      <c r="W72" s="28"/>
      <c r="X72" s="28">
        <v>64.0</v>
      </c>
      <c r="Y72" s="28">
        <v>48.0</v>
      </c>
      <c r="Z72" s="28">
        <v>42.0</v>
      </c>
      <c r="AA72" s="28">
        <v>42.0</v>
      </c>
      <c r="AB72" s="28">
        <v>22.0</v>
      </c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32"/>
      <c r="AO72" s="32"/>
      <c r="AP72" s="32"/>
    </row>
    <row r="73">
      <c r="A73" s="33"/>
      <c r="B73" s="33"/>
      <c r="C73" s="33"/>
      <c r="D73" s="33"/>
      <c r="E73" s="25"/>
      <c r="F73" s="25"/>
      <c r="G73" s="7"/>
      <c r="H73" s="7"/>
      <c r="I73" s="37"/>
      <c r="J73" s="37"/>
      <c r="K73" s="37"/>
      <c r="L73" s="37"/>
      <c r="M73" s="37"/>
      <c r="N73" s="37"/>
      <c r="O73" s="37"/>
      <c r="P73" s="26"/>
      <c r="Q73" s="37"/>
      <c r="R73" s="6"/>
      <c r="S73" s="6"/>
      <c r="T73" s="6"/>
      <c r="U73" s="6"/>
      <c r="V73" s="6"/>
      <c r="W73" s="27"/>
      <c r="X73" s="6"/>
      <c r="Y73" s="6"/>
      <c r="Z73" s="6"/>
      <c r="AA73" s="6"/>
      <c r="AB73" s="6"/>
      <c r="AC73" s="38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39"/>
      <c r="AO73" s="237"/>
      <c r="AP73" s="237"/>
    </row>
    <row r="74">
      <c r="A74" s="24" t="s">
        <v>47</v>
      </c>
      <c r="B74" s="17"/>
      <c r="C74" s="17"/>
      <c r="D74" s="18"/>
      <c r="E74" s="25">
        <v>1.0</v>
      </c>
      <c r="F74" s="25" t="s">
        <v>21</v>
      </c>
      <c r="G74" s="7">
        <v>562.0</v>
      </c>
      <c r="H74" s="7" t="s">
        <v>22</v>
      </c>
      <c r="I74" s="26"/>
      <c r="J74" s="7">
        <v>510.0</v>
      </c>
      <c r="K74" s="7"/>
      <c r="L74" s="7"/>
      <c r="M74" s="7"/>
      <c r="N74" s="26"/>
      <c r="O74" s="26"/>
      <c r="P74" s="26"/>
      <c r="Q74" s="26"/>
      <c r="R74" s="27"/>
      <c r="S74" s="27"/>
      <c r="T74" s="28">
        <v>1020.0</v>
      </c>
      <c r="U74" s="27"/>
      <c r="V74" s="27"/>
      <c r="W74" s="27"/>
      <c r="X74" s="28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9">
        <f>G74+SUM(I74:AM74)-SUM(I75:AM75)</f>
        <v>1551</v>
      </c>
      <c r="AO74" s="236">
        <f>ROUNDDOWN((AN74/E74)/$H$4,1)</f>
        <v>51.7</v>
      </c>
      <c r="AP74" s="236">
        <f>$M$5+AO74</f>
        <v>1040.7</v>
      </c>
    </row>
    <row r="75">
      <c r="A75" s="31"/>
      <c r="B75" s="17"/>
      <c r="C75" s="17"/>
      <c r="D75" s="17"/>
      <c r="E75" s="17"/>
      <c r="F75" s="18"/>
      <c r="G75" s="26"/>
      <c r="H75" s="7" t="s">
        <v>23</v>
      </c>
      <c r="I75" s="7">
        <v>30.0</v>
      </c>
      <c r="J75" s="7">
        <v>20.0</v>
      </c>
      <c r="K75" s="7">
        <v>36.0</v>
      </c>
      <c r="L75" s="7">
        <v>34.0</v>
      </c>
      <c r="M75" s="7">
        <v>38.0</v>
      </c>
      <c r="N75" s="7">
        <v>35.0</v>
      </c>
      <c r="O75" s="7">
        <v>35.0</v>
      </c>
      <c r="P75" s="7"/>
      <c r="Q75" s="7">
        <v>36.0</v>
      </c>
      <c r="R75" s="28">
        <v>40.0</v>
      </c>
      <c r="S75" s="28">
        <v>33.0</v>
      </c>
      <c r="T75" s="28">
        <v>32.0</v>
      </c>
      <c r="U75" s="28">
        <v>33.0</v>
      </c>
      <c r="V75" s="28">
        <v>41.0</v>
      </c>
      <c r="W75" s="28"/>
      <c r="X75" s="28">
        <v>32.0</v>
      </c>
      <c r="Y75" s="28">
        <v>24.0</v>
      </c>
      <c r="Z75" s="28">
        <v>21.0</v>
      </c>
      <c r="AA75" s="28">
        <v>21.0</v>
      </c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32"/>
      <c r="AO75" s="32"/>
      <c r="AP75" s="32"/>
    </row>
    <row r="76">
      <c r="A76" s="33"/>
      <c r="B76" s="33"/>
      <c r="C76" s="33"/>
      <c r="D76" s="33"/>
      <c r="E76" s="25"/>
      <c r="F76" s="25"/>
      <c r="G76" s="7"/>
      <c r="H76" s="7"/>
      <c r="I76" s="37"/>
      <c r="J76" s="37"/>
      <c r="K76" s="41"/>
      <c r="L76" s="41"/>
      <c r="M76" s="37"/>
      <c r="N76" s="37"/>
      <c r="O76" s="37"/>
      <c r="P76" s="26"/>
      <c r="Q76" s="37"/>
      <c r="R76" s="6"/>
      <c r="S76" s="6"/>
      <c r="T76" s="6"/>
      <c r="U76" s="42"/>
      <c r="V76" s="6"/>
      <c r="W76" s="27"/>
      <c r="X76" s="6"/>
      <c r="Y76" s="6"/>
      <c r="Z76" s="42"/>
      <c r="AA76" s="42"/>
      <c r="AB76" s="10"/>
      <c r="AC76" s="10"/>
      <c r="AD76" s="28"/>
      <c r="AE76" s="27"/>
      <c r="AF76" s="27"/>
      <c r="AG76" s="27"/>
      <c r="AH76" s="27"/>
      <c r="AI76" s="27"/>
      <c r="AJ76" s="27"/>
      <c r="AK76" s="27"/>
      <c r="AL76" s="27"/>
      <c r="AM76" s="27"/>
      <c r="AN76" s="39"/>
      <c r="AO76" s="237"/>
      <c r="AP76" s="237"/>
    </row>
    <row r="77">
      <c r="A77" s="24" t="s">
        <v>48</v>
      </c>
      <c r="B77" s="17"/>
      <c r="C77" s="17"/>
      <c r="D77" s="18"/>
      <c r="E77" s="25">
        <v>2.0</v>
      </c>
      <c r="F77" s="25" t="s">
        <v>21</v>
      </c>
      <c r="G77" s="7">
        <v>690.0</v>
      </c>
      <c r="H77" s="7" t="s">
        <v>22</v>
      </c>
      <c r="I77" s="7"/>
      <c r="J77" s="7"/>
      <c r="K77" s="7"/>
      <c r="L77" s="7"/>
      <c r="M77" s="7">
        <v>240.0</v>
      </c>
      <c r="N77" s="7">
        <v>180.0</v>
      </c>
      <c r="O77" s="7"/>
      <c r="P77" s="7"/>
      <c r="Q77" s="7">
        <f>120+120</f>
        <v>240</v>
      </c>
      <c r="R77" s="28">
        <v>240.0</v>
      </c>
      <c r="S77" s="28"/>
      <c r="T77" s="28"/>
      <c r="U77" s="28"/>
      <c r="V77" s="28"/>
      <c r="W77" s="28"/>
      <c r="X77" s="28"/>
      <c r="Y77" s="28">
        <v>180.0</v>
      </c>
      <c r="Z77" s="28">
        <v>180.0</v>
      </c>
      <c r="AA77" s="28"/>
      <c r="AB77" s="28"/>
      <c r="AC77" s="28"/>
      <c r="AD77" s="28"/>
      <c r="AE77" s="28"/>
      <c r="AF77" s="28"/>
      <c r="AG77" s="27"/>
      <c r="AH77" s="28"/>
      <c r="AI77" s="28"/>
      <c r="AJ77" s="28"/>
      <c r="AK77" s="28"/>
      <c r="AL77" s="28"/>
      <c r="AM77" s="28"/>
      <c r="AN77" s="29">
        <f>G77+SUM(I77:AM77)-SUM(I78:AM78)</f>
        <v>828</v>
      </c>
      <c r="AO77" s="236">
        <f>ROUNDDOWN((AN77/E77)/$H$4,1)</f>
        <v>13.8</v>
      </c>
      <c r="AP77" s="236">
        <f>$M$3+AO77</f>
        <v>1003.8</v>
      </c>
    </row>
    <row r="78">
      <c r="A78" s="31"/>
      <c r="B78" s="17"/>
      <c r="C78" s="17"/>
      <c r="D78" s="17"/>
      <c r="E78" s="17"/>
      <c r="F78" s="18"/>
      <c r="G78" s="26"/>
      <c r="H78" s="7" t="s">
        <v>23</v>
      </c>
      <c r="I78" s="7">
        <v>60.0</v>
      </c>
      <c r="J78" s="7">
        <v>30.0</v>
      </c>
      <c r="K78" s="7">
        <v>80.0</v>
      </c>
      <c r="L78" s="7">
        <v>68.0</v>
      </c>
      <c r="M78" s="7">
        <v>76.0</v>
      </c>
      <c r="N78" s="7">
        <v>70.0</v>
      </c>
      <c r="O78" s="7">
        <v>42.0</v>
      </c>
      <c r="P78" s="7"/>
      <c r="Q78" s="7">
        <v>60.0</v>
      </c>
      <c r="R78" s="28">
        <v>80.0</v>
      </c>
      <c r="S78" s="28">
        <v>66.0</v>
      </c>
      <c r="T78" s="28">
        <v>64.0</v>
      </c>
      <c r="U78" s="28">
        <v>72.0</v>
      </c>
      <c r="V78" s="28">
        <v>82.0</v>
      </c>
      <c r="W78" s="28"/>
      <c r="X78" s="28">
        <v>64.0</v>
      </c>
      <c r="Y78" s="28">
        <v>48.0</v>
      </c>
      <c r="Z78" s="28">
        <v>42.0</v>
      </c>
      <c r="AA78" s="28">
        <v>42.0</v>
      </c>
      <c r="AB78" s="28">
        <v>38.0</v>
      </c>
      <c r="AC78" s="28"/>
      <c r="AD78" s="28"/>
      <c r="AE78" s="28"/>
      <c r="AF78" s="28"/>
      <c r="AG78" s="28"/>
      <c r="AH78" s="28">
        <v>38.0</v>
      </c>
      <c r="AI78" s="28"/>
      <c r="AJ78" s="28"/>
      <c r="AK78" s="28"/>
      <c r="AL78" s="28"/>
      <c r="AM78" s="28"/>
      <c r="AN78" s="32"/>
      <c r="AO78" s="32"/>
      <c r="AP78" s="32"/>
    </row>
    <row r="79">
      <c r="A79" s="33"/>
      <c r="B79" s="33"/>
      <c r="C79" s="33"/>
      <c r="D79" s="33"/>
      <c r="E79" s="25"/>
      <c r="F79" s="25"/>
      <c r="G79" s="7"/>
      <c r="H79" s="7"/>
      <c r="I79" s="37"/>
      <c r="J79" s="37"/>
      <c r="K79" s="41"/>
      <c r="L79" s="41"/>
      <c r="M79" s="37"/>
      <c r="N79" s="37"/>
      <c r="O79" s="37"/>
      <c r="P79" s="26"/>
      <c r="Q79" s="37"/>
      <c r="R79" s="6"/>
      <c r="S79" s="6"/>
      <c r="T79" s="6"/>
      <c r="U79" s="42"/>
      <c r="V79" s="6"/>
      <c r="W79" s="27"/>
      <c r="X79" s="6"/>
      <c r="Y79" s="6"/>
      <c r="Z79" s="42"/>
      <c r="AA79" s="42"/>
      <c r="AB79" s="6"/>
      <c r="AC79" s="10"/>
      <c r="AD79" s="28"/>
      <c r="AE79" s="28"/>
      <c r="AF79" s="27"/>
      <c r="AG79" s="27"/>
      <c r="AH79" s="27"/>
      <c r="AI79" s="27"/>
      <c r="AJ79" s="27"/>
      <c r="AK79" s="27"/>
      <c r="AL79" s="27"/>
      <c r="AM79" s="27"/>
      <c r="AN79" s="39"/>
      <c r="AO79" s="237"/>
      <c r="AP79" s="237"/>
    </row>
    <row r="80">
      <c r="A80" s="24" t="s">
        <v>49</v>
      </c>
      <c r="B80" s="17"/>
      <c r="C80" s="17"/>
      <c r="D80" s="18"/>
      <c r="E80" s="25">
        <v>3.0</v>
      </c>
      <c r="F80" s="25" t="s">
        <v>21</v>
      </c>
      <c r="G80" s="7">
        <v>1230.0</v>
      </c>
      <c r="H80" s="7" t="s">
        <v>22</v>
      </c>
      <c r="I80" s="7"/>
      <c r="J80" s="7"/>
      <c r="K80" s="7"/>
      <c r="L80" s="7"/>
      <c r="M80" s="7">
        <v>360.0</v>
      </c>
      <c r="N80" s="7">
        <v>270.0</v>
      </c>
      <c r="O80" s="7"/>
      <c r="P80" s="7"/>
      <c r="Q80" s="7">
        <f>180+180</f>
        <v>360</v>
      </c>
      <c r="R80" s="28">
        <v>360.0</v>
      </c>
      <c r="S80" s="28"/>
      <c r="T80" s="28"/>
      <c r="U80" s="28"/>
      <c r="V80" s="28"/>
      <c r="W80" s="28"/>
      <c r="X80" s="28"/>
      <c r="Y80" s="28">
        <v>270.0</v>
      </c>
      <c r="Z80" s="28">
        <v>270.0</v>
      </c>
      <c r="AA80" s="28"/>
      <c r="AB80" s="28"/>
      <c r="AC80" s="28"/>
      <c r="AD80" s="28"/>
      <c r="AE80" s="28"/>
      <c r="AF80" s="28"/>
      <c r="AG80" s="27"/>
      <c r="AH80" s="28"/>
      <c r="AI80" s="28"/>
      <c r="AJ80" s="28"/>
      <c r="AK80" s="28"/>
      <c r="AL80" s="28"/>
      <c r="AM80" s="28"/>
      <c r="AN80" s="29">
        <f>G80+SUM(I80:AM80)-SUM(I81:AM81)</f>
        <v>1431</v>
      </c>
      <c r="AO80" s="236">
        <f>ROUNDDOWN((AN80/E80)/$H$4,1)</f>
        <v>15.9</v>
      </c>
      <c r="AP80" s="236">
        <f>$M$3+AO80</f>
        <v>1005.9</v>
      </c>
    </row>
    <row r="81">
      <c r="A81" s="56"/>
      <c r="B81" s="56"/>
      <c r="C81" s="56"/>
      <c r="D81" s="56"/>
      <c r="E81" s="57"/>
      <c r="F81" s="57"/>
      <c r="G81" s="26"/>
      <c r="H81" s="7" t="s">
        <v>23</v>
      </c>
      <c r="I81" s="7">
        <v>90.0</v>
      </c>
      <c r="J81" s="7">
        <v>45.0</v>
      </c>
      <c r="K81" s="7">
        <v>120.0</v>
      </c>
      <c r="L81" s="7">
        <v>102.0</v>
      </c>
      <c r="M81" s="7">
        <v>114.0</v>
      </c>
      <c r="N81" s="7">
        <v>105.0</v>
      </c>
      <c r="O81" s="7">
        <v>63.0</v>
      </c>
      <c r="P81" s="7"/>
      <c r="Q81" s="7">
        <v>90.0</v>
      </c>
      <c r="R81" s="28">
        <v>120.0</v>
      </c>
      <c r="S81" s="28">
        <v>99.0</v>
      </c>
      <c r="T81" s="28">
        <v>96.0</v>
      </c>
      <c r="U81" s="28">
        <v>108.0</v>
      </c>
      <c r="V81" s="28">
        <v>123.0</v>
      </c>
      <c r="W81" s="28"/>
      <c r="X81" s="28">
        <v>96.0</v>
      </c>
      <c r="Y81" s="28">
        <v>78.0</v>
      </c>
      <c r="Z81" s="28">
        <v>63.0</v>
      </c>
      <c r="AA81" s="28">
        <v>63.0</v>
      </c>
      <c r="AB81" s="28">
        <v>57.0</v>
      </c>
      <c r="AC81" s="28"/>
      <c r="AD81" s="28"/>
      <c r="AE81" s="28"/>
      <c r="AF81" s="28"/>
      <c r="AG81" s="28"/>
      <c r="AH81" s="28">
        <v>57.0</v>
      </c>
      <c r="AI81" s="28"/>
      <c r="AJ81" s="28"/>
      <c r="AK81" s="28"/>
      <c r="AL81" s="28"/>
      <c r="AM81" s="28"/>
      <c r="AN81" s="32"/>
      <c r="AO81" s="32"/>
      <c r="AP81" s="32"/>
    </row>
    <row r="82">
      <c r="A82" s="58"/>
      <c r="B82" s="58"/>
      <c r="C82" s="58"/>
      <c r="D82" s="58"/>
      <c r="E82" s="58"/>
      <c r="F82" s="58"/>
      <c r="G82" s="59"/>
      <c r="H82" s="59"/>
      <c r="I82" s="60"/>
      <c r="J82" s="60"/>
      <c r="K82" s="60"/>
      <c r="L82" s="60"/>
      <c r="M82" s="60"/>
      <c r="N82" s="60"/>
      <c r="O82" s="60"/>
      <c r="P82" s="269"/>
      <c r="Q82" s="60"/>
      <c r="R82" s="61"/>
      <c r="S82" s="61"/>
      <c r="T82" s="61"/>
      <c r="U82" s="61"/>
      <c r="V82" s="61"/>
      <c r="W82" s="277"/>
      <c r="X82" s="61"/>
      <c r="Y82" s="61"/>
      <c r="Z82" s="61"/>
      <c r="AA82" s="61"/>
      <c r="AB82" s="61"/>
      <c r="AC82" s="62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63"/>
      <c r="AO82" s="63"/>
      <c r="AP82" s="63"/>
    </row>
    <row r="83">
      <c r="A83" s="16" t="s">
        <v>50</v>
      </c>
      <c r="B83" s="17"/>
      <c r="C83" s="17"/>
      <c r="D83" s="17"/>
      <c r="E83" s="17"/>
      <c r="F83" s="18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</row>
    <row r="84">
      <c r="A84" s="24" t="s">
        <v>51</v>
      </c>
      <c r="B84" s="17"/>
      <c r="C84" s="17"/>
      <c r="D84" s="18"/>
      <c r="E84" s="25">
        <v>1.0</v>
      </c>
      <c r="F84" s="25" t="s">
        <v>21</v>
      </c>
      <c r="G84" s="7">
        <v>495.0</v>
      </c>
      <c r="H84" s="7" t="s">
        <v>22</v>
      </c>
      <c r="I84" s="26"/>
      <c r="J84" s="7"/>
      <c r="K84" s="7">
        <v>270.0</v>
      </c>
      <c r="L84" s="26"/>
      <c r="M84" s="26"/>
      <c r="N84" s="26"/>
      <c r="O84" s="7"/>
      <c r="P84" s="7"/>
      <c r="Q84" s="7"/>
      <c r="R84" s="28"/>
      <c r="S84" s="27"/>
      <c r="T84" s="28"/>
      <c r="U84" s="28"/>
      <c r="V84" s="27"/>
      <c r="W84" s="27"/>
      <c r="X84" s="28">
        <f>510+140</f>
        <v>650</v>
      </c>
      <c r="Y84" s="27"/>
      <c r="Z84" s="28"/>
      <c r="AA84" s="28"/>
      <c r="AB84" s="27"/>
      <c r="AC84" s="27"/>
      <c r="AD84" s="27"/>
      <c r="AE84" s="28"/>
      <c r="AF84" s="27"/>
      <c r="AG84" s="28"/>
      <c r="AH84" s="28"/>
      <c r="AI84" s="27"/>
      <c r="AJ84" s="28"/>
      <c r="AK84" s="27"/>
      <c r="AL84" s="27"/>
      <c r="AM84" s="27"/>
      <c r="AN84" s="29">
        <f>G84+SUM(I84:AM84)-SUM(I85:AM85)</f>
        <v>865</v>
      </c>
      <c r="AO84" s="236">
        <f>ROUNDDOWN((AN84/E84)/$H$4,1)</f>
        <v>28.8</v>
      </c>
      <c r="AP84" s="236">
        <f>$M$3+AO84</f>
        <v>1018.8</v>
      </c>
    </row>
    <row r="85">
      <c r="A85" s="31"/>
      <c r="B85" s="17"/>
      <c r="C85" s="17"/>
      <c r="D85" s="17"/>
      <c r="E85" s="17"/>
      <c r="F85" s="18"/>
      <c r="G85" s="26"/>
      <c r="H85" s="7" t="s">
        <v>23</v>
      </c>
      <c r="I85" s="7">
        <v>34.0</v>
      </c>
      <c r="J85" s="7">
        <v>15.0</v>
      </c>
      <c r="K85" s="7">
        <v>36.0</v>
      </c>
      <c r="L85" s="7">
        <v>34.0</v>
      </c>
      <c r="M85" s="7">
        <v>38.0</v>
      </c>
      <c r="N85" s="7">
        <v>35.0</v>
      </c>
      <c r="O85" s="7">
        <v>27.0</v>
      </c>
      <c r="P85" s="7"/>
      <c r="Q85" s="7">
        <v>36.0</v>
      </c>
      <c r="R85" s="28">
        <v>40.0</v>
      </c>
      <c r="S85" s="28">
        <v>33.0</v>
      </c>
      <c r="T85" s="28">
        <v>32.0</v>
      </c>
      <c r="U85" s="28">
        <v>33.0</v>
      </c>
      <c r="V85" s="28">
        <v>41.0</v>
      </c>
      <c r="W85" s="28"/>
      <c r="X85" s="28">
        <v>32.0</v>
      </c>
      <c r="Y85" s="28">
        <v>24.0</v>
      </c>
      <c r="Z85" s="28">
        <v>21.0</v>
      </c>
      <c r="AA85" s="28">
        <v>21.0</v>
      </c>
      <c r="AB85" s="28"/>
      <c r="AC85" s="28"/>
      <c r="AD85" s="28"/>
      <c r="AE85" s="28"/>
      <c r="AF85" s="28"/>
      <c r="AG85" s="28"/>
      <c r="AH85" s="28">
        <v>18.0</v>
      </c>
      <c r="AI85" s="28"/>
      <c r="AJ85" s="28"/>
      <c r="AK85" s="28"/>
      <c r="AL85" s="28"/>
      <c r="AM85" s="28"/>
      <c r="AN85" s="32"/>
      <c r="AO85" s="32"/>
      <c r="AP85" s="32"/>
    </row>
    <row r="86">
      <c r="A86" s="33"/>
      <c r="B86" s="33"/>
      <c r="C86" s="33"/>
      <c r="D86" s="33"/>
      <c r="E86" s="25"/>
      <c r="F86" s="25"/>
      <c r="G86" s="7"/>
      <c r="H86" s="7"/>
      <c r="I86" s="37"/>
      <c r="J86" s="37"/>
      <c r="K86" s="37"/>
      <c r="L86" s="37"/>
      <c r="M86" s="37"/>
      <c r="N86" s="37"/>
      <c r="O86" s="37"/>
      <c r="P86" s="26"/>
      <c r="Q86" s="37"/>
      <c r="R86" s="6"/>
      <c r="S86" s="6"/>
      <c r="T86" s="6"/>
      <c r="U86" s="6"/>
      <c r="V86" s="6"/>
      <c r="W86" s="27"/>
      <c r="X86" s="6"/>
      <c r="Y86" s="6"/>
      <c r="Z86" s="6"/>
      <c r="AA86" s="6"/>
      <c r="AB86" s="10"/>
      <c r="AC86" s="10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39"/>
      <c r="AO86" s="237"/>
      <c r="AP86" s="237"/>
    </row>
    <row r="87">
      <c r="A87" s="24" t="s">
        <v>52</v>
      </c>
      <c r="B87" s="17"/>
      <c r="C87" s="17"/>
      <c r="D87" s="18"/>
      <c r="E87" s="25">
        <v>1.0</v>
      </c>
      <c r="F87" s="25" t="s">
        <v>21</v>
      </c>
      <c r="G87" s="7">
        <v>652.0</v>
      </c>
      <c r="H87" s="7" t="s">
        <v>22</v>
      </c>
      <c r="I87" s="26"/>
      <c r="J87" s="7"/>
      <c r="K87" s="7"/>
      <c r="L87" s="7">
        <v>150.0</v>
      </c>
      <c r="M87" s="26"/>
      <c r="N87" s="7"/>
      <c r="O87" s="26"/>
      <c r="P87" s="7"/>
      <c r="Q87" s="7"/>
      <c r="R87" s="28">
        <v>150.0</v>
      </c>
      <c r="S87" s="27"/>
      <c r="T87" s="28"/>
      <c r="U87" s="28"/>
      <c r="V87" s="27"/>
      <c r="W87" s="27"/>
      <c r="X87" s="28"/>
      <c r="Y87" s="28"/>
      <c r="Z87" s="27"/>
      <c r="AA87" s="28">
        <v>210.0</v>
      </c>
      <c r="AB87" s="28"/>
      <c r="AC87" s="28">
        <v>150.0</v>
      </c>
      <c r="AD87" s="28"/>
      <c r="AE87" s="28"/>
      <c r="AF87" s="27"/>
      <c r="AG87" s="28"/>
      <c r="AH87" s="27"/>
      <c r="AI87" s="28"/>
      <c r="AJ87" s="27"/>
      <c r="AK87" s="27"/>
      <c r="AL87" s="28"/>
      <c r="AM87" s="28"/>
      <c r="AN87" s="29">
        <f>G87+SUM(I87:AM87)-SUM(I88:AM88)</f>
        <v>749</v>
      </c>
      <c r="AO87" s="236">
        <f>ROUNDDOWN((AN87/E87)/$H$4,1)</f>
        <v>24.9</v>
      </c>
      <c r="AP87" s="236">
        <f>$M$3+AO87</f>
        <v>1014.9</v>
      </c>
    </row>
    <row r="88">
      <c r="A88" s="31"/>
      <c r="B88" s="17"/>
      <c r="C88" s="17"/>
      <c r="D88" s="17"/>
      <c r="E88" s="17"/>
      <c r="F88" s="18"/>
      <c r="G88" s="26"/>
      <c r="H88" s="7" t="s">
        <v>23</v>
      </c>
      <c r="I88" s="7">
        <v>30.0</v>
      </c>
      <c r="J88" s="7">
        <v>15.0</v>
      </c>
      <c r="K88" s="7">
        <v>40.0</v>
      </c>
      <c r="L88" s="7">
        <v>34.0</v>
      </c>
      <c r="M88" s="7">
        <v>38.0</v>
      </c>
      <c r="N88" s="7">
        <v>35.0</v>
      </c>
      <c r="O88" s="7">
        <v>21.0</v>
      </c>
      <c r="P88" s="7"/>
      <c r="Q88" s="7">
        <v>30.0</v>
      </c>
      <c r="R88" s="28">
        <v>40.0</v>
      </c>
      <c r="S88" s="28">
        <v>33.0</v>
      </c>
      <c r="T88" s="28">
        <v>32.0</v>
      </c>
      <c r="U88" s="28">
        <v>36.0</v>
      </c>
      <c r="V88" s="28">
        <v>41.0</v>
      </c>
      <c r="W88" s="28"/>
      <c r="X88" s="28">
        <v>32.0</v>
      </c>
      <c r="Y88" s="28">
        <v>26.0</v>
      </c>
      <c r="Z88" s="28">
        <v>21.0</v>
      </c>
      <c r="AA88" s="28">
        <v>21.0</v>
      </c>
      <c r="AB88" s="28">
        <v>19.0</v>
      </c>
      <c r="AC88" s="28"/>
      <c r="AD88" s="28"/>
      <c r="AE88" s="28"/>
      <c r="AF88" s="28"/>
      <c r="AG88" s="28"/>
      <c r="AH88" s="28">
        <v>19.0</v>
      </c>
      <c r="AI88" s="28"/>
      <c r="AJ88" s="28"/>
      <c r="AK88" s="28"/>
      <c r="AL88" s="28"/>
      <c r="AM88" s="28"/>
      <c r="AN88" s="32"/>
      <c r="AO88" s="32"/>
      <c r="AP88" s="32"/>
    </row>
    <row r="89">
      <c r="A89" s="33"/>
      <c r="B89" s="33"/>
      <c r="C89" s="33"/>
      <c r="D89" s="33"/>
      <c r="E89" s="25"/>
      <c r="F89" s="25"/>
      <c r="G89" s="7"/>
      <c r="H89" s="7"/>
      <c r="I89" s="37"/>
      <c r="J89" s="37"/>
      <c r="K89" s="37"/>
      <c r="L89" s="37"/>
      <c r="M89" s="41"/>
      <c r="N89" s="37"/>
      <c r="O89" s="37"/>
      <c r="P89" s="26"/>
      <c r="Q89" s="37"/>
      <c r="R89" s="6"/>
      <c r="S89" s="6"/>
      <c r="T89" s="42"/>
      <c r="U89" s="6"/>
      <c r="V89" s="6"/>
      <c r="W89" s="27"/>
      <c r="X89" s="6"/>
      <c r="Y89" s="6"/>
      <c r="Z89" s="6"/>
      <c r="AA89" s="6"/>
      <c r="AB89" s="6"/>
      <c r="AC89" s="10"/>
      <c r="AD89" s="27"/>
      <c r="AE89" s="27"/>
      <c r="AF89" s="27"/>
      <c r="AG89" s="27"/>
      <c r="AH89" s="28"/>
      <c r="AI89" s="27"/>
      <c r="AJ89" s="27"/>
      <c r="AK89" s="27"/>
      <c r="AL89" s="27"/>
      <c r="AM89" s="27"/>
      <c r="AN89" s="39"/>
      <c r="AO89" s="237"/>
      <c r="AP89" s="237"/>
    </row>
    <row r="90">
      <c r="A90" s="24" t="s">
        <v>53</v>
      </c>
      <c r="B90" s="17"/>
      <c r="C90" s="17"/>
      <c r="D90" s="18"/>
      <c r="E90" s="25">
        <v>1.0</v>
      </c>
      <c r="F90" s="25" t="s">
        <v>30</v>
      </c>
      <c r="G90" s="7">
        <v>117.0</v>
      </c>
      <c r="H90" s="7" t="s">
        <v>22</v>
      </c>
      <c r="I90" s="7"/>
      <c r="J90" s="7">
        <v>60.0</v>
      </c>
      <c r="K90" s="7">
        <v>60.0</v>
      </c>
      <c r="L90" s="7">
        <f>30+30</f>
        <v>60</v>
      </c>
      <c r="M90" s="7"/>
      <c r="N90" s="7">
        <v>60.0</v>
      </c>
      <c r="O90" s="7"/>
      <c r="P90" s="7"/>
      <c r="Q90" s="7"/>
      <c r="R90" s="28">
        <v>60.0</v>
      </c>
      <c r="S90" s="28">
        <v>60.0</v>
      </c>
      <c r="T90" s="28"/>
      <c r="U90" s="28">
        <v>60.0</v>
      </c>
      <c r="V90" s="28"/>
      <c r="W90" s="28"/>
      <c r="X90" s="28"/>
      <c r="Y90" s="28"/>
      <c r="Z90" s="28"/>
      <c r="AA90" s="28">
        <v>60.0</v>
      </c>
      <c r="AB90" s="28"/>
      <c r="AC90" s="28">
        <v>90.0</v>
      </c>
      <c r="AD90" s="28"/>
      <c r="AE90" s="28"/>
      <c r="AF90" s="28"/>
      <c r="AG90" s="27"/>
      <c r="AH90" s="28"/>
      <c r="AI90" s="28"/>
      <c r="AJ90" s="28"/>
      <c r="AK90" s="28"/>
      <c r="AL90" s="28"/>
      <c r="AM90" s="28"/>
      <c r="AN90" s="29">
        <f>G90+SUM(I90:AM90)-SUM(I91:AM91)</f>
        <v>137</v>
      </c>
      <c r="AO90" s="236">
        <f>ROUNDDOWN((AN90/E90)/$H$4,1)</f>
        <v>4.5</v>
      </c>
      <c r="AP90" s="236">
        <f>$M$3+AO90</f>
        <v>994.5</v>
      </c>
    </row>
    <row r="91">
      <c r="A91" s="56"/>
      <c r="B91" s="56"/>
      <c r="C91" s="56"/>
      <c r="D91" s="56"/>
      <c r="E91" s="57"/>
      <c r="F91" s="57"/>
      <c r="G91" s="26"/>
      <c r="H91" s="7" t="s">
        <v>23</v>
      </c>
      <c r="I91" s="7">
        <v>34.0</v>
      </c>
      <c r="J91" s="7">
        <v>15.0</v>
      </c>
      <c r="K91" s="7">
        <v>36.0</v>
      </c>
      <c r="L91" s="7">
        <v>34.0</v>
      </c>
      <c r="M91" s="7">
        <v>38.0</v>
      </c>
      <c r="N91" s="7">
        <v>35.0</v>
      </c>
      <c r="O91" s="7">
        <v>27.0</v>
      </c>
      <c r="P91" s="7"/>
      <c r="Q91" s="7">
        <v>36.0</v>
      </c>
      <c r="R91" s="28">
        <v>40.0</v>
      </c>
      <c r="S91" s="28">
        <v>33.0</v>
      </c>
      <c r="T91" s="28">
        <v>32.0</v>
      </c>
      <c r="U91" s="28">
        <v>33.0</v>
      </c>
      <c r="V91" s="28">
        <v>41.0</v>
      </c>
      <c r="W91" s="28"/>
      <c r="X91" s="28">
        <v>32.0</v>
      </c>
      <c r="Y91" s="28">
        <v>24.0</v>
      </c>
      <c r="Z91" s="28">
        <v>21.0</v>
      </c>
      <c r="AA91" s="28">
        <v>21.0</v>
      </c>
      <c r="AB91" s="28"/>
      <c r="AC91" s="28"/>
      <c r="AD91" s="28"/>
      <c r="AE91" s="28"/>
      <c r="AF91" s="28"/>
      <c r="AG91" s="28"/>
      <c r="AH91" s="28">
        <v>18.0</v>
      </c>
      <c r="AI91" s="28"/>
      <c r="AJ91" s="28"/>
      <c r="AK91" s="28"/>
      <c r="AL91" s="28"/>
      <c r="AM91" s="28"/>
      <c r="AN91" s="32"/>
      <c r="AO91" s="32"/>
      <c r="AP91" s="32"/>
    </row>
    <row r="92">
      <c r="A92" s="58"/>
      <c r="B92" s="58"/>
      <c r="C92" s="58"/>
      <c r="D92" s="58"/>
      <c r="E92" s="58"/>
      <c r="F92" s="58"/>
      <c r="G92" s="68"/>
      <c r="H92" s="48"/>
      <c r="I92" s="6"/>
      <c r="J92" s="6"/>
      <c r="K92" s="6"/>
      <c r="L92" s="37"/>
      <c r="M92" s="6"/>
      <c r="N92" s="6"/>
      <c r="O92" s="6"/>
      <c r="P92" s="27"/>
      <c r="Q92" s="6"/>
      <c r="R92" s="6"/>
      <c r="S92" s="6"/>
      <c r="T92" s="6"/>
      <c r="U92" s="6"/>
      <c r="V92" s="6"/>
      <c r="W92" s="27"/>
      <c r="X92" s="6"/>
      <c r="Y92" s="6"/>
      <c r="Z92" s="6"/>
      <c r="AA92" s="6"/>
      <c r="AB92" s="10"/>
      <c r="AC92" s="10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48"/>
      <c r="AO92" s="48"/>
      <c r="AP92" s="48"/>
    </row>
    <row r="93">
      <c r="A93" s="16" t="s">
        <v>54</v>
      </c>
      <c r="B93" s="17"/>
      <c r="C93" s="17"/>
      <c r="D93" s="17"/>
      <c r="E93" s="17"/>
      <c r="F93" s="18"/>
      <c r="G93" s="19"/>
      <c r="H93" s="21"/>
      <c r="I93" s="21"/>
      <c r="J93" s="21"/>
      <c r="K93" s="21"/>
      <c r="L93" s="20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</row>
    <row r="94">
      <c r="A94" s="24" t="s">
        <v>55</v>
      </c>
      <c r="B94" s="17"/>
      <c r="C94" s="17"/>
      <c r="D94" s="18"/>
      <c r="E94" s="25">
        <v>1.0</v>
      </c>
      <c r="F94" s="25" t="s">
        <v>21</v>
      </c>
      <c r="G94" s="7">
        <v>692.0</v>
      </c>
      <c r="H94" s="7" t="s">
        <v>22</v>
      </c>
      <c r="I94" s="26"/>
      <c r="J94" s="26"/>
      <c r="K94" s="26"/>
      <c r="L94" s="7"/>
      <c r="M94" s="7"/>
      <c r="N94" s="7">
        <v>500.0</v>
      </c>
      <c r="O94" s="26"/>
      <c r="P94" s="26"/>
      <c r="Q94" s="26"/>
      <c r="R94" s="27"/>
      <c r="S94" s="28"/>
      <c r="T94" s="27"/>
      <c r="U94" s="27"/>
      <c r="V94" s="27"/>
      <c r="W94" s="27"/>
      <c r="X94" s="27"/>
      <c r="Y94" s="27"/>
      <c r="Z94" s="27"/>
      <c r="AA94" s="28"/>
      <c r="AB94" s="28">
        <v>1000.0</v>
      </c>
      <c r="AC94" s="27"/>
      <c r="AD94" s="28"/>
      <c r="AE94" s="27"/>
      <c r="AF94" s="27"/>
      <c r="AG94" s="27"/>
      <c r="AH94" s="28"/>
      <c r="AI94" s="27"/>
      <c r="AJ94" s="27"/>
      <c r="AK94" s="27"/>
      <c r="AL94" s="27"/>
      <c r="AM94" s="27"/>
      <c r="AN94" s="29">
        <f>G94+SUM(I94:AM94)-SUM(I95:AM95)</f>
        <v>1642</v>
      </c>
      <c r="AO94" s="236">
        <f>ROUNDDOWN((AN94/E94)/$H$4,1)</f>
        <v>54.7</v>
      </c>
      <c r="AP94" s="236">
        <f>$M$3+AO94</f>
        <v>1044.7</v>
      </c>
    </row>
    <row r="95">
      <c r="A95" s="31"/>
      <c r="B95" s="17"/>
      <c r="C95" s="17"/>
      <c r="D95" s="17"/>
      <c r="E95" s="17"/>
      <c r="F95" s="18"/>
      <c r="G95" s="26"/>
      <c r="H95" s="7" t="s">
        <v>23</v>
      </c>
      <c r="I95" s="7">
        <v>34.0</v>
      </c>
      <c r="J95" s="7">
        <v>15.0</v>
      </c>
      <c r="K95" s="7">
        <v>36.0</v>
      </c>
      <c r="L95" s="7">
        <v>34.0</v>
      </c>
      <c r="M95" s="7">
        <v>38.0</v>
      </c>
      <c r="N95" s="7">
        <v>35.0</v>
      </c>
      <c r="O95" s="7">
        <v>27.0</v>
      </c>
      <c r="P95" s="7"/>
      <c r="Q95" s="7">
        <v>36.0</v>
      </c>
      <c r="R95" s="28">
        <v>40.0</v>
      </c>
      <c r="S95" s="28">
        <v>33.0</v>
      </c>
      <c r="T95" s="28">
        <v>32.0</v>
      </c>
      <c r="U95" s="28">
        <v>33.0</v>
      </c>
      <c r="V95" s="28">
        <v>41.0</v>
      </c>
      <c r="W95" s="28"/>
      <c r="X95" s="28">
        <v>32.0</v>
      </c>
      <c r="Y95" s="28">
        <v>24.0</v>
      </c>
      <c r="Z95" s="28">
        <v>21.0</v>
      </c>
      <c r="AA95" s="28">
        <v>21.0</v>
      </c>
      <c r="AB95" s="28"/>
      <c r="AC95" s="28"/>
      <c r="AD95" s="28"/>
      <c r="AE95" s="28"/>
      <c r="AF95" s="28"/>
      <c r="AG95" s="28"/>
      <c r="AH95" s="28">
        <v>18.0</v>
      </c>
      <c r="AI95" s="28"/>
      <c r="AJ95" s="28"/>
      <c r="AK95" s="28"/>
      <c r="AL95" s="28"/>
      <c r="AM95" s="28"/>
      <c r="AN95" s="32"/>
      <c r="AO95" s="32"/>
      <c r="AP95" s="32"/>
    </row>
    <row r="96">
      <c r="A96" s="33"/>
      <c r="B96" s="33"/>
      <c r="C96" s="33"/>
      <c r="D96" s="33"/>
      <c r="E96" s="25"/>
      <c r="F96" s="25"/>
      <c r="G96" s="7"/>
      <c r="H96" s="7"/>
      <c r="I96" s="37"/>
      <c r="J96" s="37"/>
      <c r="K96" s="37"/>
      <c r="L96" s="37"/>
      <c r="M96" s="37"/>
      <c r="N96" s="37"/>
      <c r="O96" s="41"/>
      <c r="P96" s="26"/>
      <c r="Q96" s="37"/>
      <c r="R96" s="6"/>
      <c r="S96" s="6"/>
      <c r="T96" s="6"/>
      <c r="U96" s="6"/>
      <c r="V96" s="6"/>
      <c r="W96" s="27"/>
      <c r="X96" s="6"/>
      <c r="Y96" s="6"/>
      <c r="Z96" s="6"/>
      <c r="AA96" s="6"/>
      <c r="AB96" s="10"/>
      <c r="AC96" s="10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39"/>
      <c r="AO96" s="237"/>
      <c r="AP96" s="237"/>
    </row>
    <row r="97">
      <c r="A97" s="24" t="s">
        <v>56</v>
      </c>
      <c r="B97" s="17"/>
      <c r="C97" s="17"/>
      <c r="D97" s="18"/>
      <c r="E97" s="25">
        <v>1.0</v>
      </c>
      <c r="F97" s="25" t="s">
        <v>21</v>
      </c>
      <c r="G97" s="7">
        <v>1031.0</v>
      </c>
      <c r="H97" s="7" t="s">
        <v>22</v>
      </c>
      <c r="I97" s="26"/>
      <c r="J97" s="26"/>
      <c r="K97" s="26"/>
      <c r="L97" s="26"/>
      <c r="M97" s="7">
        <v>1020.0</v>
      </c>
      <c r="N97" s="7"/>
      <c r="O97" s="7"/>
      <c r="P97" s="26"/>
      <c r="Q97" s="26"/>
      <c r="R97" s="27"/>
      <c r="S97" s="27"/>
      <c r="T97" s="27"/>
      <c r="U97" s="27"/>
      <c r="V97" s="27"/>
      <c r="W97" s="28"/>
      <c r="X97" s="28"/>
      <c r="Y97" s="27"/>
      <c r="Z97" s="27"/>
      <c r="AA97" s="27"/>
      <c r="AB97" s="27"/>
      <c r="AC97" s="27"/>
      <c r="AD97" s="28"/>
      <c r="AE97" s="27"/>
      <c r="AF97" s="27"/>
      <c r="AG97" s="28"/>
      <c r="AH97" s="27"/>
      <c r="AI97" s="27"/>
      <c r="AJ97" s="28"/>
      <c r="AK97" s="28"/>
      <c r="AL97" s="27"/>
      <c r="AM97" s="27"/>
      <c r="AN97" s="29">
        <f>G97+SUM(I97:AM97)-SUM(I98:AM98)</f>
        <v>1501</v>
      </c>
      <c r="AO97" s="236">
        <f>ROUNDDOWN((AN97/E97)/$H$4,1)</f>
        <v>50</v>
      </c>
      <c r="AP97" s="236">
        <f>$M$3+AO97</f>
        <v>1040</v>
      </c>
    </row>
    <row r="98">
      <c r="A98" s="56"/>
      <c r="B98" s="56"/>
      <c r="C98" s="56"/>
      <c r="D98" s="56"/>
      <c r="E98" s="57"/>
      <c r="F98" s="57"/>
      <c r="G98" s="26"/>
      <c r="H98" s="7" t="s">
        <v>23</v>
      </c>
      <c r="I98" s="7">
        <v>34.0</v>
      </c>
      <c r="J98" s="7">
        <v>15.0</v>
      </c>
      <c r="K98" s="7">
        <v>36.0</v>
      </c>
      <c r="L98" s="7">
        <v>34.0</v>
      </c>
      <c r="M98" s="7">
        <v>38.0</v>
      </c>
      <c r="N98" s="7">
        <v>35.0</v>
      </c>
      <c r="O98" s="7">
        <v>27.0</v>
      </c>
      <c r="P98" s="7"/>
      <c r="Q98" s="7">
        <v>36.0</v>
      </c>
      <c r="R98" s="28">
        <v>40.0</v>
      </c>
      <c r="S98" s="28">
        <v>33.0</v>
      </c>
      <c r="T98" s="28">
        <v>32.0</v>
      </c>
      <c r="U98" s="28">
        <v>33.0</v>
      </c>
      <c r="V98" s="28">
        <v>41.0</v>
      </c>
      <c r="W98" s="28"/>
      <c r="X98" s="28">
        <v>32.0</v>
      </c>
      <c r="Y98" s="28">
        <v>24.0</v>
      </c>
      <c r="Z98" s="28">
        <v>21.0</v>
      </c>
      <c r="AA98" s="28">
        <v>21.0</v>
      </c>
      <c r="AB98" s="28"/>
      <c r="AC98" s="28"/>
      <c r="AD98" s="28"/>
      <c r="AE98" s="28"/>
      <c r="AF98" s="27"/>
      <c r="AG98" s="28"/>
      <c r="AH98" s="28">
        <v>18.0</v>
      </c>
      <c r="AI98" s="28"/>
      <c r="AJ98" s="28"/>
      <c r="AK98" s="28"/>
      <c r="AL98" s="28"/>
      <c r="AM98" s="28"/>
      <c r="AN98" s="32"/>
      <c r="AO98" s="32"/>
      <c r="AP98" s="32"/>
    </row>
    <row r="99">
      <c r="A99" s="58"/>
      <c r="B99" s="58"/>
      <c r="C99" s="58"/>
      <c r="D99" s="58"/>
      <c r="E99" s="58"/>
      <c r="F99" s="58"/>
      <c r="G99" s="68"/>
      <c r="H99" s="69"/>
      <c r="I99" s="37"/>
      <c r="J99" s="37"/>
      <c r="K99" s="37"/>
      <c r="L99" s="37"/>
      <c r="M99" s="37"/>
      <c r="N99" s="37"/>
      <c r="O99" s="37"/>
      <c r="P99" s="26"/>
      <c r="Q99" s="37"/>
      <c r="R99" s="6"/>
      <c r="S99" s="6"/>
      <c r="T99" s="6"/>
      <c r="U99" s="6"/>
      <c r="V99" s="6"/>
      <c r="W99" s="27"/>
      <c r="X99" s="6"/>
      <c r="Y99" s="6"/>
      <c r="Z99" s="6"/>
      <c r="AA99" s="6"/>
      <c r="AB99" s="10"/>
      <c r="AC99" s="10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48"/>
      <c r="AO99" s="48"/>
      <c r="AP99" s="48"/>
    </row>
    <row r="100">
      <c r="A100" s="16" t="s">
        <v>57</v>
      </c>
      <c r="B100" s="17"/>
      <c r="C100" s="17"/>
      <c r="D100" s="17"/>
      <c r="E100" s="17"/>
      <c r="F100" s="18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</row>
    <row r="101">
      <c r="A101" s="55" t="s">
        <v>58</v>
      </c>
      <c r="B101" s="17"/>
      <c r="C101" s="17"/>
      <c r="D101" s="18"/>
      <c r="E101" s="25">
        <v>2.0</v>
      </c>
      <c r="F101" s="25" t="s">
        <v>21</v>
      </c>
      <c r="G101" s="7">
        <v>1276.0</v>
      </c>
      <c r="H101" s="7" t="s">
        <v>22</v>
      </c>
      <c r="I101" s="26"/>
      <c r="J101" s="26"/>
      <c r="K101" s="26"/>
      <c r="L101" s="7"/>
      <c r="M101" s="26"/>
      <c r="N101" s="7">
        <v>1020.0</v>
      </c>
      <c r="O101" s="26"/>
      <c r="P101" s="26"/>
      <c r="Q101" s="26"/>
      <c r="R101" s="27"/>
      <c r="S101" s="28"/>
      <c r="T101" s="27"/>
      <c r="U101" s="28">
        <v>2040.0</v>
      </c>
      <c r="V101" s="27"/>
      <c r="W101" s="27"/>
      <c r="X101" s="27"/>
      <c r="Y101" s="27"/>
      <c r="Z101" s="28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9">
        <f>G101+SUM(I101:AM101)-SUM(I102:AM102)</f>
        <v>3236</v>
      </c>
      <c r="AO101" s="236">
        <f>ROUNDDOWN((AN101/E101)/$H$4,1)</f>
        <v>53.9</v>
      </c>
      <c r="AP101" s="236">
        <f>$M$3+AO101</f>
        <v>1043.9</v>
      </c>
    </row>
    <row r="102">
      <c r="A102" s="70"/>
      <c r="B102" s="17"/>
      <c r="C102" s="17"/>
      <c r="D102" s="17"/>
      <c r="E102" s="17"/>
      <c r="F102" s="18"/>
      <c r="G102" s="26"/>
      <c r="H102" s="7" t="s">
        <v>23</v>
      </c>
      <c r="I102" s="7">
        <v>68.0</v>
      </c>
      <c r="J102" s="7">
        <v>30.0</v>
      </c>
      <c r="K102" s="7">
        <v>72.0</v>
      </c>
      <c r="L102" s="7">
        <v>68.0</v>
      </c>
      <c r="M102" s="7">
        <v>76.0</v>
      </c>
      <c r="N102" s="7">
        <v>70.0</v>
      </c>
      <c r="O102" s="7">
        <v>54.0</v>
      </c>
      <c r="P102" s="7"/>
      <c r="Q102" s="7">
        <v>72.0</v>
      </c>
      <c r="R102" s="28">
        <v>80.0</v>
      </c>
      <c r="S102" s="28">
        <v>66.0</v>
      </c>
      <c r="T102" s="28">
        <v>64.0</v>
      </c>
      <c r="U102" s="28">
        <v>66.0</v>
      </c>
      <c r="V102" s="28">
        <v>82.0</v>
      </c>
      <c r="W102" s="28"/>
      <c r="X102" s="28">
        <v>64.0</v>
      </c>
      <c r="Y102" s="28">
        <v>48.0</v>
      </c>
      <c r="Z102" s="28">
        <v>42.0</v>
      </c>
      <c r="AA102" s="28">
        <v>42.0</v>
      </c>
      <c r="AB102" s="28"/>
      <c r="AC102" s="28"/>
      <c r="AD102" s="28"/>
      <c r="AE102" s="28"/>
      <c r="AF102" s="28"/>
      <c r="AG102" s="28"/>
      <c r="AH102" s="28">
        <v>36.0</v>
      </c>
      <c r="AI102" s="28"/>
      <c r="AJ102" s="28"/>
      <c r="AK102" s="28"/>
      <c r="AL102" s="28"/>
      <c r="AM102" s="28"/>
      <c r="AN102" s="32"/>
      <c r="AO102" s="32"/>
      <c r="AP102" s="32"/>
    </row>
    <row r="103">
      <c r="A103" s="54"/>
      <c r="B103" s="54"/>
      <c r="C103" s="54"/>
      <c r="D103" s="54"/>
      <c r="E103" s="25"/>
      <c r="F103" s="25"/>
      <c r="G103" s="7"/>
      <c r="H103" s="7"/>
      <c r="I103" s="37"/>
      <c r="J103" s="37"/>
      <c r="K103" s="37"/>
      <c r="L103" s="37"/>
      <c r="M103" s="37"/>
      <c r="N103" s="37"/>
      <c r="O103" s="37"/>
      <c r="P103" s="26"/>
      <c r="Q103" s="37"/>
      <c r="R103" s="6"/>
      <c r="S103" s="42"/>
      <c r="T103" s="6"/>
      <c r="U103" s="6"/>
      <c r="V103" s="6"/>
      <c r="W103" s="27"/>
      <c r="X103" s="6"/>
      <c r="Y103" s="6"/>
      <c r="Z103" s="6"/>
      <c r="AA103" s="6"/>
      <c r="AB103" s="10"/>
      <c r="AC103" s="10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39"/>
      <c r="AO103" s="237"/>
      <c r="AP103" s="237"/>
    </row>
    <row r="104">
      <c r="A104" s="55" t="s">
        <v>59</v>
      </c>
      <c r="B104" s="17"/>
      <c r="C104" s="17"/>
      <c r="D104" s="18"/>
      <c r="E104" s="25">
        <v>2.0</v>
      </c>
      <c r="F104" s="25" t="s">
        <v>21</v>
      </c>
      <c r="G104" s="7">
        <v>1360.0</v>
      </c>
      <c r="H104" s="7" t="s">
        <v>22</v>
      </c>
      <c r="I104" s="26"/>
      <c r="J104" s="26"/>
      <c r="K104" s="26"/>
      <c r="L104" s="7"/>
      <c r="M104" s="26"/>
      <c r="N104" s="7">
        <v>1020.0</v>
      </c>
      <c r="O104" s="26"/>
      <c r="P104" s="26"/>
      <c r="Q104" s="26"/>
      <c r="R104" s="27"/>
      <c r="S104" s="28"/>
      <c r="T104" s="27"/>
      <c r="U104" s="28">
        <v>2040.0</v>
      </c>
      <c r="V104" s="27"/>
      <c r="W104" s="27"/>
      <c r="X104" s="27"/>
      <c r="Y104" s="27"/>
      <c r="Z104" s="28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9">
        <f>G104+SUM(I104:AM104)-SUM(I105:AM105)</f>
        <v>3320</v>
      </c>
      <c r="AO104" s="236">
        <f>ROUNDDOWN((AN104/E104)/$H$4,1)</f>
        <v>55.3</v>
      </c>
      <c r="AP104" s="236">
        <f>$M$3+AO104</f>
        <v>1045.3</v>
      </c>
    </row>
    <row r="105">
      <c r="A105" s="70"/>
      <c r="B105" s="17"/>
      <c r="C105" s="17"/>
      <c r="D105" s="17"/>
      <c r="E105" s="17"/>
      <c r="F105" s="18"/>
      <c r="G105" s="26"/>
      <c r="H105" s="7" t="s">
        <v>23</v>
      </c>
      <c r="I105" s="7">
        <v>68.0</v>
      </c>
      <c r="J105" s="7">
        <v>30.0</v>
      </c>
      <c r="K105" s="7">
        <v>72.0</v>
      </c>
      <c r="L105" s="7">
        <v>68.0</v>
      </c>
      <c r="M105" s="7">
        <v>76.0</v>
      </c>
      <c r="N105" s="7">
        <v>70.0</v>
      </c>
      <c r="O105" s="7">
        <v>54.0</v>
      </c>
      <c r="P105" s="7"/>
      <c r="Q105" s="7">
        <v>72.0</v>
      </c>
      <c r="R105" s="28">
        <v>80.0</v>
      </c>
      <c r="S105" s="28">
        <v>66.0</v>
      </c>
      <c r="T105" s="28">
        <v>64.0</v>
      </c>
      <c r="U105" s="28">
        <v>66.0</v>
      </c>
      <c r="V105" s="28">
        <v>82.0</v>
      </c>
      <c r="W105" s="28"/>
      <c r="X105" s="28">
        <v>64.0</v>
      </c>
      <c r="Y105" s="28">
        <v>48.0</v>
      </c>
      <c r="Z105" s="28">
        <v>42.0</v>
      </c>
      <c r="AA105" s="28">
        <v>42.0</v>
      </c>
      <c r="AB105" s="28"/>
      <c r="AC105" s="28"/>
      <c r="AD105" s="28"/>
      <c r="AE105" s="28"/>
      <c r="AF105" s="28"/>
      <c r="AG105" s="28"/>
      <c r="AH105" s="28">
        <v>36.0</v>
      </c>
      <c r="AI105" s="28"/>
      <c r="AJ105" s="28"/>
      <c r="AK105" s="28"/>
      <c r="AL105" s="28"/>
      <c r="AM105" s="28"/>
      <c r="AN105" s="32"/>
      <c r="AO105" s="32"/>
      <c r="AP105" s="32"/>
    </row>
    <row r="106">
      <c r="A106" s="54"/>
      <c r="B106" s="54"/>
      <c r="C106" s="54"/>
      <c r="D106" s="54"/>
      <c r="E106" s="25"/>
      <c r="F106" s="25"/>
      <c r="G106" s="7"/>
      <c r="H106" s="7"/>
      <c r="I106" s="37"/>
      <c r="J106" s="37"/>
      <c r="K106" s="37"/>
      <c r="L106" s="37"/>
      <c r="M106" s="37"/>
      <c r="N106" s="37"/>
      <c r="O106" s="37"/>
      <c r="P106" s="26"/>
      <c r="Q106" s="37"/>
      <c r="R106" s="6"/>
      <c r="S106" s="6"/>
      <c r="T106" s="6"/>
      <c r="U106" s="6"/>
      <c r="V106" s="6"/>
      <c r="W106" s="27"/>
      <c r="X106" s="6"/>
      <c r="Y106" s="6"/>
      <c r="Z106" s="6"/>
      <c r="AA106" s="6"/>
      <c r="AB106" s="10"/>
      <c r="AC106" s="10"/>
      <c r="AD106" s="27"/>
      <c r="AE106" s="27"/>
      <c r="AF106" s="27"/>
      <c r="AG106" s="27"/>
      <c r="AH106" s="28"/>
      <c r="AI106" s="27"/>
      <c r="AJ106" s="27"/>
      <c r="AK106" s="27"/>
      <c r="AL106" s="27"/>
      <c r="AM106" s="27"/>
      <c r="AN106" s="39"/>
      <c r="AO106" s="237"/>
      <c r="AP106" s="237"/>
    </row>
    <row r="107" hidden="1">
      <c r="A107" s="241" t="s">
        <v>175</v>
      </c>
      <c r="B107" s="17"/>
      <c r="C107" s="17"/>
      <c r="D107" s="18"/>
      <c r="E107" s="86">
        <v>1.0</v>
      </c>
      <c r="F107" s="86" t="s">
        <v>21</v>
      </c>
      <c r="G107" s="88"/>
      <c r="H107" s="88" t="s">
        <v>22</v>
      </c>
      <c r="I107" s="85"/>
      <c r="J107" s="85"/>
      <c r="K107" s="85"/>
      <c r="L107" s="242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7"/>
      <c r="Y107" s="243"/>
      <c r="Z107" s="85"/>
      <c r="AA107" s="85"/>
      <c r="AB107" s="85"/>
      <c r="AC107" s="85"/>
      <c r="AD107" s="85"/>
      <c r="AE107" s="85"/>
      <c r="AF107" s="85"/>
      <c r="AG107" s="87"/>
      <c r="AH107" s="87"/>
      <c r="AI107" s="85"/>
      <c r="AJ107" s="85"/>
      <c r="AK107" s="85"/>
      <c r="AL107" s="85"/>
      <c r="AM107" s="85"/>
      <c r="AN107" s="29">
        <f>G107+SUM(I107:AM107)-SUM(I108:AM108)</f>
        <v>0</v>
      </c>
      <c r="AO107" s="244">
        <f>ROUNDDOWN((AN107/E107)/$H$4,1)</f>
        <v>0</v>
      </c>
      <c r="AP107" s="245">
        <f>$M$3+AO107</f>
        <v>990</v>
      </c>
    </row>
    <row r="108" hidden="1">
      <c r="A108" s="96"/>
      <c r="B108" s="17"/>
      <c r="C108" s="17"/>
      <c r="D108" s="17"/>
      <c r="E108" s="17"/>
      <c r="F108" s="18"/>
      <c r="G108" s="87"/>
      <c r="H108" s="88" t="s">
        <v>23</v>
      </c>
      <c r="I108" s="85"/>
      <c r="J108" s="246"/>
      <c r="K108" s="85"/>
      <c r="L108" s="247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7"/>
      <c r="Y108" s="85"/>
      <c r="Z108" s="85"/>
      <c r="AA108" s="85"/>
      <c r="AB108" s="85"/>
      <c r="AC108" s="85"/>
      <c r="AD108" s="85"/>
      <c r="AE108" s="85"/>
      <c r="AF108" s="85"/>
      <c r="AG108" s="87"/>
      <c r="AH108" s="87"/>
      <c r="AI108" s="85"/>
      <c r="AJ108" s="85"/>
      <c r="AK108" s="85"/>
      <c r="AL108" s="85"/>
      <c r="AM108" s="85"/>
      <c r="AN108" s="32"/>
      <c r="AO108" s="32"/>
      <c r="AP108" s="32"/>
    </row>
    <row r="109" hidden="1">
      <c r="A109" s="87"/>
      <c r="B109" s="87"/>
      <c r="C109" s="87"/>
      <c r="D109" s="87"/>
      <c r="E109" s="87"/>
      <c r="F109" s="87"/>
      <c r="G109" s="87"/>
      <c r="H109" s="87"/>
      <c r="I109" s="85"/>
      <c r="J109" s="85"/>
      <c r="K109" s="85"/>
      <c r="L109" s="247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7"/>
      <c r="Y109" s="85"/>
      <c r="Z109" s="85"/>
      <c r="AA109" s="85"/>
      <c r="AB109" s="85"/>
      <c r="AC109" s="85"/>
      <c r="AD109" s="85"/>
      <c r="AE109" s="85"/>
      <c r="AF109" s="85"/>
      <c r="AG109" s="87"/>
      <c r="AH109" s="87"/>
      <c r="AI109" s="85"/>
      <c r="AJ109" s="85"/>
      <c r="AK109" s="85"/>
      <c r="AL109" s="85"/>
      <c r="AM109" s="85"/>
      <c r="AN109" s="87"/>
      <c r="AO109" s="251"/>
      <c r="AP109" s="251"/>
    </row>
    <row r="110">
      <c r="A110" s="55" t="s">
        <v>60</v>
      </c>
      <c r="B110" s="17"/>
      <c r="C110" s="17"/>
      <c r="D110" s="18"/>
      <c r="E110" s="25">
        <v>1.0</v>
      </c>
      <c r="F110" s="25" t="s">
        <v>21</v>
      </c>
      <c r="G110" s="7">
        <v>1070.0</v>
      </c>
      <c r="H110" s="7" t="s">
        <v>22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7"/>
      <c r="S110" s="27"/>
      <c r="T110" s="27"/>
      <c r="U110" s="28"/>
      <c r="V110" s="27"/>
      <c r="W110" s="27"/>
      <c r="X110" s="28"/>
      <c r="Y110" s="27"/>
      <c r="Z110" s="27"/>
      <c r="AA110" s="28"/>
      <c r="AB110" s="28">
        <v>1020.0</v>
      </c>
      <c r="AC110" s="27"/>
      <c r="AD110" s="27"/>
      <c r="AE110" s="27"/>
      <c r="AF110" s="28"/>
      <c r="AG110" s="28"/>
      <c r="AH110" s="28"/>
      <c r="AI110" s="27"/>
      <c r="AJ110" s="27"/>
      <c r="AK110" s="28"/>
      <c r="AL110" s="27"/>
      <c r="AM110" s="27"/>
      <c r="AN110" s="29">
        <f>G110+SUM(I110:AM110)-SUM(I111:AM111)</f>
        <v>1590</v>
      </c>
      <c r="AO110" s="236">
        <f>ROUNDDOWN((AN110/E110)/$H$4,1)</f>
        <v>53</v>
      </c>
      <c r="AP110" s="236">
        <f>$M$3+AO110</f>
        <v>1043</v>
      </c>
    </row>
    <row r="111">
      <c r="A111" s="70"/>
      <c r="B111" s="17"/>
      <c r="C111" s="17"/>
      <c r="D111" s="17"/>
      <c r="E111" s="17"/>
      <c r="F111" s="18"/>
      <c r="G111" s="26"/>
      <c r="H111" s="7" t="s">
        <v>23</v>
      </c>
      <c r="I111" s="7"/>
      <c r="J111" s="7"/>
      <c r="K111" s="7">
        <v>100.0</v>
      </c>
      <c r="L111" s="7"/>
      <c r="M111" s="7"/>
      <c r="N111" s="7">
        <v>100.0</v>
      </c>
      <c r="O111" s="7"/>
      <c r="P111" s="26"/>
      <c r="Q111" s="7"/>
      <c r="R111" s="28">
        <v>100.0</v>
      </c>
      <c r="S111" s="27"/>
      <c r="T111" s="28">
        <v>100.0</v>
      </c>
      <c r="U111" s="28"/>
      <c r="V111" s="28">
        <v>100.0</v>
      </c>
      <c r="W111" s="28"/>
      <c r="X111" s="28"/>
      <c r="Y111" s="27"/>
      <c r="Z111" s="28"/>
      <c r="AA111" s="28"/>
      <c r="AB111" s="28"/>
      <c r="AC111" s="27"/>
      <c r="AD111" s="28"/>
      <c r="AE111" s="28"/>
      <c r="AF111" s="28"/>
      <c r="AG111" s="28"/>
      <c r="AH111" s="28"/>
      <c r="AI111" s="28"/>
      <c r="AJ111" s="27"/>
      <c r="AK111" s="28"/>
      <c r="AL111" s="27"/>
      <c r="AM111" s="27"/>
      <c r="AN111" s="32"/>
      <c r="AO111" s="32"/>
      <c r="AP111" s="32"/>
    </row>
    <row r="112">
      <c r="A112" s="33"/>
      <c r="B112" s="33"/>
      <c r="C112" s="33"/>
      <c r="D112" s="33"/>
      <c r="E112" s="25"/>
      <c r="F112" s="25"/>
      <c r="G112" s="7"/>
      <c r="H112" s="7"/>
      <c r="I112" s="35"/>
      <c r="J112" s="36"/>
      <c r="K112" s="41"/>
      <c r="L112" s="36"/>
      <c r="M112" s="36"/>
      <c r="N112" s="37"/>
      <c r="O112" s="36"/>
      <c r="P112" s="26"/>
      <c r="Q112" s="36"/>
      <c r="R112" s="6"/>
      <c r="S112" s="10"/>
      <c r="T112" s="6"/>
      <c r="U112" s="10"/>
      <c r="V112" s="6"/>
      <c r="W112" s="27"/>
      <c r="X112" s="10"/>
      <c r="Y112" s="10"/>
      <c r="Z112" s="10"/>
      <c r="AA112" s="10"/>
      <c r="AB112" s="10"/>
      <c r="AC112" s="10"/>
      <c r="AD112" s="27"/>
      <c r="AE112" s="27"/>
      <c r="AF112" s="27"/>
      <c r="AG112" s="27"/>
      <c r="AH112" s="28"/>
      <c r="AI112" s="27"/>
      <c r="AJ112" s="27"/>
      <c r="AK112" s="27"/>
      <c r="AL112" s="27"/>
      <c r="AM112" s="27"/>
      <c r="AN112" s="39"/>
      <c r="AO112" s="237"/>
      <c r="AP112" s="237"/>
    </row>
    <row r="113">
      <c r="A113" s="24" t="s">
        <v>61</v>
      </c>
      <c r="B113" s="17"/>
      <c r="C113" s="17"/>
      <c r="D113" s="18"/>
      <c r="E113" s="25">
        <v>1.0</v>
      </c>
      <c r="F113" s="25" t="s">
        <v>21</v>
      </c>
      <c r="G113" s="7">
        <v>1364.0</v>
      </c>
      <c r="H113" s="7" t="s">
        <v>22</v>
      </c>
      <c r="I113" s="7"/>
      <c r="J113" s="26"/>
      <c r="K113" s="7"/>
      <c r="L113" s="7"/>
      <c r="M113" s="26"/>
      <c r="N113" s="26"/>
      <c r="O113" s="26"/>
      <c r="P113" s="26"/>
      <c r="Q113" s="26"/>
      <c r="R113" s="27"/>
      <c r="S113" s="27"/>
      <c r="T113" s="27"/>
      <c r="U113" s="28"/>
      <c r="V113" s="27"/>
      <c r="W113" s="27"/>
      <c r="X113" s="28"/>
      <c r="Y113" s="27"/>
      <c r="Z113" s="27"/>
      <c r="AA113" s="28"/>
      <c r="AB113" s="28">
        <v>1020.0</v>
      </c>
      <c r="AC113" s="27"/>
      <c r="AD113" s="27"/>
      <c r="AE113" s="27"/>
      <c r="AF113" s="28"/>
      <c r="AG113" s="28"/>
      <c r="AH113" s="28"/>
      <c r="AI113" s="27"/>
      <c r="AJ113" s="27"/>
      <c r="AK113" s="27"/>
      <c r="AL113" s="27"/>
      <c r="AM113" s="27"/>
      <c r="AN113" s="29">
        <f>G113+SUM(I113:AM113)-SUM(I114:AM114)</f>
        <v>2001</v>
      </c>
      <c r="AO113" s="236">
        <f>ROUNDDOWN((AN113/E113)/$H$4,1)</f>
        <v>66.7</v>
      </c>
      <c r="AP113" s="236">
        <f>M6+AO113</f>
        <v>66.7</v>
      </c>
    </row>
    <row r="114">
      <c r="A114" s="31"/>
      <c r="B114" s="17"/>
      <c r="C114" s="17"/>
      <c r="D114" s="17"/>
      <c r="E114" s="17"/>
      <c r="F114" s="18"/>
      <c r="G114" s="26"/>
      <c r="H114" s="7" t="s">
        <v>23</v>
      </c>
      <c r="I114" s="7"/>
      <c r="J114" s="7">
        <v>48.0</v>
      </c>
      <c r="K114" s="7">
        <v>48.0</v>
      </c>
      <c r="L114" s="7">
        <v>36.0</v>
      </c>
      <c r="M114" s="7">
        <v>36.0</v>
      </c>
      <c r="N114" s="7"/>
      <c r="O114" s="7">
        <v>36.0</v>
      </c>
      <c r="P114" s="7"/>
      <c r="Q114" s="7">
        <v>48.0</v>
      </c>
      <c r="R114" s="28">
        <v>36.0</v>
      </c>
      <c r="S114" s="28">
        <v>24.0</v>
      </c>
      <c r="T114" s="28">
        <v>24.0</v>
      </c>
      <c r="U114" s="28">
        <v>47.0</v>
      </c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7"/>
      <c r="AL114" s="27"/>
      <c r="AM114" s="27"/>
      <c r="AN114" s="32"/>
      <c r="AO114" s="32"/>
      <c r="AP114" s="32"/>
    </row>
    <row r="115">
      <c r="A115" s="72"/>
      <c r="B115" s="72"/>
      <c r="C115" s="72"/>
      <c r="D115" s="72"/>
      <c r="E115" s="72"/>
      <c r="F115" s="72"/>
      <c r="G115" s="69"/>
      <c r="H115" s="48"/>
      <c r="I115" s="10"/>
      <c r="J115" s="6"/>
      <c r="K115" s="6"/>
      <c r="L115" s="37"/>
      <c r="M115" s="6"/>
      <c r="N115" s="10"/>
      <c r="O115" s="6"/>
      <c r="P115" s="27"/>
      <c r="Q115" s="6"/>
      <c r="R115" s="6"/>
      <c r="S115" s="6"/>
      <c r="T115" s="6"/>
      <c r="U115" s="6"/>
      <c r="V115" s="10"/>
      <c r="W115" s="27"/>
      <c r="X115" s="10"/>
      <c r="Y115" s="10"/>
      <c r="Z115" s="10"/>
      <c r="AA115" s="10"/>
      <c r="AB115" s="10"/>
      <c r="AC115" s="10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48"/>
      <c r="AO115" s="48"/>
      <c r="AP115" s="48"/>
    </row>
    <row r="116">
      <c r="A116" s="73" t="s">
        <v>62</v>
      </c>
      <c r="B116" s="17"/>
      <c r="C116" s="17"/>
      <c r="D116" s="17"/>
      <c r="E116" s="17"/>
      <c r="F116" s="18"/>
      <c r="G116" s="20"/>
      <c r="H116" s="21"/>
      <c r="I116" s="21"/>
      <c r="J116" s="21"/>
      <c r="K116" s="21"/>
      <c r="L116" s="20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</row>
    <row r="117">
      <c r="A117" s="24" t="s">
        <v>131</v>
      </c>
      <c r="B117" s="17"/>
      <c r="C117" s="17"/>
      <c r="D117" s="18"/>
      <c r="E117" s="25">
        <v>8.0</v>
      </c>
      <c r="F117" s="25" t="s">
        <v>21</v>
      </c>
      <c r="G117" s="7">
        <v>3184.0</v>
      </c>
      <c r="H117" s="7" t="s">
        <v>22</v>
      </c>
      <c r="I117" s="26"/>
      <c r="J117" s="26"/>
      <c r="K117" s="26"/>
      <c r="L117" s="26"/>
      <c r="M117" s="26"/>
      <c r="N117" s="7"/>
      <c r="O117" s="26"/>
      <c r="P117" s="26"/>
      <c r="Q117" s="26"/>
      <c r="R117" s="27"/>
      <c r="S117" s="28">
        <f>4080+8160</f>
        <v>12240</v>
      </c>
      <c r="T117" s="27"/>
      <c r="U117" s="27"/>
      <c r="V117" s="27"/>
      <c r="W117" s="27"/>
      <c r="X117" s="27"/>
      <c r="Y117" s="28"/>
      <c r="Z117" s="27"/>
      <c r="AA117" s="27"/>
      <c r="AB117" s="27"/>
      <c r="AC117" s="27"/>
      <c r="AD117" s="27"/>
      <c r="AE117" s="27"/>
      <c r="AF117" s="27"/>
      <c r="AG117" s="27"/>
      <c r="AH117" s="28"/>
      <c r="AI117" s="27"/>
      <c r="AJ117" s="27"/>
      <c r="AK117" s="27"/>
      <c r="AL117" s="27"/>
      <c r="AM117" s="27"/>
      <c r="AN117" s="29">
        <f>G117+SUM(I117:AM117)-SUM(I118:AM118)</f>
        <v>10840</v>
      </c>
      <c r="AO117" s="236">
        <f>ROUNDDOWN((AN117/E117)/$H$4,1)</f>
        <v>45.1</v>
      </c>
      <c r="AP117" s="236">
        <f>$M$3+AO117</f>
        <v>1035.1</v>
      </c>
    </row>
    <row r="118">
      <c r="A118" s="31"/>
      <c r="B118" s="17"/>
      <c r="C118" s="17"/>
      <c r="D118" s="17"/>
      <c r="E118" s="17"/>
      <c r="F118" s="18"/>
      <c r="G118" s="26"/>
      <c r="H118" s="7" t="s">
        <v>23</v>
      </c>
      <c r="I118" s="7">
        <v>240.0</v>
      </c>
      <c r="J118" s="7">
        <v>120.0</v>
      </c>
      <c r="K118" s="7">
        <v>320.0</v>
      </c>
      <c r="L118" s="7">
        <v>272.0</v>
      </c>
      <c r="M118" s="7">
        <v>304.0</v>
      </c>
      <c r="N118" s="7">
        <v>280.0</v>
      </c>
      <c r="O118" s="7">
        <v>248.0</v>
      </c>
      <c r="P118" s="7"/>
      <c r="Q118" s="7">
        <v>240.0</v>
      </c>
      <c r="R118" s="28">
        <v>320.0</v>
      </c>
      <c r="S118" s="28">
        <v>264.0</v>
      </c>
      <c r="T118" s="28">
        <v>256.0</v>
      </c>
      <c r="U118" s="28">
        <v>288.0</v>
      </c>
      <c r="V118" s="28">
        <v>328.0</v>
      </c>
      <c r="W118" s="28"/>
      <c r="X118" s="28">
        <v>256.0</v>
      </c>
      <c r="Y118" s="28">
        <v>208.0</v>
      </c>
      <c r="Z118" s="28">
        <v>168.0</v>
      </c>
      <c r="AA118" s="28">
        <v>168.0</v>
      </c>
      <c r="AB118" s="28">
        <v>152.0</v>
      </c>
      <c r="AC118" s="28"/>
      <c r="AD118" s="28"/>
      <c r="AE118" s="28"/>
      <c r="AF118" s="28"/>
      <c r="AG118" s="28"/>
      <c r="AH118" s="28">
        <v>152.0</v>
      </c>
      <c r="AI118" s="28"/>
      <c r="AJ118" s="28"/>
      <c r="AK118" s="28"/>
      <c r="AL118" s="28"/>
      <c r="AM118" s="28"/>
      <c r="AN118" s="32"/>
      <c r="AO118" s="32"/>
      <c r="AP118" s="32"/>
    </row>
    <row r="119">
      <c r="A119" s="33"/>
      <c r="B119" s="33"/>
      <c r="C119" s="33"/>
      <c r="D119" s="33"/>
      <c r="E119" s="25"/>
      <c r="F119" s="25"/>
      <c r="G119" s="7"/>
      <c r="H119" s="7"/>
      <c r="I119" s="37"/>
      <c r="J119" s="37"/>
      <c r="K119" s="37"/>
      <c r="L119" s="37"/>
      <c r="M119" s="37"/>
      <c r="N119" s="41"/>
      <c r="O119" s="37"/>
      <c r="P119" s="26"/>
      <c r="Q119" s="37"/>
      <c r="R119" s="6"/>
      <c r="S119" s="6"/>
      <c r="T119" s="6"/>
      <c r="U119" s="42"/>
      <c r="V119" s="6"/>
      <c r="W119" s="27"/>
      <c r="X119" s="6"/>
      <c r="Y119" s="6"/>
      <c r="Z119" s="42"/>
      <c r="AA119" s="6"/>
      <c r="AB119" s="6"/>
      <c r="AC119" s="10"/>
      <c r="AD119" s="27"/>
      <c r="AE119" s="27"/>
      <c r="AF119" s="27"/>
      <c r="AG119" s="27"/>
      <c r="AH119" s="27"/>
      <c r="AI119" s="28"/>
      <c r="AJ119" s="27"/>
      <c r="AK119" s="27"/>
      <c r="AL119" s="27"/>
      <c r="AM119" s="27"/>
      <c r="AN119" s="39"/>
      <c r="AO119" s="237"/>
      <c r="AP119" s="237"/>
    </row>
    <row r="120">
      <c r="A120" s="24" t="s">
        <v>64</v>
      </c>
      <c r="B120" s="17"/>
      <c r="C120" s="17"/>
      <c r="D120" s="18"/>
      <c r="E120" s="25">
        <v>26.0</v>
      </c>
      <c r="F120" s="25" t="s">
        <v>21</v>
      </c>
      <c r="G120" s="252">
        <v>18528.0</v>
      </c>
      <c r="H120" s="7" t="s">
        <v>22</v>
      </c>
      <c r="I120" s="26"/>
      <c r="J120" s="26"/>
      <c r="K120" s="26"/>
      <c r="L120" s="7">
        <v>13260.0</v>
      </c>
      <c r="M120" s="26"/>
      <c r="N120" s="26"/>
      <c r="O120" s="26"/>
      <c r="P120" s="26"/>
      <c r="Q120" s="26"/>
      <c r="R120" s="27"/>
      <c r="S120" s="27"/>
      <c r="T120" s="27"/>
      <c r="U120" s="27"/>
      <c r="V120" s="28">
        <v>26520.0</v>
      </c>
      <c r="W120" s="27"/>
      <c r="X120" s="27"/>
      <c r="Y120" s="27"/>
      <c r="Z120" s="27"/>
      <c r="AA120" s="27"/>
      <c r="AB120" s="28"/>
      <c r="AC120" s="28"/>
      <c r="AD120" s="27"/>
      <c r="AE120" s="27"/>
      <c r="AF120" s="27"/>
      <c r="AG120" s="27"/>
      <c r="AH120" s="27"/>
      <c r="AI120" s="28"/>
      <c r="AJ120" s="28"/>
      <c r="AK120" s="28"/>
      <c r="AL120" s="27"/>
      <c r="AM120" s="27"/>
      <c r="AN120" s="29">
        <f>G120+SUM(I120:AM120)-SUM(I121:AM121)</f>
        <v>44008</v>
      </c>
      <c r="AO120" s="236">
        <f>ROUNDDOWN((AN120/E120)/$H$4,1)</f>
        <v>56.4</v>
      </c>
      <c r="AP120" s="236">
        <f>$M$3+AO120</f>
        <v>1046.4</v>
      </c>
    </row>
    <row r="121">
      <c r="A121" s="31"/>
      <c r="B121" s="17"/>
      <c r="C121" s="17"/>
      <c r="D121" s="17"/>
      <c r="E121" s="17"/>
      <c r="F121" s="18"/>
      <c r="G121" s="26"/>
      <c r="H121" s="7" t="s">
        <v>23</v>
      </c>
      <c r="I121" s="7">
        <v>884.0</v>
      </c>
      <c r="J121" s="7">
        <v>390.0</v>
      </c>
      <c r="K121" s="7">
        <v>936.0</v>
      </c>
      <c r="L121" s="7">
        <v>884.0</v>
      </c>
      <c r="M121" s="7">
        <v>988.0</v>
      </c>
      <c r="N121" s="7">
        <v>910.0</v>
      </c>
      <c r="O121" s="7">
        <v>702.0</v>
      </c>
      <c r="P121" s="7"/>
      <c r="Q121" s="7">
        <v>936.0</v>
      </c>
      <c r="R121" s="28">
        <v>1040.0</v>
      </c>
      <c r="S121" s="28">
        <v>858.0</v>
      </c>
      <c r="T121" s="28">
        <v>832.0</v>
      </c>
      <c r="U121" s="28">
        <v>858.0</v>
      </c>
      <c r="V121" s="28">
        <v>1066.0</v>
      </c>
      <c r="W121" s="28"/>
      <c r="X121" s="28">
        <v>832.0</v>
      </c>
      <c r="Y121" s="28">
        <v>624.0</v>
      </c>
      <c r="Z121" s="28">
        <v>546.0</v>
      </c>
      <c r="AA121" s="28">
        <v>546.0</v>
      </c>
      <c r="AB121" s="28"/>
      <c r="AC121" s="28"/>
      <c r="AD121" s="28"/>
      <c r="AE121" s="28"/>
      <c r="AF121" s="28"/>
      <c r="AG121" s="28"/>
      <c r="AH121" s="28">
        <v>468.0</v>
      </c>
      <c r="AI121" s="28"/>
      <c r="AJ121" s="28"/>
      <c r="AK121" s="28"/>
      <c r="AL121" s="28"/>
      <c r="AM121" s="28"/>
      <c r="AN121" s="32"/>
      <c r="AO121" s="32"/>
      <c r="AP121" s="32"/>
    </row>
    <row r="122">
      <c r="A122" s="33"/>
      <c r="B122" s="33"/>
      <c r="C122" s="33"/>
      <c r="D122" s="33"/>
      <c r="E122" s="25"/>
      <c r="F122" s="25"/>
      <c r="G122" s="7"/>
      <c r="H122" s="7"/>
      <c r="I122" s="37"/>
      <c r="J122" s="37"/>
      <c r="K122" s="37"/>
      <c r="L122" s="37"/>
      <c r="M122" s="37"/>
      <c r="N122" s="37"/>
      <c r="O122" s="37"/>
      <c r="P122" s="26"/>
      <c r="Q122" s="37"/>
      <c r="R122" s="6"/>
      <c r="S122" s="6"/>
      <c r="T122" s="6"/>
      <c r="U122" s="6"/>
      <c r="V122" s="6"/>
      <c r="W122" s="27"/>
      <c r="X122" s="6"/>
      <c r="Y122" s="6"/>
      <c r="Z122" s="6"/>
      <c r="AA122" s="6"/>
      <c r="AB122" s="10"/>
      <c r="AC122" s="10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39"/>
      <c r="AO122" s="237"/>
      <c r="AP122" s="237"/>
    </row>
    <row r="123">
      <c r="A123" s="24" t="s">
        <v>65</v>
      </c>
      <c r="B123" s="17"/>
      <c r="C123" s="17"/>
      <c r="D123" s="18"/>
      <c r="E123" s="25">
        <v>2.0</v>
      </c>
      <c r="F123" s="25" t="s">
        <v>21</v>
      </c>
      <c r="G123" s="7">
        <v>41440.0</v>
      </c>
      <c r="H123" s="7" t="s">
        <v>22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8"/>
      <c r="AK123" s="27"/>
      <c r="AL123" s="27"/>
      <c r="AM123" s="27"/>
      <c r="AN123" s="29">
        <f>G123+SUM(I123:AM123)-SUM(I124:AM124)</f>
        <v>40340</v>
      </c>
      <c r="AO123" s="236">
        <f>ROUNDDOWN((AN123/E123)/$H$4,1)</f>
        <v>672.3</v>
      </c>
      <c r="AP123" s="236">
        <f>$M$3+AO123</f>
        <v>1662.3</v>
      </c>
    </row>
    <row r="124">
      <c r="A124" s="31"/>
      <c r="B124" s="17"/>
      <c r="C124" s="17"/>
      <c r="D124" s="17"/>
      <c r="E124" s="17"/>
      <c r="F124" s="18"/>
      <c r="G124" s="26"/>
      <c r="H124" s="7" t="s">
        <v>23</v>
      </c>
      <c r="I124" s="7">
        <v>68.0</v>
      </c>
      <c r="J124" s="7">
        <v>30.0</v>
      </c>
      <c r="K124" s="7">
        <v>72.0</v>
      </c>
      <c r="L124" s="7">
        <v>68.0</v>
      </c>
      <c r="M124" s="7">
        <v>76.0</v>
      </c>
      <c r="N124" s="7">
        <v>70.0</v>
      </c>
      <c r="O124" s="7">
        <v>54.0</v>
      </c>
      <c r="P124" s="7"/>
      <c r="Q124" s="7">
        <v>72.0</v>
      </c>
      <c r="R124" s="28">
        <v>80.0</v>
      </c>
      <c r="S124" s="28">
        <v>66.0</v>
      </c>
      <c r="T124" s="28">
        <v>64.0</v>
      </c>
      <c r="U124" s="28">
        <v>66.0</v>
      </c>
      <c r="V124" s="28">
        <v>82.0</v>
      </c>
      <c r="W124" s="28"/>
      <c r="X124" s="28">
        <v>64.0</v>
      </c>
      <c r="Y124" s="28">
        <v>48.0</v>
      </c>
      <c r="Z124" s="28">
        <v>42.0</v>
      </c>
      <c r="AA124" s="28">
        <v>42.0</v>
      </c>
      <c r="AB124" s="28"/>
      <c r="AC124" s="28"/>
      <c r="AD124" s="28"/>
      <c r="AE124" s="28"/>
      <c r="AF124" s="28"/>
      <c r="AG124" s="28"/>
      <c r="AH124" s="28">
        <v>36.0</v>
      </c>
      <c r="AI124" s="28"/>
      <c r="AJ124" s="28"/>
      <c r="AK124" s="28"/>
      <c r="AL124" s="28"/>
      <c r="AM124" s="28"/>
      <c r="AN124" s="32"/>
      <c r="AO124" s="32"/>
      <c r="AP124" s="32"/>
    </row>
    <row r="125">
      <c r="A125" s="33"/>
      <c r="B125" s="33"/>
      <c r="C125" s="33"/>
      <c r="D125" s="33"/>
      <c r="E125" s="25"/>
      <c r="F125" s="25"/>
      <c r="G125" s="43"/>
      <c r="H125" s="7"/>
      <c r="I125" s="37"/>
      <c r="J125" s="37"/>
      <c r="K125" s="37"/>
      <c r="L125" s="37"/>
      <c r="M125" s="37"/>
      <c r="N125" s="37"/>
      <c r="O125" s="37"/>
      <c r="P125" s="26"/>
      <c r="Q125" s="37"/>
      <c r="R125" s="6"/>
      <c r="S125" s="6"/>
      <c r="T125" s="6"/>
      <c r="U125" s="6"/>
      <c r="V125" s="6"/>
      <c r="W125" s="27"/>
      <c r="X125" s="6"/>
      <c r="Y125" s="6"/>
      <c r="Z125" s="6"/>
      <c r="AA125" s="6"/>
      <c r="AB125" s="10"/>
      <c r="AC125" s="10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39"/>
      <c r="AO125" s="237"/>
      <c r="AP125" s="237"/>
    </row>
    <row r="126">
      <c r="A126" s="24" t="s">
        <v>66</v>
      </c>
      <c r="B126" s="17"/>
      <c r="C126" s="17"/>
      <c r="D126" s="18"/>
      <c r="E126" s="25">
        <v>10.0</v>
      </c>
      <c r="F126" s="25" t="s">
        <v>21</v>
      </c>
      <c r="G126" s="43">
        <v>7662.0</v>
      </c>
      <c r="H126" s="7" t="s">
        <v>22</v>
      </c>
      <c r="I126" s="26"/>
      <c r="J126" s="26"/>
      <c r="K126" s="26"/>
      <c r="L126" s="7"/>
      <c r="M126" s="26"/>
      <c r="N126" s="7"/>
      <c r="O126" s="26"/>
      <c r="P126" s="26"/>
      <c r="Q126" s="26"/>
      <c r="R126" s="27"/>
      <c r="S126" s="28">
        <f>5100+10200</f>
        <v>15300</v>
      </c>
      <c r="T126" s="27"/>
      <c r="U126" s="27"/>
      <c r="V126" s="27"/>
      <c r="W126" s="27"/>
      <c r="X126" s="27"/>
      <c r="Y126" s="28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9">
        <f>G126+SUM(I126:AM126)-SUM(I127:AM127)</f>
        <v>17714</v>
      </c>
      <c r="AO126" s="236">
        <f>ROUNDDOWN((AN126/E126)/$H$4,1)</f>
        <v>59</v>
      </c>
      <c r="AP126" s="236">
        <f>$M$3+AO126</f>
        <v>1049</v>
      </c>
    </row>
    <row r="127">
      <c r="A127" s="31"/>
      <c r="B127" s="17"/>
      <c r="C127" s="17"/>
      <c r="D127" s="17"/>
      <c r="E127" s="17"/>
      <c r="F127" s="18"/>
      <c r="G127" s="26"/>
      <c r="H127" s="7" t="s">
        <v>23</v>
      </c>
      <c r="I127" s="7">
        <f>204+120</f>
        <v>324</v>
      </c>
      <c r="J127" s="7">
        <f>90+80</f>
        <v>170</v>
      </c>
      <c r="K127" s="7">
        <f>216+144</f>
        <v>360</v>
      </c>
      <c r="L127" s="7">
        <f>204+136</f>
        <v>340</v>
      </c>
      <c r="M127" s="7">
        <f>228+152</f>
        <v>380</v>
      </c>
      <c r="N127" s="7">
        <f>210+140</f>
        <v>350</v>
      </c>
      <c r="O127" s="7">
        <f>162+108</f>
        <v>270</v>
      </c>
      <c r="P127" s="7"/>
      <c r="Q127" s="7">
        <f>216+144</f>
        <v>360</v>
      </c>
      <c r="R127" s="28">
        <f>240+160</f>
        <v>400</v>
      </c>
      <c r="S127" s="28">
        <f>198+132</f>
        <v>330</v>
      </c>
      <c r="T127" s="28">
        <f>192+128</f>
        <v>320</v>
      </c>
      <c r="U127" s="28">
        <f>198+132</f>
        <v>330</v>
      </c>
      <c r="V127" s="28">
        <f>246+164</f>
        <v>410</v>
      </c>
      <c r="W127" s="28"/>
      <c r="X127" s="28">
        <f>192+128</f>
        <v>320</v>
      </c>
      <c r="Y127" s="28">
        <v>96.0</v>
      </c>
      <c r="Z127" s="28">
        <f>126+84</f>
        <v>210</v>
      </c>
      <c r="AA127" s="28">
        <v>126.0</v>
      </c>
      <c r="AB127" s="28">
        <v>44.0</v>
      </c>
      <c r="AC127" s="28"/>
      <c r="AD127" s="28"/>
      <c r="AE127" s="28"/>
      <c r="AF127" s="28"/>
      <c r="AG127" s="28"/>
      <c r="AH127" s="28">
        <v>108.0</v>
      </c>
      <c r="AI127" s="28"/>
      <c r="AJ127" s="28"/>
      <c r="AK127" s="28"/>
      <c r="AL127" s="28"/>
      <c r="AM127" s="28"/>
      <c r="AN127" s="32"/>
      <c r="AO127" s="32"/>
      <c r="AP127" s="32"/>
    </row>
    <row r="128">
      <c r="A128" s="33"/>
      <c r="B128" s="33"/>
      <c r="C128" s="33"/>
      <c r="D128" s="33"/>
      <c r="E128" s="25"/>
      <c r="F128" s="25"/>
      <c r="G128" s="7"/>
      <c r="H128" s="7"/>
      <c r="I128" s="37"/>
      <c r="J128" s="37"/>
      <c r="K128" s="37"/>
      <c r="L128" s="37"/>
      <c r="M128" s="37"/>
      <c r="N128" s="37"/>
      <c r="O128" s="37"/>
      <c r="P128" s="26"/>
      <c r="Q128" s="37"/>
      <c r="R128" s="6"/>
      <c r="S128" s="6"/>
      <c r="T128" s="6"/>
      <c r="U128" s="6"/>
      <c r="V128" s="6"/>
      <c r="W128" s="27"/>
      <c r="X128" s="6"/>
      <c r="Y128" s="6"/>
      <c r="Z128" s="6"/>
      <c r="AA128" s="6"/>
      <c r="AB128" s="6"/>
      <c r="AC128" s="10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39"/>
      <c r="AO128" s="237"/>
      <c r="AP128" s="237"/>
    </row>
    <row r="129">
      <c r="A129" s="24" t="s">
        <v>67</v>
      </c>
      <c r="B129" s="17"/>
      <c r="C129" s="17"/>
      <c r="D129" s="18"/>
      <c r="E129" s="25">
        <v>6.0</v>
      </c>
      <c r="F129" s="25" t="s">
        <v>21</v>
      </c>
      <c r="G129" s="7">
        <v>54168.0</v>
      </c>
      <c r="H129" s="7" t="s">
        <v>22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9">
        <f>G129+SUM(I129:AM129)-SUM(I130:AM130)</f>
        <v>51030</v>
      </c>
      <c r="AO129" s="236">
        <f>ROUNDDOWN((AN129/E129)/$H$4,1)</f>
        <v>283.5</v>
      </c>
      <c r="AP129" s="236">
        <f>$M$3+AO129</f>
        <v>1273.5</v>
      </c>
    </row>
    <row r="130">
      <c r="A130" s="31"/>
      <c r="B130" s="17"/>
      <c r="C130" s="17"/>
      <c r="D130" s="17"/>
      <c r="E130" s="17"/>
      <c r="F130" s="18"/>
      <c r="G130" s="26"/>
      <c r="H130" s="7" t="s">
        <v>23</v>
      </c>
      <c r="I130" s="7">
        <v>180.0</v>
      </c>
      <c r="J130" s="7">
        <v>120.0</v>
      </c>
      <c r="K130" s="7">
        <v>216.0</v>
      </c>
      <c r="L130" s="7">
        <v>204.0</v>
      </c>
      <c r="M130" s="7">
        <v>228.0</v>
      </c>
      <c r="N130" s="7">
        <v>210.0</v>
      </c>
      <c r="O130" s="7">
        <v>162.0</v>
      </c>
      <c r="P130" s="7"/>
      <c r="Q130" s="7">
        <v>216.0</v>
      </c>
      <c r="R130" s="28">
        <v>240.0</v>
      </c>
      <c r="S130" s="28">
        <v>198.0</v>
      </c>
      <c r="T130" s="28">
        <v>192.0</v>
      </c>
      <c r="U130" s="28">
        <v>198.0</v>
      </c>
      <c r="V130" s="28">
        <v>246.0</v>
      </c>
      <c r="W130" s="28"/>
      <c r="X130" s="28">
        <v>192.0</v>
      </c>
      <c r="Y130" s="28">
        <v>144.0</v>
      </c>
      <c r="Z130" s="28">
        <v>126.0</v>
      </c>
      <c r="AA130" s="28"/>
      <c r="AB130" s="28">
        <v>66.0</v>
      </c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32"/>
      <c r="AO130" s="32"/>
      <c r="AP130" s="32"/>
    </row>
    <row r="131">
      <c r="A131" s="33"/>
      <c r="B131" s="33"/>
      <c r="C131" s="33"/>
      <c r="D131" s="33"/>
      <c r="E131" s="25"/>
      <c r="F131" s="25"/>
      <c r="G131" s="7"/>
      <c r="H131" s="7"/>
      <c r="I131" s="37"/>
      <c r="J131" s="37"/>
      <c r="K131" s="37"/>
      <c r="L131" s="37"/>
      <c r="M131" s="37"/>
      <c r="N131" s="37"/>
      <c r="O131" s="37"/>
      <c r="P131" s="26"/>
      <c r="Q131" s="37"/>
      <c r="R131" s="6"/>
      <c r="S131" s="6"/>
      <c r="T131" s="6"/>
      <c r="U131" s="6"/>
      <c r="V131" s="6"/>
      <c r="W131" s="27"/>
      <c r="X131" s="6"/>
      <c r="Y131" s="6"/>
      <c r="Z131" s="6"/>
      <c r="AA131" s="10"/>
      <c r="AB131" s="6"/>
      <c r="AC131" s="10"/>
      <c r="AD131" s="27"/>
      <c r="AE131" s="27"/>
      <c r="AF131" s="27"/>
      <c r="AG131" s="27"/>
      <c r="AH131" s="27"/>
      <c r="AI131" s="28"/>
      <c r="AJ131" s="27"/>
      <c r="AK131" s="27"/>
      <c r="AL131" s="27"/>
      <c r="AM131" s="27"/>
      <c r="AN131" s="39"/>
      <c r="AO131" s="237"/>
      <c r="AP131" s="237"/>
    </row>
    <row r="132">
      <c r="A132" s="24" t="s">
        <v>68</v>
      </c>
      <c r="B132" s="17"/>
      <c r="C132" s="17"/>
      <c r="D132" s="18"/>
      <c r="E132" s="25">
        <v>12.0</v>
      </c>
      <c r="F132" s="25" t="s">
        <v>21</v>
      </c>
      <c r="G132" s="7">
        <v>7940.0</v>
      </c>
      <c r="H132" s="7" t="s">
        <v>22</v>
      </c>
      <c r="I132" s="26"/>
      <c r="J132" s="26"/>
      <c r="K132" s="26"/>
      <c r="L132" s="7">
        <v>6120.0</v>
      </c>
      <c r="M132" s="26"/>
      <c r="N132" s="26"/>
      <c r="O132" s="26"/>
      <c r="P132" s="26"/>
      <c r="Q132" s="26"/>
      <c r="R132" s="27"/>
      <c r="S132" s="27"/>
      <c r="T132" s="27"/>
      <c r="U132" s="27"/>
      <c r="V132" s="28">
        <v>12240.0</v>
      </c>
      <c r="W132" s="27"/>
      <c r="X132" s="27"/>
      <c r="Y132" s="27"/>
      <c r="Z132" s="27"/>
      <c r="AA132" s="27"/>
      <c r="AB132" s="28"/>
      <c r="AC132" s="28"/>
      <c r="AD132" s="27"/>
      <c r="AE132" s="27"/>
      <c r="AF132" s="27"/>
      <c r="AG132" s="27"/>
      <c r="AH132" s="27"/>
      <c r="AI132" s="28"/>
      <c r="AJ132" s="28"/>
      <c r="AK132" s="28"/>
      <c r="AL132" s="27"/>
      <c r="AM132" s="27"/>
      <c r="AN132" s="29">
        <f>G132+SUM(I132:AM132)-SUM(I133:AM133)</f>
        <v>20006</v>
      </c>
      <c r="AO132" s="236">
        <f>ROUNDDOWN((AN132/E132)/$H$4,1)</f>
        <v>55.5</v>
      </c>
      <c r="AP132" s="236">
        <f>$M$3+AO132</f>
        <v>1045.5</v>
      </c>
    </row>
    <row r="133">
      <c r="A133" s="31"/>
      <c r="B133" s="17"/>
      <c r="C133" s="17"/>
      <c r="D133" s="17"/>
      <c r="E133" s="17"/>
      <c r="F133" s="18"/>
      <c r="G133" s="26"/>
      <c r="H133" s="7" t="s">
        <v>23</v>
      </c>
      <c r="I133" s="7">
        <f>204+180</f>
        <v>384</v>
      </c>
      <c r="J133" s="7">
        <f>90+120</f>
        <v>210</v>
      </c>
      <c r="K133" s="7">
        <f>216+216</f>
        <v>432</v>
      </c>
      <c r="L133" s="7">
        <f>204+204</f>
        <v>408</v>
      </c>
      <c r="M133" s="7">
        <f>228+228</f>
        <v>456</v>
      </c>
      <c r="N133" s="7">
        <f>210+210</f>
        <v>420</v>
      </c>
      <c r="O133" s="7">
        <f>162+162</f>
        <v>324</v>
      </c>
      <c r="P133" s="7"/>
      <c r="Q133" s="7">
        <f>216+216</f>
        <v>432</v>
      </c>
      <c r="R133" s="28">
        <f>240+240</f>
        <v>480</v>
      </c>
      <c r="S133" s="28">
        <f>198+198</f>
        <v>396</v>
      </c>
      <c r="T133" s="28">
        <f>192+192</f>
        <v>384</v>
      </c>
      <c r="U133" s="28">
        <f>198+198</f>
        <v>396</v>
      </c>
      <c r="V133" s="28">
        <f>246+246</f>
        <v>492</v>
      </c>
      <c r="W133" s="28"/>
      <c r="X133" s="28">
        <f>192+192</f>
        <v>384</v>
      </c>
      <c r="Y133" s="28">
        <v>144.0</v>
      </c>
      <c r="Z133" s="28">
        <f>126+126</f>
        <v>252</v>
      </c>
      <c r="AA133" s="28">
        <v>126.0</v>
      </c>
      <c r="AB133" s="28">
        <v>66.0</v>
      </c>
      <c r="AC133" s="28"/>
      <c r="AD133" s="28"/>
      <c r="AE133" s="28"/>
      <c r="AF133" s="28"/>
      <c r="AG133" s="28"/>
      <c r="AH133" s="28">
        <v>108.0</v>
      </c>
      <c r="AI133" s="28"/>
      <c r="AJ133" s="28"/>
      <c r="AK133" s="28"/>
      <c r="AL133" s="28"/>
      <c r="AM133" s="28"/>
      <c r="AN133" s="32"/>
      <c r="AO133" s="32"/>
      <c r="AP133" s="32"/>
    </row>
    <row r="134">
      <c r="A134" s="33"/>
      <c r="B134" s="33"/>
      <c r="C134" s="33"/>
      <c r="D134" s="33"/>
      <c r="E134" s="25"/>
      <c r="F134" s="25"/>
      <c r="G134" s="7"/>
      <c r="H134" s="7"/>
      <c r="I134" s="37"/>
      <c r="J134" s="37"/>
      <c r="K134" s="37"/>
      <c r="L134" s="37"/>
      <c r="M134" s="37"/>
      <c r="N134" s="37"/>
      <c r="O134" s="37"/>
      <c r="P134" s="7"/>
      <c r="Q134" s="37"/>
      <c r="R134" s="6"/>
      <c r="S134" s="6"/>
      <c r="T134" s="6"/>
      <c r="U134" s="6"/>
      <c r="V134" s="42"/>
      <c r="W134" s="27"/>
      <c r="X134" s="6"/>
      <c r="Y134" s="6"/>
      <c r="Z134" s="6"/>
      <c r="AA134" s="6"/>
      <c r="AB134" s="6"/>
      <c r="AC134" s="10"/>
      <c r="AD134" s="27"/>
      <c r="AE134" s="27"/>
      <c r="AF134" s="271"/>
      <c r="AG134" s="27"/>
      <c r="AH134" s="27"/>
      <c r="AI134" s="27"/>
      <c r="AJ134" s="27"/>
      <c r="AK134" s="27"/>
      <c r="AL134" s="27"/>
      <c r="AM134" s="27"/>
      <c r="AN134" s="39"/>
      <c r="AO134" s="237"/>
      <c r="AP134" s="237"/>
    </row>
    <row r="135">
      <c r="A135" s="24" t="s">
        <v>132</v>
      </c>
      <c r="B135" s="17"/>
      <c r="C135" s="17"/>
      <c r="D135" s="18"/>
      <c r="E135" s="25">
        <v>6.0</v>
      </c>
      <c r="F135" s="25" t="s">
        <v>21</v>
      </c>
      <c r="G135" s="7">
        <v>14617.0</v>
      </c>
      <c r="H135" s="7" t="s">
        <v>22</v>
      </c>
      <c r="I135" s="26"/>
      <c r="J135" s="26"/>
      <c r="K135" s="26"/>
      <c r="L135" s="26"/>
      <c r="M135" s="26"/>
      <c r="N135" s="26"/>
      <c r="O135" s="26"/>
      <c r="P135" s="26"/>
      <c r="Q135" s="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9">
        <f>G135+SUM(I135:AM135)-SUM(I136:AM136)</f>
        <v>11017</v>
      </c>
      <c r="AO135" s="236">
        <f>ROUNDDOWN((AN135/E135)/$H$4,1)</f>
        <v>61.2</v>
      </c>
      <c r="AP135" s="236">
        <f>$M$3+AO135</f>
        <v>1051.2</v>
      </c>
    </row>
    <row r="136">
      <c r="A136" s="31"/>
      <c r="B136" s="17"/>
      <c r="C136" s="17"/>
      <c r="D136" s="17"/>
      <c r="E136" s="17"/>
      <c r="F136" s="18"/>
      <c r="G136" s="26"/>
      <c r="H136" s="7" t="s">
        <v>23</v>
      </c>
      <c r="I136" s="7"/>
      <c r="J136" s="7">
        <v>180.0</v>
      </c>
      <c r="K136" s="7">
        <v>180.0</v>
      </c>
      <c r="L136" s="7">
        <v>180.0</v>
      </c>
      <c r="M136" s="7">
        <v>180.0</v>
      </c>
      <c r="N136" s="7">
        <v>180.0</v>
      </c>
      <c r="O136" s="7">
        <v>360.0</v>
      </c>
      <c r="P136" s="7"/>
      <c r="Q136" s="7">
        <v>180.0</v>
      </c>
      <c r="R136" s="28">
        <v>180.0</v>
      </c>
      <c r="S136" s="28">
        <v>180.0</v>
      </c>
      <c r="T136" s="28">
        <v>180.0</v>
      </c>
      <c r="U136" s="28">
        <v>180.0</v>
      </c>
      <c r="V136" s="28">
        <v>360.0</v>
      </c>
      <c r="W136" s="28"/>
      <c r="X136" s="28">
        <v>180.0</v>
      </c>
      <c r="Y136" s="28">
        <v>180.0</v>
      </c>
      <c r="Z136" s="28">
        <v>180.0</v>
      </c>
      <c r="AA136" s="28">
        <v>180.0</v>
      </c>
      <c r="AB136" s="28"/>
      <c r="AC136" s="28"/>
      <c r="AD136" s="28"/>
      <c r="AE136" s="28"/>
      <c r="AF136" s="28"/>
      <c r="AG136" s="28"/>
      <c r="AH136" s="28">
        <v>180.0</v>
      </c>
      <c r="AI136" s="28"/>
      <c r="AJ136" s="28">
        <v>180.0</v>
      </c>
      <c r="AK136" s="28"/>
      <c r="AL136" s="28"/>
      <c r="AM136" s="28"/>
      <c r="AN136" s="32"/>
      <c r="AO136" s="32"/>
      <c r="AP136" s="32"/>
    </row>
    <row r="137">
      <c r="A137" s="33"/>
      <c r="B137" s="33"/>
      <c r="C137" s="33"/>
      <c r="D137" s="33"/>
      <c r="E137" s="25"/>
      <c r="F137" s="25"/>
      <c r="G137" s="7"/>
      <c r="H137" s="7"/>
      <c r="I137" s="36"/>
      <c r="J137" s="37"/>
      <c r="K137" s="37"/>
      <c r="L137" s="37"/>
      <c r="M137" s="37"/>
      <c r="N137" s="37"/>
      <c r="O137" s="37"/>
      <c r="P137" s="26"/>
      <c r="Q137" s="37"/>
      <c r="R137" s="6"/>
      <c r="S137" s="6"/>
      <c r="T137" s="6"/>
      <c r="U137" s="6"/>
      <c r="V137" s="6"/>
      <c r="W137" s="27"/>
      <c r="X137" s="6"/>
      <c r="Y137" s="6"/>
      <c r="Z137" s="6"/>
      <c r="AA137" s="6"/>
      <c r="AB137" s="10"/>
      <c r="AC137" s="10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39"/>
      <c r="AO137" s="237"/>
      <c r="AP137" s="237"/>
    </row>
    <row r="138">
      <c r="A138" s="24" t="s">
        <v>70</v>
      </c>
      <c r="B138" s="17"/>
      <c r="C138" s="17"/>
      <c r="D138" s="18"/>
      <c r="E138" s="25">
        <v>8.0</v>
      </c>
      <c r="F138" s="25" t="s">
        <v>21</v>
      </c>
      <c r="G138" s="7">
        <v>4044.0</v>
      </c>
      <c r="H138" s="7" t="s">
        <v>22</v>
      </c>
      <c r="I138" s="26"/>
      <c r="J138" s="26"/>
      <c r="K138" s="26"/>
      <c r="L138" s="7">
        <v>4080.0</v>
      </c>
      <c r="M138" s="26"/>
      <c r="N138" s="26"/>
      <c r="O138" s="26"/>
      <c r="P138" s="26"/>
      <c r="Q138" s="26"/>
      <c r="R138" s="27"/>
      <c r="S138" s="27"/>
      <c r="T138" s="27"/>
      <c r="U138" s="27"/>
      <c r="V138" s="28">
        <v>8160.0</v>
      </c>
      <c r="W138" s="27"/>
      <c r="X138" s="27"/>
      <c r="Y138" s="27"/>
      <c r="Z138" s="27"/>
      <c r="AA138" s="27"/>
      <c r="AB138" s="28"/>
      <c r="AC138" s="28"/>
      <c r="AD138" s="27"/>
      <c r="AE138" s="27"/>
      <c r="AF138" s="27"/>
      <c r="AG138" s="27"/>
      <c r="AH138" s="27"/>
      <c r="AI138" s="27"/>
      <c r="AJ138" s="28"/>
      <c r="AK138" s="27"/>
      <c r="AL138" s="27"/>
      <c r="AM138" s="27"/>
      <c r="AN138" s="29">
        <f>G138+SUM(I138:AM138)-SUM(I139:AM139)</f>
        <v>11584</v>
      </c>
      <c r="AO138" s="236">
        <f>ROUNDDOWN((AN138/E138)/$H$4,1)</f>
        <v>48.2</v>
      </c>
      <c r="AP138" s="236">
        <f>$M$3+AO138</f>
        <v>1038.2</v>
      </c>
    </row>
    <row r="139">
      <c r="A139" s="31"/>
      <c r="B139" s="17"/>
      <c r="C139" s="17"/>
      <c r="D139" s="17"/>
      <c r="E139" s="17"/>
      <c r="F139" s="18"/>
      <c r="G139" s="26"/>
      <c r="H139" s="7" t="s">
        <v>23</v>
      </c>
      <c r="I139" s="7">
        <v>68.0</v>
      </c>
      <c r="J139" s="7">
        <f>30+180</f>
        <v>210</v>
      </c>
      <c r="K139" s="7">
        <f>72+180</f>
        <v>252</v>
      </c>
      <c r="L139" s="7">
        <f>68+180</f>
        <v>248</v>
      </c>
      <c r="M139" s="7">
        <f>76+180</f>
        <v>256</v>
      </c>
      <c r="N139" s="7">
        <f>70+180</f>
        <v>250</v>
      </c>
      <c r="O139" s="7">
        <f>54+360</f>
        <v>414</v>
      </c>
      <c r="P139" s="7"/>
      <c r="Q139" s="7">
        <f>72+180</f>
        <v>252</v>
      </c>
      <c r="R139" s="28">
        <f>80+180</f>
        <v>260</v>
      </c>
      <c r="S139" s="28">
        <f>66+180</f>
        <v>246</v>
      </c>
      <c r="T139" s="28">
        <f>64+180</f>
        <v>244</v>
      </c>
      <c r="U139" s="28">
        <f>66+180</f>
        <v>246</v>
      </c>
      <c r="V139" s="28">
        <f>82+360</f>
        <v>442</v>
      </c>
      <c r="W139" s="28"/>
      <c r="X139" s="28">
        <f>64+180</f>
        <v>244</v>
      </c>
      <c r="Y139" s="28">
        <f>48+180</f>
        <v>228</v>
      </c>
      <c r="Z139" s="28">
        <f t="shared" ref="Z139:AA139" si="3">42+180</f>
        <v>222</v>
      </c>
      <c r="AA139" s="28">
        <f t="shared" si="3"/>
        <v>222</v>
      </c>
      <c r="AB139" s="28"/>
      <c r="AC139" s="28"/>
      <c r="AD139" s="28"/>
      <c r="AE139" s="28"/>
      <c r="AF139" s="28"/>
      <c r="AG139" s="28"/>
      <c r="AH139" s="28">
        <f>36+180</f>
        <v>216</v>
      </c>
      <c r="AI139" s="28"/>
      <c r="AJ139" s="28">
        <v>180.0</v>
      </c>
      <c r="AK139" s="28"/>
      <c r="AL139" s="28"/>
      <c r="AM139" s="28"/>
      <c r="AN139" s="32"/>
      <c r="AO139" s="32"/>
      <c r="AP139" s="32"/>
    </row>
    <row r="140">
      <c r="A140" s="33"/>
      <c r="B140" s="33"/>
      <c r="C140" s="33"/>
      <c r="D140" s="33"/>
      <c r="E140" s="25"/>
      <c r="F140" s="25"/>
      <c r="G140" s="7"/>
      <c r="H140" s="7"/>
      <c r="I140" s="37"/>
      <c r="J140" s="37"/>
      <c r="K140" s="37"/>
      <c r="L140" s="37"/>
      <c r="M140" s="37"/>
      <c r="N140" s="37"/>
      <c r="O140" s="37"/>
      <c r="P140" s="26"/>
      <c r="Q140" s="6"/>
      <c r="R140" s="6"/>
      <c r="S140" s="6"/>
      <c r="T140" s="6"/>
      <c r="U140" s="6"/>
      <c r="V140" s="6"/>
      <c r="W140" s="27"/>
      <c r="X140" s="6"/>
      <c r="Y140" s="6"/>
      <c r="Z140" s="6"/>
      <c r="AA140" s="6"/>
      <c r="AB140" s="10"/>
      <c r="AC140" s="10"/>
      <c r="AD140" s="27"/>
      <c r="AE140" s="27"/>
      <c r="AF140" s="27"/>
      <c r="AG140" s="27"/>
      <c r="AH140" s="27"/>
      <c r="AI140" s="28"/>
      <c r="AJ140" s="27"/>
      <c r="AK140" s="27"/>
      <c r="AL140" s="27"/>
      <c r="AM140" s="27"/>
      <c r="AN140" s="39"/>
      <c r="AO140" s="237"/>
      <c r="AP140" s="237"/>
    </row>
    <row r="141">
      <c r="A141" s="24" t="s">
        <v>71</v>
      </c>
      <c r="B141" s="17"/>
      <c r="C141" s="17"/>
      <c r="D141" s="18"/>
      <c r="E141" s="25">
        <v>8.0</v>
      </c>
      <c r="F141" s="25" t="s">
        <v>21</v>
      </c>
      <c r="G141" s="7">
        <v>4300.0</v>
      </c>
      <c r="H141" s="7" t="s">
        <v>22</v>
      </c>
      <c r="I141" s="26"/>
      <c r="J141" s="26"/>
      <c r="K141" s="26"/>
      <c r="L141" s="7">
        <v>4080.0</v>
      </c>
      <c r="M141" s="26"/>
      <c r="N141" s="26"/>
      <c r="O141" s="26"/>
      <c r="P141" s="26"/>
      <c r="Q141" s="26"/>
      <c r="R141" s="27"/>
      <c r="S141" s="27"/>
      <c r="T141" s="27"/>
      <c r="U141" s="27"/>
      <c r="V141" s="28">
        <v>8160.0</v>
      </c>
      <c r="W141" s="27"/>
      <c r="X141" s="27"/>
      <c r="Y141" s="27"/>
      <c r="Z141" s="27"/>
      <c r="AA141" s="27"/>
      <c r="AB141" s="28"/>
      <c r="AC141" s="28"/>
      <c r="AD141" s="27"/>
      <c r="AE141" s="27"/>
      <c r="AF141" s="27"/>
      <c r="AG141" s="27"/>
      <c r="AH141" s="27"/>
      <c r="AI141" s="28"/>
      <c r="AJ141" s="28"/>
      <c r="AK141" s="28"/>
      <c r="AL141" s="27"/>
      <c r="AM141" s="27"/>
      <c r="AN141" s="29">
        <f>G141+SUM(I141:AM141)-SUM(I142:AM142)</f>
        <v>11840</v>
      </c>
      <c r="AO141" s="236">
        <f>ROUNDDOWN((AN141/E141)/$H$4,1)</f>
        <v>49.3</v>
      </c>
      <c r="AP141" s="236">
        <f>$M$3+AO141</f>
        <v>1039.3</v>
      </c>
    </row>
    <row r="142">
      <c r="A142" s="31"/>
      <c r="B142" s="17"/>
      <c r="C142" s="17"/>
      <c r="D142" s="17"/>
      <c r="E142" s="17"/>
      <c r="F142" s="18"/>
      <c r="G142" s="26"/>
      <c r="H142" s="7" t="s">
        <v>23</v>
      </c>
      <c r="I142" s="7">
        <v>68.0</v>
      </c>
      <c r="J142" s="7">
        <f>30+180</f>
        <v>210</v>
      </c>
      <c r="K142" s="7">
        <f>72+180</f>
        <v>252</v>
      </c>
      <c r="L142" s="7">
        <f>68+180</f>
        <v>248</v>
      </c>
      <c r="M142" s="7">
        <f>76+180</f>
        <v>256</v>
      </c>
      <c r="N142" s="7">
        <f>70+180</f>
        <v>250</v>
      </c>
      <c r="O142" s="7">
        <f>54+360</f>
        <v>414</v>
      </c>
      <c r="P142" s="7"/>
      <c r="Q142" s="7">
        <f>72+180</f>
        <v>252</v>
      </c>
      <c r="R142" s="28">
        <f>80+180</f>
        <v>260</v>
      </c>
      <c r="S142" s="28">
        <f>66+180</f>
        <v>246</v>
      </c>
      <c r="T142" s="28">
        <f>64+180</f>
        <v>244</v>
      </c>
      <c r="U142" s="28">
        <f>66+180</f>
        <v>246</v>
      </c>
      <c r="V142" s="28">
        <f>82+360</f>
        <v>442</v>
      </c>
      <c r="W142" s="28"/>
      <c r="X142" s="28">
        <f>64+180</f>
        <v>244</v>
      </c>
      <c r="Y142" s="28">
        <f>48+180</f>
        <v>228</v>
      </c>
      <c r="Z142" s="28">
        <f t="shared" ref="Z142:AA142" si="4">42+180</f>
        <v>222</v>
      </c>
      <c r="AA142" s="28">
        <f t="shared" si="4"/>
        <v>222</v>
      </c>
      <c r="AB142" s="28"/>
      <c r="AC142" s="28"/>
      <c r="AD142" s="28"/>
      <c r="AE142" s="28"/>
      <c r="AF142" s="28"/>
      <c r="AG142" s="28"/>
      <c r="AH142" s="28">
        <f>36+180</f>
        <v>216</v>
      </c>
      <c r="AI142" s="28"/>
      <c r="AJ142" s="28">
        <v>180.0</v>
      </c>
      <c r="AK142" s="28"/>
      <c r="AL142" s="28"/>
      <c r="AM142" s="28"/>
      <c r="AN142" s="32"/>
      <c r="AO142" s="32"/>
      <c r="AP142" s="32"/>
    </row>
    <row r="143">
      <c r="A143" s="33"/>
      <c r="B143" s="33"/>
      <c r="C143" s="33"/>
      <c r="D143" s="33"/>
      <c r="E143" s="25"/>
      <c r="F143" s="25"/>
      <c r="G143" s="7"/>
      <c r="H143" s="7"/>
      <c r="I143" s="37"/>
      <c r="J143" s="37"/>
      <c r="K143" s="37"/>
      <c r="L143" s="37"/>
      <c r="M143" s="37"/>
      <c r="N143" s="37"/>
      <c r="O143" s="37"/>
      <c r="P143" s="26"/>
      <c r="Q143" s="37"/>
      <c r="R143" s="6"/>
      <c r="S143" s="6"/>
      <c r="T143" s="6"/>
      <c r="U143" s="6"/>
      <c r="V143" s="6"/>
      <c r="W143" s="27"/>
      <c r="X143" s="6"/>
      <c r="Y143" s="6"/>
      <c r="Z143" s="6"/>
      <c r="AA143" s="6"/>
      <c r="AB143" s="10"/>
      <c r="AC143" s="10"/>
      <c r="AD143" s="27"/>
      <c r="AE143" s="27"/>
      <c r="AF143" s="27"/>
      <c r="AG143" s="27"/>
      <c r="AH143" s="27"/>
      <c r="AI143" s="28"/>
      <c r="AJ143" s="27"/>
      <c r="AK143" s="27"/>
      <c r="AL143" s="27"/>
      <c r="AM143" s="27"/>
      <c r="AN143" s="39"/>
      <c r="AO143" s="237"/>
      <c r="AP143" s="237"/>
    </row>
    <row r="144">
      <c r="A144" s="24" t="s">
        <v>72</v>
      </c>
      <c r="B144" s="17"/>
      <c r="C144" s="17"/>
      <c r="D144" s="18"/>
      <c r="E144" s="25">
        <v>12.0</v>
      </c>
      <c r="F144" s="25" t="s">
        <v>21</v>
      </c>
      <c r="G144" s="7">
        <v>8871.0</v>
      </c>
      <c r="H144" s="7" t="s">
        <v>22</v>
      </c>
      <c r="I144" s="26"/>
      <c r="J144" s="26"/>
      <c r="K144" s="26"/>
      <c r="L144" s="7">
        <v>6120.0</v>
      </c>
      <c r="M144" s="26"/>
      <c r="N144" s="26"/>
      <c r="O144" s="26"/>
      <c r="P144" s="26"/>
      <c r="Q144" s="26"/>
      <c r="R144" s="27"/>
      <c r="S144" s="27"/>
      <c r="T144" s="27"/>
      <c r="U144" s="27"/>
      <c r="V144" s="28">
        <v>12240.0</v>
      </c>
      <c r="W144" s="27"/>
      <c r="X144" s="27"/>
      <c r="Y144" s="27"/>
      <c r="Z144" s="27"/>
      <c r="AA144" s="27"/>
      <c r="AB144" s="28"/>
      <c r="AC144" s="28"/>
      <c r="AD144" s="27"/>
      <c r="AE144" s="27"/>
      <c r="AF144" s="27"/>
      <c r="AG144" s="27"/>
      <c r="AH144" s="27"/>
      <c r="AI144" s="28"/>
      <c r="AJ144" s="28"/>
      <c r="AK144" s="28"/>
      <c r="AL144" s="27"/>
      <c r="AM144" s="27"/>
      <c r="AN144" s="29">
        <f>G144+SUM(I144:AM144)-SUM(I145:AM145)</f>
        <v>20607</v>
      </c>
      <c r="AO144" s="236">
        <f>ROUNDDOWN((AN144/E144)/$H$4,1)</f>
        <v>57.2</v>
      </c>
      <c r="AP144" s="236">
        <f>$M$5+AO144</f>
        <v>1046.2</v>
      </c>
    </row>
    <row r="145">
      <c r="A145" s="31"/>
      <c r="B145" s="17"/>
      <c r="C145" s="17"/>
      <c r="D145" s="17"/>
      <c r="E145" s="17"/>
      <c r="F145" s="18"/>
      <c r="G145" s="26"/>
      <c r="H145" s="7" t="s">
        <v>23</v>
      </c>
      <c r="I145" s="7">
        <v>360.0</v>
      </c>
      <c r="J145" s="7">
        <v>240.0</v>
      </c>
      <c r="K145" s="7">
        <v>432.0</v>
      </c>
      <c r="L145" s="7">
        <v>408.0</v>
      </c>
      <c r="M145" s="7">
        <v>456.0</v>
      </c>
      <c r="N145" s="7">
        <v>420.0</v>
      </c>
      <c r="O145" s="7">
        <v>420.0</v>
      </c>
      <c r="P145" s="7"/>
      <c r="Q145" s="7">
        <v>432.0</v>
      </c>
      <c r="R145" s="28">
        <v>480.0</v>
      </c>
      <c r="S145" s="28">
        <v>396.0</v>
      </c>
      <c r="T145" s="28">
        <v>384.0</v>
      </c>
      <c r="U145" s="28">
        <v>396.0</v>
      </c>
      <c r="V145" s="28">
        <v>492.0</v>
      </c>
      <c r="W145" s="28"/>
      <c r="X145" s="28">
        <v>384.0</v>
      </c>
      <c r="Y145" s="28">
        <v>288.0</v>
      </c>
      <c r="Z145" s="28">
        <v>252.0</v>
      </c>
      <c r="AA145" s="28">
        <v>252.0</v>
      </c>
      <c r="AB145" s="28">
        <v>132.0</v>
      </c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32"/>
      <c r="AO145" s="32"/>
      <c r="AP145" s="32"/>
    </row>
    <row r="146">
      <c r="A146" s="33"/>
      <c r="B146" s="33"/>
      <c r="C146" s="33"/>
      <c r="D146" s="33"/>
      <c r="E146" s="25"/>
      <c r="F146" s="25"/>
      <c r="G146" s="7"/>
      <c r="H146" s="7"/>
      <c r="I146" s="37"/>
      <c r="J146" s="37"/>
      <c r="K146" s="37"/>
      <c r="L146" s="37"/>
      <c r="M146" s="37"/>
      <c r="N146" s="37"/>
      <c r="O146" s="37"/>
      <c r="P146" s="26"/>
      <c r="Q146" s="37"/>
      <c r="R146" s="6"/>
      <c r="S146" s="6"/>
      <c r="T146" s="6"/>
      <c r="U146" s="6"/>
      <c r="V146" s="6"/>
      <c r="W146" s="27"/>
      <c r="X146" s="6"/>
      <c r="Y146" s="6"/>
      <c r="Z146" s="6"/>
      <c r="AA146" s="6"/>
      <c r="AB146" s="6"/>
      <c r="AC146" s="10"/>
      <c r="AD146" s="27"/>
      <c r="AE146" s="27"/>
      <c r="AF146" s="27"/>
      <c r="AG146" s="27"/>
      <c r="AH146" s="27"/>
      <c r="AI146" s="28"/>
      <c r="AJ146" s="27"/>
      <c r="AK146" s="27"/>
      <c r="AL146" s="27"/>
      <c r="AM146" s="27"/>
      <c r="AN146" s="39"/>
      <c r="AO146" s="237"/>
      <c r="AP146" s="237"/>
    </row>
    <row r="147">
      <c r="A147" s="24" t="s">
        <v>73</v>
      </c>
      <c r="B147" s="17"/>
      <c r="C147" s="17"/>
      <c r="D147" s="18"/>
      <c r="E147" s="25">
        <v>12.0</v>
      </c>
      <c r="F147" s="25" t="s">
        <v>21</v>
      </c>
      <c r="G147" s="7">
        <v>7709.0</v>
      </c>
      <c r="H147" s="7" t="s">
        <v>22</v>
      </c>
      <c r="I147" s="26"/>
      <c r="J147" s="26"/>
      <c r="K147" s="26"/>
      <c r="L147" s="7">
        <v>6120.0</v>
      </c>
      <c r="M147" s="26"/>
      <c r="N147" s="26"/>
      <c r="O147" s="26"/>
      <c r="P147" s="26"/>
      <c r="Q147" s="7"/>
      <c r="R147" s="27"/>
      <c r="S147" s="27"/>
      <c r="T147" s="27"/>
      <c r="U147" s="27"/>
      <c r="V147" s="28">
        <v>12240.0</v>
      </c>
      <c r="W147" s="27"/>
      <c r="X147" s="27"/>
      <c r="Y147" s="27"/>
      <c r="Z147" s="27"/>
      <c r="AA147" s="27"/>
      <c r="AB147" s="28"/>
      <c r="AC147" s="28"/>
      <c r="AD147" s="27"/>
      <c r="AE147" s="27"/>
      <c r="AF147" s="27"/>
      <c r="AG147" s="27"/>
      <c r="AH147" s="27"/>
      <c r="AI147" s="28"/>
      <c r="AJ147" s="28"/>
      <c r="AK147" s="28"/>
      <c r="AL147" s="27"/>
      <c r="AM147" s="27"/>
      <c r="AN147" s="29">
        <f>G147+SUM(I147:AM147)-SUM(I148:AM148)</f>
        <v>19365</v>
      </c>
      <c r="AO147" s="236">
        <f>ROUNDDOWN((AN147/E147)/$H$4,1)</f>
        <v>53.7</v>
      </c>
      <c r="AP147" s="236">
        <f>$M$5+AO147</f>
        <v>1042.7</v>
      </c>
    </row>
    <row r="148">
      <c r="A148" s="31"/>
      <c r="B148" s="17"/>
      <c r="C148" s="17"/>
      <c r="D148" s="17"/>
      <c r="E148" s="17"/>
      <c r="F148" s="18"/>
      <c r="G148" s="26"/>
      <c r="H148" s="7" t="s">
        <v>23</v>
      </c>
      <c r="I148" s="7">
        <v>360.0</v>
      </c>
      <c r="J148" s="7">
        <v>240.0</v>
      </c>
      <c r="K148" s="7">
        <v>432.0</v>
      </c>
      <c r="L148" s="7">
        <v>408.0</v>
      </c>
      <c r="M148" s="7">
        <v>456.0</v>
      </c>
      <c r="N148" s="7">
        <v>420.0</v>
      </c>
      <c r="O148" s="7">
        <v>420.0</v>
      </c>
      <c r="P148" s="7"/>
      <c r="Q148" s="7">
        <v>432.0</v>
      </c>
      <c r="R148" s="28">
        <v>480.0</v>
      </c>
      <c r="S148" s="28">
        <v>396.0</v>
      </c>
      <c r="T148" s="28">
        <f>384+80</f>
        <v>464</v>
      </c>
      <c r="U148" s="28">
        <v>396.0</v>
      </c>
      <c r="V148" s="28">
        <v>492.0</v>
      </c>
      <c r="W148" s="28"/>
      <c r="X148" s="28">
        <v>384.0</v>
      </c>
      <c r="Y148" s="28">
        <v>288.0</v>
      </c>
      <c r="Z148" s="28">
        <v>252.0</v>
      </c>
      <c r="AA148" s="28">
        <v>252.0</v>
      </c>
      <c r="AB148" s="28">
        <v>132.0</v>
      </c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32"/>
      <c r="AO148" s="32"/>
      <c r="AP148" s="32"/>
    </row>
    <row r="149">
      <c r="A149" s="33"/>
      <c r="B149" s="33"/>
      <c r="C149" s="33"/>
      <c r="D149" s="33"/>
      <c r="E149" s="25"/>
      <c r="F149" s="25"/>
      <c r="G149" s="7"/>
      <c r="H149" s="7"/>
      <c r="I149" s="37"/>
      <c r="J149" s="37"/>
      <c r="K149" s="37"/>
      <c r="L149" s="37"/>
      <c r="M149" s="37"/>
      <c r="N149" s="37"/>
      <c r="O149" s="37"/>
      <c r="P149" s="26"/>
      <c r="Q149" s="37"/>
      <c r="R149" s="6"/>
      <c r="S149" s="6"/>
      <c r="T149" s="6"/>
      <c r="U149" s="6"/>
      <c r="V149" s="6"/>
      <c r="W149" s="27"/>
      <c r="X149" s="6"/>
      <c r="Y149" s="6"/>
      <c r="Z149" s="6"/>
      <c r="AA149" s="6"/>
      <c r="AB149" s="6"/>
      <c r="AC149" s="10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39"/>
      <c r="AO149" s="237"/>
      <c r="AP149" s="237"/>
    </row>
    <row r="150">
      <c r="A150" s="24" t="s">
        <v>176</v>
      </c>
      <c r="B150" s="17"/>
      <c r="C150" s="17"/>
      <c r="D150" s="18"/>
      <c r="E150" s="25">
        <v>18.0</v>
      </c>
      <c r="F150" s="25" t="s">
        <v>21</v>
      </c>
      <c r="G150" s="7">
        <v>13326.0</v>
      </c>
      <c r="H150" s="7" t="s">
        <v>22</v>
      </c>
      <c r="I150" s="26"/>
      <c r="J150" s="26"/>
      <c r="K150" s="26"/>
      <c r="L150" s="7">
        <v>9180.0</v>
      </c>
      <c r="M150" s="26"/>
      <c r="N150" s="26"/>
      <c r="O150" s="26"/>
      <c r="P150" s="7"/>
      <c r="Q150" s="26"/>
      <c r="R150" s="27"/>
      <c r="S150" s="27"/>
      <c r="T150" s="27"/>
      <c r="U150" s="27"/>
      <c r="V150" s="28">
        <v>18360.0</v>
      </c>
      <c r="W150" s="27"/>
      <c r="X150" s="27"/>
      <c r="Y150" s="27"/>
      <c r="Z150" s="27"/>
      <c r="AA150" s="27"/>
      <c r="AB150" s="28"/>
      <c r="AC150" s="28"/>
      <c r="AD150" s="27"/>
      <c r="AE150" s="27"/>
      <c r="AF150" s="27"/>
      <c r="AG150" s="27"/>
      <c r="AH150" s="27"/>
      <c r="AI150" s="27"/>
      <c r="AJ150" s="28"/>
      <c r="AK150" s="28"/>
      <c r="AL150" s="27"/>
      <c r="AM150" s="27"/>
      <c r="AN150" s="29">
        <f>G150+SUM(I150:AM150)-SUM(I151:AM151)</f>
        <v>30966</v>
      </c>
      <c r="AO150" s="236">
        <f>ROUNDDOWN((AN150/E150)/$H$4,1)</f>
        <v>57.3</v>
      </c>
      <c r="AP150" s="236">
        <f>$M$5+AO150</f>
        <v>1046.3</v>
      </c>
    </row>
    <row r="151">
      <c r="A151" s="31"/>
      <c r="B151" s="17"/>
      <c r="C151" s="17"/>
      <c r="D151" s="17"/>
      <c r="E151" s="17"/>
      <c r="F151" s="18"/>
      <c r="G151" s="26"/>
      <c r="H151" s="7" t="s">
        <v>23</v>
      </c>
      <c r="I151" s="7">
        <v>612.0</v>
      </c>
      <c r="J151" s="7">
        <v>270.0</v>
      </c>
      <c r="K151" s="7">
        <v>648.0</v>
      </c>
      <c r="L151" s="7">
        <v>612.0</v>
      </c>
      <c r="M151" s="7">
        <v>684.0</v>
      </c>
      <c r="N151" s="7">
        <v>630.0</v>
      </c>
      <c r="O151" s="7">
        <v>486.0</v>
      </c>
      <c r="P151" s="7"/>
      <c r="Q151" s="7">
        <v>648.0</v>
      </c>
      <c r="R151" s="28">
        <v>720.0</v>
      </c>
      <c r="S151" s="28">
        <v>594.0</v>
      </c>
      <c r="T151" s="28">
        <v>576.0</v>
      </c>
      <c r="U151" s="28">
        <v>594.0</v>
      </c>
      <c r="V151" s="28">
        <v>738.0</v>
      </c>
      <c r="W151" s="28"/>
      <c r="X151" s="28">
        <v>576.0</v>
      </c>
      <c r="Y151" s="28">
        <v>432.0</v>
      </c>
      <c r="Z151" s="28">
        <v>378.0</v>
      </c>
      <c r="AA151" s="28">
        <v>378.0</v>
      </c>
      <c r="AB151" s="28"/>
      <c r="AC151" s="28"/>
      <c r="AD151" s="28"/>
      <c r="AE151" s="28"/>
      <c r="AF151" s="28"/>
      <c r="AG151" s="28"/>
      <c r="AH151" s="28">
        <v>324.0</v>
      </c>
      <c r="AI151" s="28"/>
      <c r="AJ151" s="28"/>
      <c r="AK151" s="28"/>
      <c r="AL151" s="28"/>
      <c r="AM151" s="28"/>
      <c r="AN151" s="32"/>
      <c r="AO151" s="32"/>
      <c r="AP151" s="32"/>
    </row>
    <row r="152">
      <c r="A152" s="33"/>
      <c r="B152" s="33"/>
      <c r="C152" s="33"/>
      <c r="D152" s="33"/>
      <c r="E152" s="25"/>
      <c r="F152" s="25"/>
      <c r="G152" s="7"/>
      <c r="H152" s="7"/>
      <c r="I152" s="37"/>
      <c r="J152" s="37"/>
      <c r="K152" s="37"/>
      <c r="L152" s="37"/>
      <c r="M152" s="37"/>
      <c r="N152" s="37"/>
      <c r="O152" s="37"/>
      <c r="P152" s="26"/>
      <c r="Q152" s="37"/>
      <c r="R152" s="6"/>
      <c r="S152" s="6"/>
      <c r="T152" s="6"/>
      <c r="U152" s="6"/>
      <c r="V152" s="6"/>
      <c r="W152" s="27"/>
      <c r="X152" s="6"/>
      <c r="Y152" s="6"/>
      <c r="Z152" s="6"/>
      <c r="AA152" s="6"/>
      <c r="AB152" s="10"/>
      <c r="AC152" s="10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39"/>
      <c r="AO152" s="237"/>
      <c r="AP152" s="237"/>
    </row>
    <row r="153">
      <c r="A153" s="24" t="s">
        <v>75</v>
      </c>
      <c r="B153" s="17"/>
      <c r="C153" s="17"/>
      <c r="D153" s="18"/>
      <c r="E153" s="25">
        <v>12.0</v>
      </c>
      <c r="F153" s="25" t="s">
        <v>21</v>
      </c>
      <c r="G153" s="7">
        <v>13940.0</v>
      </c>
      <c r="H153" s="7" t="s">
        <v>22</v>
      </c>
      <c r="I153" s="26"/>
      <c r="J153" s="26"/>
      <c r="K153" s="26"/>
      <c r="L153" s="26"/>
      <c r="M153" s="26"/>
      <c r="N153" s="7">
        <v>13000.0</v>
      </c>
      <c r="O153" s="26"/>
      <c r="P153" s="26"/>
      <c r="Q153" s="26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8"/>
      <c r="AK153" s="28"/>
      <c r="AL153" s="27"/>
      <c r="AM153" s="27"/>
      <c r="AN153" s="29">
        <f>G153+SUM(I153:AM153)-SUM(I154:AM154)</f>
        <v>20150</v>
      </c>
      <c r="AO153" s="236">
        <f>ROUNDDOWN((AN153/E153)/$H$4,1)</f>
        <v>55.9</v>
      </c>
      <c r="AP153" s="236">
        <f>$M$4+AO153</f>
        <v>1047.9</v>
      </c>
    </row>
    <row r="154">
      <c r="A154" s="31"/>
      <c r="B154" s="17"/>
      <c r="C154" s="17"/>
      <c r="D154" s="17"/>
      <c r="E154" s="17"/>
      <c r="F154" s="18"/>
      <c r="G154" s="26"/>
      <c r="H154" s="7" t="s">
        <v>23</v>
      </c>
      <c r="I154" s="7"/>
      <c r="J154" s="7">
        <f>120+270</f>
        <v>390</v>
      </c>
      <c r="K154" s="7">
        <v>270.0</v>
      </c>
      <c r="L154" s="7">
        <f t="shared" ref="L154:M154" si="5">120+270</f>
        <v>390</v>
      </c>
      <c r="M154" s="7">
        <f t="shared" si="5"/>
        <v>390</v>
      </c>
      <c r="N154" s="7">
        <v>270.0</v>
      </c>
      <c r="O154" s="7">
        <v>540.0</v>
      </c>
      <c r="P154" s="7"/>
      <c r="Q154" s="7">
        <f>120+1000</f>
        <v>1120</v>
      </c>
      <c r="R154" s="28">
        <v>540.0</v>
      </c>
      <c r="S154" s="28">
        <v>360.0</v>
      </c>
      <c r="T154" s="28">
        <v>540.0</v>
      </c>
      <c r="U154" s="28">
        <f>120+540</f>
        <v>660</v>
      </c>
      <c r="V154" s="28"/>
      <c r="W154" s="28"/>
      <c r="X154" s="28"/>
      <c r="Y154" s="28">
        <f>120+540</f>
        <v>660</v>
      </c>
      <c r="Z154" s="28">
        <f>120+270</f>
        <v>390</v>
      </c>
      <c r="AA154" s="28"/>
      <c r="AB154" s="28">
        <v>270.0</v>
      </c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32"/>
      <c r="AO154" s="32"/>
      <c r="AP154" s="32"/>
    </row>
    <row r="155">
      <c r="A155" s="33"/>
      <c r="B155" s="33"/>
      <c r="C155" s="33"/>
      <c r="D155" s="33"/>
      <c r="E155" s="25"/>
      <c r="F155" s="25"/>
      <c r="G155" s="7"/>
      <c r="H155" s="7"/>
      <c r="I155" s="36"/>
      <c r="J155" s="37"/>
      <c r="K155" s="37"/>
      <c r="L155" s="37"/>
      <c r="M155" s="37"/>
      <c r="N155" s="37"/>
      <c r="O155" s="37"/>
      <c r="P155" s="26"/>
      <c r="Q155" s="37"/>
      <c r="R155" s="6"/>
      <c r="S155" s="6"/>
      <c r="T155" s="6"/>
      <c r="U155" s="6"/>
      <c r="V155" s="10"/>
      <c r="W155" s="27"/>
      <c r="X155" s="10"/>
      <c r="Y155" s="6"/>
      <c r="Z155" s="6"/>
      <c r="AA155" s="10"/>
      <c r="AB155" s="6"/>
      <c r="AC155" s="10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39"/>
      <c r="AO155" s="237"/>
      <c r="AP155" s="237"/>
    </row>
    <row r="156">
      <c r="A156" s="24" t="s">
        <v>76</v>
      </c>
      <c r="B156" s="17"/>
      <c r="C156" s="17"/>
      <c r="D156" s="18"/>
      <c r="E156" s="25">
        <v>1.0</v>
      </c>
      <c r="F156" s="25" t="s">
        <v>21</v>
      </c>
      <c r="G156" s="7">
        <v>1077.0</v>
      </c>
      <c r="H156" s="7" t="s">
        <v>22</v>
      </c>
      <c r="I156" s="26"/>
      <c r="J156" s="26"/>
      <c r="K156" s="26"/>
      <c r="L156" s="26"/>
      <c r="M156" s="26"/>
      <c r="N156" s="7">
        <v>1000.0</v>
      </c>
      <c r="O156" s="26"/>
      <c r="P156" s="26"/>
      <c r="Q156" s="7"/>
      <c r="R156" s="28"/>
      <c r="S156" s="27"/>
      <c r="T156" s="27"/>
      <c r="U156" s="27"/>
      <c r="V156" s="27"/>
      <c r="W156" s="27"/>
      <c r="X156" s="28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8"/>
      <c r="AK156" s="28"/>
      <c r="AL156" s="27"/>
      <c r="AM156" s="27"/>
      <c r="AN156" s="29">
        <f>G156+SUM(I156:AM156)-SUM(I157:AM157)</f>
        <v>1627</v>
      </c>
      <c r="AO156" s="236">
        <f>ROUNDDOWN((AN156/E156)/$H$4,1)</f>
        <v>54.2</v>
      </c>
      <c r="AP156" s="236">
        <f>$M$4+AO156</f>
        <v>1046.2</v>
      </c>
    </row>
    <row r="157">
      <c r="A157" s="31"/>
      <c r="B157" s="17"/>
      <c r="C157" s="17"/>
      <c r="D157" s="17"/>
      <c r="E157" s="17"/>
      <c r="F157" s="18"/>
      <c r="G157" s="26"/>
      <c r="H157" s="7" t="s">
        <v>23</v>
      </c>
      <c r="I157" s="7"/>
      <c r="J157" s="26"/>
      <c r="K157" s="7">
        <v>90.0</v>
      </c>
      <c r="L157" s="7"/>
      <c r="M157" s="7"/>
      <c r="N157" s="7">
        <v>90.0</v>
      </c>
      <c r="O157" s="7"/>
      <c r="P157" s="7"/>
      <c r="Q157" s="7"/>
      <c r="R157" s="28">
        <v>90.0</v>
      </c>
      <c r="S157" s="28"/>
      <c r="T157" s="28">
        <v>90.0</v>
      </c>
      <c r="U157" s="28"/>
      <c r="V157" s="28"/>
      <c r="W157" s="28"/>
      <c r="X157" s="28"/>
      <c r="Y157" s="28">
        <v>90.0</v>
      </c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7"/>
      <c r="AK157" s="28"/>
      <c r="AL157" s="27"/>
      <c r="AM157" s="27"/>
      <c r="AN157" s="32"/>
      <c r="AO157" s="32"/>
      <c r="AP157" s="32"/>
    </row>
    <row r="158">
      <c r="A158" s="33"/>
      <c r="B158" s="33"/>
      <c r="C158" s="33"/>
      <c r="D158" s="33"/>
      <c r="E158" s="25"/>
      <c r="F158" s="25"/>
      <c r="G158" s="7"/>
      <c r="H158" s="7"/>
      <c r="I158" s="36"/>
      <c r="J158" s="36"/>
      <c r="K158" s="37"/>
      <c r="L158" s="36"/>
      <c r="M158" s="36"/>
      <c r="N158" s="37"/>
      <c r="O158" s="36"/>
      <c r="P158" s="26"/>
      <c r="Q158" s="36"/>
      <c r="R158" s="6"/>
      <c r="S158" s="10"/>
      <c r="T158" s="6"/>
      <c r="U158" s="10"/>
      <c r="V158" s="10"/>
      <c r="W158" s="27"/>
      <c r="X158" s="10"/>
      <c r="Y158" s="6"/>
      <c r="Z158" s="10"/>
      <c r="AA158" s="10"/>
      <c r="AB158" s="10"/>
      <c r="AC158" s="10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39"/>
      <c r="AO158" s="237"/>
      <c r="AP158" s="237"/>
    </row>
    <row r="159">
      <c r="A159" s="24" t="s">
        <v>77</v>
      </c>
      <c r="B159" s="17"/>
      <c r="C159" s="17"/>
      <c r="D159" s="18"/>
      <c r="E159" s="25">
        <v>8.0</v>
      </c>
      <c r="F159" s="25" t="s">
        <v>21</v>
      </c>
      <c r="G159" s="7">
        <v>4420.0</v>
      </c>
      <c r="H159" s="7" t="s">
        <v>22</v>
      </c>
      <c r="I159" s="26"/>
      <c r="J159" s="26"/>
      <c r="K159" s="26"/>
      <c r="L159" s="26"/>
      <c r="M159" s="26"/>
      <c r="N159" s="7">
        <f>3392+4000+4000</f>
        <v>11392</v>
      </c>
      <c r="O159" s="26"/>
      <c r="P159" s="7"/>
      <c r="Q159" s="7"/>
      <c r="R159" s="28"/>
      <c r="S159" s="27"/>
      <c r="T159" s="27"/>
      <c r="U159" s="27"/>
      <c r="V159" s="27"/>
      <c r="W159" s="27"/>
      <c r="X159" s="28"/>
      <c r="Y159" s="27"/>
      <c r="Z159" s="27"/>
      <c r="AA159" s="27"/>
      <c r="AB159" s="27"/>
      <c r="AC159" s="27"/>
      <c r="AD159" s="28"/>
      <c r="AE159" s="27"/>
      <c r="AF159" s="27"/>
      <c r="AG159" s="27"/>
      <c r="AH159" s="27"/>
      <c r="AI159" s="27"/>
      <c r="AJ159" s="27"/>
      <c r="AK159" s="27"/>
      <c r="AL159" s="27"/>
      <c r="AM159" s="27"/>
      <c r="AN159" s="29">
        <f>G159+SUM(I159:AM159)-SUM(I160:AM160)</f>
        <v>11972</v>
      </c>
      <c r="AO159" s="236">
        <f>ROUNDDOWN((AN159/E159)/$H$4,1)</f>
        <v>49.8</v>
      </c>
      <c r="AP159" s="236">
        <f>$M$4+AO159</f>
        <v>1041.8</v>
      </c>
    </row>
    <row r="160">
      <c r="A160" s="31"/>
      <c r="B160" s="17"/>
      <c r="C160" s="17"/>
      <c r="D160" s="17"/>
      <c r="E160" s="17"/>
      <c r="F160" s="18"/>
      <c r="G160" s="26"/>
      <c r="H160" s="7" t="s">
        <v>23</v>
      </c>
      <c r="I160" s="7"/>
      <c r="J160" s="7"/>
      <c r="K160" s="7">
        <v>480.0</v>
      </c>
      <c r="L160" s="7"/>
      <c r="M160" s="7">
        <v>480.0</v>
      </c>
      <c r="N160" s="7"/>
      <c r="O160" s="7">
        <v>480.0</v>
      </c>
      <c r="P160" s="7"/>
      <c r="Q160" s="7"/>
      <c r="R160" s="28">
        <v>480.0</v>
      </c>
      <c r="S160" s="28"/>
      <c r="T160" s="28">
        <f>480+80</f>
        <v>560</v>
      </c>
      <c r="U160" s="28"/>
      <c r="V160" s="28">
        <f>480+160</f>
        <v>640</v>
      </c>
      <c r="W160" s="27"/>
      <c r="X160" s="28"/>
      <c r="Y160" s="28"/>
      <c r="Z160" s="28">
        <v>480.0</v>
      </c>
      <c r="AA160" s="28"/>
      <c r="AB160" s="28">
        <v>240.0</v>
      </c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32"/>
      <c r="AO160" s="32"/>
      <c r="AP160" s="32"/>
    </row>
    <row r="161">
      <c r="A161" s="33"/>
      <c r="B161" s="33"/>
      <c r="C161" s="33"/>
      <c r="D161" s="33"/>
      <c r="E161" s="25"/>
      <c r="F161" s="25"/>
      <c r="G161" s="7"/>
      <c r="H161" s="7"/>
      <c r="I161" s="36"/>
      <c r="J161" s="36"/>
      <c r="K161" s="37"/>
      <c r="L161" s="36"/>
      <c r="M161" s="37"/>
      <c r="N161" s="37"/>
      <c r="O161" s="37"/>
      <c r="P161" s="26"/>
      <c r="Q161" s="36"/>
      <c r="R161" s="6"/>
      <c r="S161" s="10"/>
      <c r="T161" s="6"/>
      <c r="U161" s="10"/>
      <c r="V161" s="6"/>
      <c r="W161" s="27"/>
      <c r="X161" s="10"/>
      <c r="Y161" s="10"/>
      <c r="Z161" s="6"/>
      <c r="AA161" s="10"/>
      <c r="AB161" s="6"/>
      <c r="AC161" s="10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39"/>
      <c r="AO161" s="237"/>
      <c r="AP161" s="237"/>
    </row>
    <row r="162">
      <c r="A162" s="24" t="s">
        <v>78</v>
      </c>
      <c r="B162" s="17"/>
      <c r="C162" s="17"/>
      <c r="D162" s="18"/>
      <c r="E162" s="25">
        <v>6.0</v>
      </c>
      <c r="F162" s="25" t="s">
        <v>21</v>
      </c>
      <c r="G162" s="7">
        <v>8010.0</v>
      </c>
      <c r="H162" s="7" t="s">
        <v>22</v>
      </c>
      <c r="I162" s="26"/>
      <c r="J162" s="26"/>
      <c r="K162" s="26"/>
      <c r="L162" s="26"/>
      <c r="M162" s="26"/>
      <c r="N162" s="7">
        <v>6000.0</v>
      </c>
      <c r="O162" s="26"/>
      <c r="P162" s="26"/>
      <c r="Q162" s="7"/>
      <c r="R162" s="28"/>
      <c r="S162" s="27"/>
      <c r="T162" s="27"/>
      <c r="U162" s="27"/>
      <c r="V162" s="27"/>
      <c r="W162" s="27"/>
      <c r="X162" s="28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8"/>
      <c r="AL162" s="27"/>
      <c r="AM162" s="27"/>
      <c r="AN162" s="29">
        <f>G162+SUM(I162:AM162)-SUM(I163:AM163)</f>
        <v>10410</v>
      </c>
      <c r="AO162" s="272">
        <f>ROUNDDOWN((AN162/E162)/$H$4,1)</f>
        <v>57.8</v>
      </c>
      <c r="AP162" s="236">
        <f>$M$3+AO162</f>
        <v>1047.8</v>
      </c>
    </row>
    <row r="163">
      <c r="A163" s="31"/>
      <c r="B163" s="17"/>
      <c r="C163" s="17"/>
      <c r="D163" s="17"/>
      <c r="E163" s="17"/>
      <c r="F163" s="18"/>
      <c r="G163" s="26"/>
      <c r="H163" s="7" t="s">
        <v>23</v>
      </c>
      <c r="I163" s="7"/>
      <c r="J163" s="7">
        <v>180.0</v>
      </c>
      <c r="K163" s="7">
        <v>180.0</v>
      </c>
      <c r="L163" s="7">
        <v>180.0</v>
      </c>
      <c r="M163" s="7">
        <v>180.0</v>
      </c>
      <c r="N163" s="7">
        <v>180.0</v>
      </c>
      <c r="O163" s="7">
        <v>360.0</v>
      </c>
      <c r="P163" s="7"/>
      <c r="Q163" s="7">
        <v>180.0</v>
      </c>
      <c r="R163" s="28">
        <v>180.0</v>
      </c>
      <c r="S163" s="28">
        <v>180.0</v>
      </c>
      <c r="T163" s="28">
        <v>180.0</v>
      </c>
      <c r="U163" s="28">
        <v>180.0</v>
      </c>
      <c r="V163" s="28">
        <v>360.0</v>
      </c>
      <c r="W163" s="28"/>
      <c r="X163" s="28">
        <v>180.0</v>
      </c>
      <c r="Y163" s="28">
        <v>180.0</v>
      </c>
      <c r="Z163" s="28">
        <v>180.0</v>
      </c>
      <c r="AA163" s="28">
        <v>180.0</v>
      </c>
      <c r="AB163" s="28"/>
      <c r="AC163" s="28"/>
      <c r="AD163" s="28"/>
      <c r="AE163" s="28"/>
      <c r="AF163" s="28"/>
      <c r="AG163" s="28"/>
      <c r="AH163" s="28">
        <v>180.0</v>
      </c>
      <c r="AI163" s="28"/>
      <c r="AJ163" s="28">
        <v>180.0</v>
      </c>
      <c r="AK163" s="28"/>
      <c r="AL163" s="28"/>
      <c r="AM163" s="28"/>
      <c r="AN163" s="32"/>
      <c r="AO163" s="273"/>
      <c r="AP163" s="32"/>
    </row>
    <row r="164">
      <c r="A164" s="33"/>
      <c r="B164" s="33"/>
      <c r="C164" s="33"/>
      <c r="D164" s="33"/>
      <c r="E164" s="25"/>
      <c r="F164" s="25"/>
      <c r="G164" s="7"/>
      <c r="H164" s="7"/>
      <c r="I164" s="36"/>
      <c r="J164" s="37"/>
      <c r="K164" s="37"/>
      <c r="L164" s="37"/>
      <c r="M164" s="37"/>
      <c r="N164" s="37"/>
      <c r="O164" s="37"/>
      <c r="P164" s="26"/>
      <c r="Q164" s="37"/>
      <c r="R164" s="37"/>
      <c r="S164" s="37"/>
      <c r="T164" s="37"/>
      <c r="U164" s="37"/>
      <c r="V164" s="37"/>
      <c r="W164" s="27"/>
      <c r="X164" s="6"/>
      <c r="Y164" s="6"/>
      <c r="Z164" s="6"/>
      <c r="AA164" s="6"/>
      <c r="AB164" s="10"/>
      <c r="AC164" s="10"/>
      <c r="AD164" s="27"/>
      <c r="AE164" s="27"/>
      <c r="AF164" s="27"/>
      <c r="AG164" s="27"/>
      <c r="AH164" s="28"/>
      <c r="AI164" s="28"/>
      <c r="AJ164" s="27"/>
      <c r="AK164" s="27"/>
      <c r="AL164" s="27"/>
      <c r="AM164" s="27"/>
      <c r="AN164" s="39"/>
      <c r="AO164" s="237"/>
      <c r="AP164" s="237"/>
    </row>
    <row r="165">
      <c r="A165" s="24" t="s">
        <v>79</v>
      </c>
      <c r="B165" s="17"/>
      <c r="C165" s="17"/>
      <c r="D165" s="18"/>
      <c r="E165" s="25">
        <v>12.0</v>
      </c>
      <c r="F165" s="25" t="s">
        <v>21</v>
      </c>
      <c r="G165" s="7">
        <v>6240.0</v>
      </c>
      <c r="H165" s="7" t="s">
        <v>22</v>
      </c>
      <c r="I165" s="26"/>
      <c r="J165" s="26"/>
      <c r="K165" s="26"/>
      <c r="L165" s="7">
        <v>6120.0</v>
      </c>
      <c r="M165" s="26"/>
      <c r="N165" s="26"/>
      <c r="O165" s="26"/>
      <c r="P165" s="26"/>
      <c r="Q165" s="26"/>
      <c r="R165" s="27"/>
      <c r="S165" s="27"/>
      <c r="T165" s="27"/>
      <c r="U165" s="27"/>
      <c r="V165" s="28">
        <v>12240.0</v>
      </c>
      <c r="W165" s="27"/>
      <c r="X165" s="27"/>
      <c r="Y165" s="27"/>
      <c r="Z165" s="27"/>
      <c r="AA165" s="27"/>
      <c r="AB165" s="28"/>
      <c r="AC165" s="28"/>
      <c r="AD165" s="27"/>
      <c r="AE165" s="27"/>
      <c r="AF165" s="27"/>
      <c r="AG165" s="27"/>
      <c r="AH165" s="28"/>
      <c r="AI165" s="28"/>
      <c r="AJ165" s="28"/>
      <c r="AK165" s="28"/>
      <c r="AL165" s="27"/>
      <c r="AM165" s="27"/>
      <c r="AN165" s="29">
        <f>G165+SUM(I165:AM165)-SUM(I166:AM166)</f>
        <v>18260</v>
      </c>
      <c r="AO165" s="236">
        <f>ROUNDDOWN((AN165/E165)/$H$4,1)</f>
        <v>50.7</v>
      </c>
      <c r="AP165" s="236">
        <f>M5+AO165</f>
        <v>1039.7</v>
      </c>
    </row>
    <row r="166">
      <c r="A166" s="31"/>
      <c r="B166" s="17"/>
      <c r="C166" s="17"/>
      <c r="D166" s="17"/>
      <c r="E166" s="17"/>
      <c r="F166" s="18"/>
      <c r="G166" s="26"/>
      <c r="H166" s="7" t="s">
        <v>23</v>
      </c>
      <c r="I166" s="7">
        <v>360.0</v>
      </c>
      <c r="J166" s="7">
        <v>240.0</v>
      </c>
      <c r="K166" s="7">
        <v>432.0</v>
      </c>
      <c r="L166" s="7">
        <v>408.0</v>
      </c>
      <c r="M166" s="7">
        <v>456.0</v>
      </c>
      <c r="N166" s="7">
        <v>420.0</v>
      </c>
      <c r="O166" s="7">
        <v>360.0</v>
      </c>
      <c r="P166" s="7"/>
      <c r="Q166" s="7">
        <v>432.0</v>
      </c>
      <c r="R166" s="28">
        <f>480+80</f>
        <v>560</v>
      </c>
      <c r="S166" s="28">
        <v>396.0</v>
      </c>
      <c r="T166" s="28">
        <v>384.0</v>
      </c>
      <c r="U166" s="28">
        <v>396.0</v>
      </c>
      <c r="V166" s="28">
        <f>492+80</f>
        <v>572</v>
      </c>
      <c r="W166" s="28"/>
      <c r="X166" s="28">
        <v>384.0</v>
      </c>
      <c r="Y166" s="28">
        <v>288.0</v>
      </c>
      <c r="Z166" s="28">
        <v>252.0</v>
      </c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32"/>
      <c r="AO166" s="32"/>
      <c r="AP166" s="32"/>
    </row>
    <row r="167">
      <c r="A167" s="33"/>
      <c r="B167" s="33"/>
      <c r="C167" s="33"/>
      <c r="D167" s="33"/>
      <c r="E167" s="25"/>
      <c r="F167" s="25"/>
      <c r="G167" s="7"/>
      <c r="H167" s="7"/>
      <c r="I167" s="37"/>
      <c r="J167" s="37"/>
      <c r="K167" s="37"/>
      <c r="L167" s="37"/>
      <c r="M167" s="37"/>
      <c r="N167" s="37"/>
      <c r="O167" s="37"/>
      <c r="P167" s="26"/>
      <c r="Q167" s="37"/>
      <c r="R167" s="6"/>
      <c r="S167" s="6"/>
      <c r="T167" s="6"/>
      <c r="U167" s="6"/>
      <c r="V167" s="42"/>
      <c r="W167" s="27"/>
      <c r="X167" s="6"/>
      <c r="Y167" s="6"/>
      <c r="Z167" s="6"/>
      <c r="AA167" s="10"/>
      <c r="AB167" s="10"/>
      <c r="AC167" s="10"/>
      <c r="AD167" s="27"/>
      <c r="AE167" s="27"/>
      <c r="AF167" s="27"/>
      <c r="AG167" s="27"/>
      <c r="AH167" s="27"/>
      <c r="AI167" s="28"/>
      <c r="AJ167" s="27"/>
      <c r="AK167" s="27"/>
      <c r="AL167" s="27"/>
      <c r="AM167" s="27"/>
      <c r="AN167" s="39"/>
      <c r="AO167" s="237"/>
      <c r="AP167" s="237"/>
    </row>
    <row r="168">
      <c r="A168" s="24" t="s">
        <v>80</v>
      </c>
      <c r="B168" s="17"/>
      <c r="C168" s="17"/>
      <c r="D168" s="18"/>
      <c r="E168" s="25">
        <v>6.0</v>
      </c>
      <c r="F168" s="25" t="s">
        <v>21</v>
      </c>
      <c r="G168" s="7">
        <v>3089.0</v>
      </c>
      <c r="H168" s="7" t="s">
        <v>22</v>
      </c>
      <c r="I168" s="26"/>
      <c r="J168" s="26"/>
      <c r="K168" s="7"/>
      <c r="L168" s="7">
        <v>3060.0</v>
      </c>
      <c r="M168" s="26"/>
      <c r="N168" s="26"/>
      <c r="O168" s="26"/>
      <c r="P168" s="26"/>
      <c r="Q168" s="26"/>
      <c r="R168" s="27"/>
      <c r="S168" s="27"/>
      <c r="T168" s="27"/>
      <c r="U168" s="27"/>
      <c r="V168" s="28">
        <v>6120.0</v>
      </c>
      <c r="W168" s="27"/>
      <c r="X168" s="27"/>
      <c r="Y168" s="27"/>
      <c r="Z168" s="27"/>
      <c r="AA168" s="27"/>
      <c r="AB168" s="28"/>
      <c r="AC168" s="28"/>
      <c r="AD168" s="27"/>
      <c r="AE168" s="27"/>
      <c r="AF168" s="27"/>
      <c r="AG168" s="27"/>
      <c r="AH168" s="27"/>
      <c r="AI168" s="28"/>
      <c r="AJ168" s="28"/>
      <c r="AK168" s="28"/>
      <c r="AL168" s="27"/>
      <c r="AM168" s="27"/>
      <c r="AN168" s="29">
        <f>G168+SUM(I168:AM168)-SUM(I169:AM169)</f>
        <v>8969</v>
      </c>
      <c r="AO168" s="236">
        <f>ROUNDDOWN((AN168/E168)/$H$4,1)</f>
        <v>49.8</v>
      </c>
      <c r="AP168" s="236">
        <f>$M$3+AO168</f>
        <v>1039.8</v>
      </c>
    </row>
    <row r="169">
      <c r="A169" s="31"/>
      <c r="B169" s="17"/>
      <c r="C169" s="17"/>
      <c r="D169" s="17"/>
      <c r="E169" s="17"/>
      <c r="F169" s="18"/>
      <c r="G169" s="26"/>
      <c r="H169" s="7" t="s">
        <v>23</v>
      </c>
      <c r="I169" s="7">
        <v>204.0</v>
      </c>
      <c r="J169" s="7">
        <v>90.0</v>
      </c>
      <c r="K169" s="7">
        <v>216.0</v>
      </c>
      <c r="L169" s="7">
        <v>204.0</v>
      </c>
      <c r="M169" s="7">
        <v>228.0</v>
      </c>
      <c r="N169" s="7">
        <v>210.0</v>
      </c>
      <c r="O169" s="7">
        <v>162.0</v>
      </c>
      <c r="P169" s="7"/>
      <c r="Q169" s="7">
        <v>216.0</v>
      </c>
      <c r="R169" s="28">
        <v>240.0</v>
      </c>
      <c r="S169" s="28">
        <v>198.0</v>
      </c>
      <c r="T169" s="28">
        <v>192.0</v>
      </c>
      <c r="U169" s="28">
        <v>198.0</v>
      </c>
      <c r="V169" s="28">
        <v>246.0</v>
      </c>
      <c r="W169" s="28"/>
      <c r="X169" s="28">
        <v>192.0</v>
      </c>
      <c r="Y169" s="28">
        <v>144.0</v>
      </c>
      <c r="Z169" s="28">
        <v>126.0</v>
      </c>
      <c r="AA169" s="28">
        <v>126.0</v>
      </c>
      <c r="AB169" s="28"/>
      <c r="AC169" s="28"/>
      <c r="AD169" s="28"/>
      <c r="AE169" s="28"/>
      <c r="AF169" s="28"/>
      <c r="AG169" s="28"/>
      <c r="AH169" s="28">
        <v>108.0</v>
      </c>
      <c r="AI169" s="28"/>
      <c r="AJ169" s="28"/>
      <c r="AK169" s="28"/>
      <c r="AL169" s="28"/>
      <c r="AM169" s="28"/>
      <c r="AN169" s="32"/>
      <c r="AO169" s="32"/>
      <c r="AP169" s="32"/>
    </row>
    <row r="170">
      <c r="A170" s="33"/>
      <c r="B170" s="33"/>
      <c r="C170" s="33"/>
      <c r="D170" s="33"/>
      <c r="E170" s="25"/>
      <c r="F170" s="25"/>
      <c r="G170" s="7"/>
      <c r="H170" s="7"/>
      <c r="I170" s="37"/>
      <c r="J170" s="37"/>
      <c r="K170" s="37"/>
      <c r="L170" s="37"/>
      <c r="M170" s="37"/>
      <c r="N170" s="37"/>
      <c r="O170" s="37"/>
      <c r="P170" s="26"/>
      <c r="Q170" s="37"/>
      <c r="R170" s="6"/>
      <c r="S170" s="6"/>
      <c r="T170" s="6"/>
      <c r="U170" s="6"/>
      <c r="V170" s="6"/>
      <c r="W170" s="27"/>
      <c r="X170" s="6"/>
      <c r="Y170" s="6"/>
      <c r="Z170" s="6"/>
      <c r="AA170" s="6"/>
      <c r="AB170" s="10"/>
      <c r="AC170" s="10"/>
      <c r="AD170" s="27"/>
      <c r="AE170" s="27"/>
      <c r="AF170" s="27"/>
      <c r="AG170" s="27"/>
      <c r="AH170" s="27"/>
      <c r="AI170" s="28"/>
      <c r="AJ170" s="27"/>
      <c r="AK170" s="27"/>
      <c r="AL170" s="27"/>
      <c r="AM170" s="27"/>
      <c r="AN170" s="39"/>
      <c r="AO170" s="237"/>
      <c r="AP170" s="237"/>
    </row>
    <row r="171">
      <c r="A171" s="24" t="s">
        <v>81</v>
      </c>
      <c r="B171" s="17"/>
      <c r="C171" s="17"/>
      <c r="D171" s="18"/>
      <c r="E171" s="25">
        <v>6.0</v>
      </c>
      <c r="F171" s="25" t="s">
        <v>21</v>
      </c>
      <c r="G171" s="7">
        <v>4464.0</v>
      </c>
      <c r="H171" s="7" t="s">
        <v>22</v>
      </c>
      <c r="I171" s="26"/>
      <c r="J171" s="26"/>
      <c r="K171" s="26"/>
      <c r="L171" s="7">
        <v>3060.0</v>
      </c>
      <c r="M171" s="26"/>
      <c r="N171" s="26"/>
      <c r="O171" s="26"/>
      <c r="P171" s="26"/>
      <c r="Q171" s="26"/>
      <c r="R171" s="27"/>
      <c r="S171" s="27"/>
      <c r="T171" s="27"/>
      <c r="U171" s="27"/>
      <c r="V171" s="28">
        <v>6120.0</v>
      </c>
      <c r="W171" s="27"/>
      <c r="X171" s="27"/>
      <c r="Y171" s="27"/>
      <c r="Z171" s="27"/>
      <c r="AA171" s="27"/>
      <c r="AB171" s="28"/>
      <c r="AC171" s="28"/>
      <c r="AD171" s="27"/>
      <c r="AE171" s="27"/>
      <c r="AF171" s="27"/>
      <c r="AG171" s="27"/>
      <c r="AH171" s="27"/>
      <c r="AI171" s="28"/>
      <c r="AJ171" s="28"/>
      <c r="AK171" s="28"/>
      <c r="AL171" s="27"/>
      <c r="AM171" s="27"/>
      <c r="AN171" s="29">
        <f>G171+SUM(I171:AM171)-SUM(I172:AM172)</f>
        <v>10506</v>
      </c>
      <c r="AO171" s="236">
        <f>ROUNDDOWN((AN171/E171)/$H$4,1)</f>
        <v>58.3</v>
      </c>
      <c r="AP171" s="236">
        <f>$M$5+AO171</f>
        <v>1047.3</v>
      </c>
    </row>
    <row r="172">
      <c r="A172" s="31"/>
      <c r="B172" s="17"/>
      <c r="C172" s="17"/>
      <c r="D172" s="17"/>
      <c r="E172" s="17"/>
      <c r="F172" s="18"/>
      <c r="G172" s="26"/>
      <c r="H172" s="7" t="s">
        <v>23</v>
      </c>
      <c r="I172" s="7">
        <v>180.0</v>
      </c>
      <c r="J172" s="7">
        <v>120.0</v>
      </c>
      <c r="K172" s="7">
        <v>216.0</v>
      </c>
      <c r="L172" s="7">
        <v>204.0</v>
      </c>
      <c r="M172" s="7">
        <v>228.0</v>
      </c>
      <c r="N172" s="7">
        <v>210.0</v>
      </c>
      <c r="O172" s="278">
        <v>162.0</v>
      </c>
      <c r="P172" s="7"/>
      <c r="Q172" s="7">
        <v>216.0</v>
      </c>
      <c r="R172" s="28">
        <v>240.0</v>
      </c>
      <c r="S172" s="28">
        <v>198.0</v>
      </c>
      <c r="T172" s="28">
        <v>192.0</v>
      </c>
      <c r="U172" s="28">
        <v>198.0</v>
      </c>
      <c r="V172" s="28">
        <v>246.0</v>
      </c>
      <c r="W172" s="28"/>
      <c r="X172" s="28">
        <v>192.0</v>
      </c>
      <c r="Y172" s="28">
        <v>144.0</v>
      </c>
      <c r="Z172" s="28">
        <v>126.0</v>
      </c>
      <c r="AA172" s="28"/>
      <c r="AB172" s="28">
        <v>66.0</v>
      </c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32"/>
      <c r="AO172" s="32"/>
      <c r="AP172" s="32"/>
    </row>
    <row r="173">
      <c r="A173" s="33"/>
      <c r="B173" s="33"/>
      <c r="C173" s="33"/>
      <c r="D173" s="33"/>
      <c r="E173" s="25"/>
      <c r="F173" s="25"/>
      <c r="G173" s="7"/>
      <c r="H173" s="7"/>
      <c r="I173" s="37"/>
      <c r="J173" s="37"/>
      <c r="K173" s="37"/>
      <c r="L173" s="37"/>
      <c r="M173" s="37"/>
      <c r="N173" s="37"/>
      <c r="O173" s="37"/>
      <c r="P173" s="26"/>
      <c r="Q173" s="37"/>
      <c r="R173" s="6"/>
      <c r="S173" s="42"/>
      <c r="T173" s="6"/>
      <c r="U173" s="6"/>
      <c r="V173" s="6"/>
      <c r="W173" s="27"/>
      <c r="X173" s="6"/>
      <c r="Y173" s="6"/>
      <c r="Z173" s="6"/>
      <c r="AA173" s="10"/>
      <c r="AB173" s="6"/>
      <c r="AC173" s="10"/>
      <c r="AD173" s="27"/>
      <c r="AE173" s="27"/>
      <c r="AF173" s="27"/>
      <c r="AG173" s="27"/>
      <c r="AH173" s="28"/>
      <c r="AI173" s="28"/>
      <c r="AJ173" s="27"/>
      <c r="AK173" s="27"/>
      <c r="AL173" s="27"/>
      <c r="AM173" s="27"/>
      <c r="AN173" s="39"/>
      <c r="AO173" s="237"/>
      <c r="AP173" s="237"/>
    </row>
    <row r="174">
      <c r="A174" s="24" t="s">
        <v>82</v>
      </c>
      <c r="B174" s="17"/>
      <c r="C174" s="17"/>
      <c r="D174" s="18"/>
      <c r="E174" s="25">
        <v>2.0</v>
      </c>
      <c r="F174" s="25" t="s">
        <v>21</v>
      </c>
      <c r="G174" s="7">
        <v>1440.0</v>
      </c>
      <c r="H174" s="7" t="s">
        <v>22</v>
      </c>
      <c r="I174" s="26"/>
      <c r="J174" s="26"/>
      <c r="K174" s="26"/>
      <c r="L174" s="7">
        <v>1020.0</v>
      </c>
      <c r="M174" s="26"/>
      <c r="N174" s="26"/>
      <c r="O174" s="7"/>
      <c r="P174" s="26"/>
      <c r="Q174" s="26"/>
      <c r="R174" s="27"/>
      <c r="S174" s="27"/>
      <c r="T174" s="27"/>
      <c r="U174" s="27"/>
      <c r="V174" s="28">
        <v>2040.0</v>
      </c>
      <c r="W174" s="27"/>
      <c r="X174" s="27"/>
      <c r="Y174" s="27"/>
      <c r="Z174" s="27"/>
      <c r="AA174" s="27"/>
      <c r="AB174" s="28"/>
      <c r="AC174" s="28"/>
      <c r="AD174" s="27"/>
      <c r="AE174" s="27"/>
      <c r="AF174" s="27"/>
      <c r="AG174" s="27"/>
      <c r="AH174" s="27"/>
      <c r="AI174" s="28"/>
      <c r="AJ174" s="28"/>
      <c r="AK174" s="27"/>
      <c r="AL174" s="27"/>
      <c r="AM174" s="27"/>
      <c r="AN174" s="29">
        <f>G174+SUM(I174:AM174)-SUM(I175:AM175)</f>
        <v>3374</v>
      </c>
      <c r="AO174" s="236">
        <f>ROUNDDOWN((AN174/E174)/$H$4,1)</f>
        <v>56.2</v>
      </c>
      <c r="AP174" s="236">
        <f>$M$3+AO174</f>
        <v>1046.2</v>
      </c>
    </row>
    <row r="175">
      <c r="A175" s="31"/>
      <c r="B175" s="17"/>
      <c r="C175" s="17"/>
      <c r="D175" s="17"/>
      <c r="E175" s="17"/>
      <c r="F175" s="18"/>
      <c r="G175" s="26"/>
      <c r="H175" s="7" t="s">
        <v>23</v>
      </c>
      <c r="I175" s="7">
        <v>60.0</v>
      </c>
      <c r="J175" s="7">
        <v>30.0</v>
      </c>
      <c r="K175" s="7">
        <v>80.0</v>
      </c>
      <c r="L175" s="7">
        <v>68.0</v>
      </c>
      <c r="M175" s="7">
        <v>76.0</v>
      </c>
      <c r="N175" s="7">
        <v>70.0</v>
      </c>
      <c r="O175" s="7">
        <v>42.0</v>
      </c>
      <c r="P175" s="7"/>
      <c r="Q175" s="7">
        <v>60.0</v>
      </c>
      <c r="R175" s="28">
        <v>80.0</v>
      </c>
      <c r="S175" s="28">
        <v>66.0</v>
      </c>
      <c r="T175" s="28">
        <v>64.0</v>
      </c>
      <c r="U175" s="28">
        <v>72.0</v>
      </c>
      <c r="V175" s="28">
        <v>82.0</v>
      </c>
      <c r="W175" s="28"/>
      <c r="X175" s="28">
        <v>64.0</v>
      </c>
      <c r="Y175" s="28">
        <v>52.0</v>
      </c>
      <c r="Z175" s="28">
        <v>42.0</v>
      </c>
      <c r="AA175" s="28">
        <v>42.0</v>
      </c>
      <c r="AB175" s="28">
        <v>38.0</v>
      </c>
      <c r="AC175" s="28"/>
      <c r="AD175" s="28"/>
      <c r="AE175" s="28"/>
      <c r="AF175" s="28"/>
      <c r="AG175" s="28"/>
      <c r="AH175" s="28">
        <v>38.0</v>
      </c>
      <c r="AI175" s="28"/>
      <c r="AJ175" s="28"/>
      <c r="AK175" s="28"/>
      <c r="AL175" s="28"/>
      <c r="AM175" s="28"/>
      <c r="AN175" s="32"/>
      <c r="AO175" s="32"/>
      <c r="AP175" s="32"/>
    </row>
    <row r="176">
      <c r="A176" s="33"/>
      <c r="B176" s="33"/>
      <c r="C176" s="33"/>
      <c r="D176" s="33"/>
      <c r="E176" s="25"/>
      <c r="F176" s="25"/>
      <c r="G176" s="43"/>
      <c r="H176" s="7"/>
      <c r="I176" s="37"/>
      <c r="J176" s="37"/>
      <c r="K176" s="37"/>
      <c r="L176" s="37"/>
      <c r="M176" s="37"/>
      <c r="N176" s="37"/>
      <c r="O176" s="37"/>
      <c r="P176" s="26"/>
      <c r="Q176" s="37"/>
      <c r="R176" s="6"/>
      <c r="S176" s="6"/>
      <c r="T176" s="6"/>
      <c r="U176" s="6"/>
      <c r="V176" s="6"/>
      <c r="W176" s="27"/>
      <c r="X176" s="6"/>
      <c r="Y176" s="6"/>
      <c r="Z176" s="6"/>
      <c r="AA176" s="6"/>
      <c r="AB176" s="6"/>
      <c r="AC176" s="10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39"/>
      <c r="AO176" s="237"/>
      <c r="AP176" s="237"/>
    </row>
    <row r="177">
      <c r="A177" s="24" t="s">
        <v>83</v>
      </c>
      <c r="B177" s="17"/>
      <c r="C177" s="17"/>
      <c r="D177" s="18"/>
      <c r="E177" s="25">
        <v>8.0</v>
      </c>
      <c r="F177" s="25" t="s">
        <v>21</v>
      </c>
      <c r="G177" s="43">
        <v>5816.0</v>
      </c>
      <c r="H177" s="7" t="s">
        <v>22</v>
      </c>
      <c r="I177" s="26"/>
      <c r="J177" s="26"/>
      <c r="K177" s="7"/>
      <c r="L177" s="26"/>
      <c r="M177" s="7">
        <f>2880+2880</f>
        <v>5760</v>
      </c>
      <c r="N177" s="26"/>
      <c r="O177" s="7"/>
      <c r="P177" s="26"/>
      <c r="Q177" s="26"/>
      <c r="R177" s="28"/>
      <c r="S177" s="27"/>
      <c r="T177" s="28"/>
      <c r="U177" s="28"/>
      <c r="V177" s="28">
        <v>2520.0</v>
      </c>
      <c r="W177" s="28"/>
      <c r="X177" s="28"/>
      <c r="Y177" s="28"/>
      <c r="Z177" s="27"/>
      <c r="AA177" s="28"/>
      <c r="AB177" s="27"/>
      <c r="AC177" s="28"/>
      <c r="AD177" s="28"/>
      <c r="AE177" s="27"/>
      <c r="AF177" s="27"/>
      <c r="AG177" s="28"/>
      <c r="AH177" s="27"/>
      <c r="AI177" s="28"/>
      <c r="AJ177" s="27"/>
      <c r="AK177" s="28"/>
      <c r="AL177" s="28"/>
      <c r="AM177" s="28"/>
      <c r="AN177" s="29">
        <f>G177+SUM(I177:AM177)-SUM(I178:AM178)</f>
        <v>7472</v>
      </c>
      <c r="AO177" s="236">
        <f>ROUNDDOWN((AN177/E177)/$H$4,1)</f>
        <v>31.1</v>
      </c>
      <c r="AP177" s="236">
        <f>$M$5+AO177</f>
        <v>1020.1</v>
      </c>
    </row>
    <row r="178">
      <c r="A178" s="31"/>
      <c r="B178" s="17"/>
      <c r="C178" s="17"/>
      <c r="D178" s="17"/>
      <c r="E178" s="17"/>
      <c r="F178" s="18"/>
      <c r="G178" s="26"/>
      <c r="H178" s="7" t="s">
        <v>23</v>
      </c>
      <c r="I178" s="7">
        <v>360.0</v>
      </c>
      <c r="J178" s="7">
        <v>240.0</v>
      </c>
      <c r="K178" s="7">
        <v>432.0</v>
      </c>
      <c r="L178" s="7">
        <v>408.0</v>
      </c>
      <c r="M178" s="7">
        <v>456.0</v>
      </c>
      <c r="N178" s="7">
        <v>420.0</v>
      </c>
      <c r="O178" s="7">
        <v>420.0</v>
      </c>
      <c r="P178" s="7"/>
      <c r="Q178" s="7">
        <v>432.0</v>
      </c>
      <c r="R178" s="28">
        <v>480.0</v>
      </c>
      <c r="S178" s="28">
        <v>396.0</v>
      </c>
      <c r="T178" s="28">
        <v>384.0</v>
      </c>
      <c r="U178" s="28">
        <v>396.0</v>
      </c>
      <c r="V178" s="28">
        <v>492.0</v>
      </c>
      <c r="W178" s="28"/>
      <c r="X178" s="28">
        <v>384.0</v>
      </c>
      <c r="Y178" s="28">
        <v>288.0</v>
      </c>
      <c r="Z178" s="28">
        <v>252.0</v>
      </c>
      <c r="AA178" s="28">
        <v>252.0</v>
      </c>
      <c r="AB178" s="28">
        <v>132.0</v>
      </c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32"/>
      <c r="AO178" s="32"/>
      <c r="AP178" s="32"/>
    </row>
    <row r="179">
      <c r="A179" s="33"/>
      <c r="B179" s="33"/>
      <c r="C179" s="33"/>
      <c r="D179" s="33"/>
      <c r="E179" s="25"/>
      <c r="F179" s="25"/>
      <c r="G179" s="7"/>
      <c r="H179" s="7"/>
      <c r="I179" s="37"/>
      <c r="J179" s="37"/>
      <c r="K179" s="37"/>
      <c r="L179" s="37"/>
      <c r="M179" s="37"/>
      <c r="N179" s="37"/>
      <c r="O179" s="37"/>
      <c r="P179" s="26"/>
      <c r="Q179" s="37"/>
      <c r="R179" s="6"/>
      <c r="S179" s="6"/>
      <c r="T179" s="6"/>
      <c r="U179" s="6"/>
      <c r="V179" s="6"/>
      <c r="W179" s="27"/>
      <c r="X179" s="6"/>
      <c r="Y179" s="6"/>
      <c r="Z179" s="6"/>
      <c r="AA179" s="6"/>
      <c r="AB179" s="6"/>
      <c r="AC179" s="10"/>
      <c r="AD179" s="27"/>
      <c r="AE179" s="27"/>
      <c r="AF179" s="27"/>
      <c r="AG179" s="27"/>
      <c r="AH179" s="27"/>
      <c r="AI179" s="28"/>
      <c r="AJ179" s="27"/>
      <c r="AK179" s="27"/>
      <c r="AL179" s="27"/>
      <c r="AM179" s="27"/>
      <c r="AN179" s="39"/>
      <c r="AO179" s="237"/>
      <c r="AP179" s="237"/>
    </row>
    <row r="180">
      <c r="A180" s="24" t="s">
        <v>84</v>
      </c>
      <c r="B180" s="17"/>
      <c r="C180" s="17"/>
      <c r="D180" s="18"/>
      <c r="E180" s="25">
        <v>2.0</v>
      </c>
      <c r="F180" s="25" t="s">
        <v>21</v>
      </c>
      <c r="G180" s="7">
        <v>1052.0</v>
      </c>
      <c r="H180" s="7" t="s">
        <v>22</v>
      </c>
      <c r="I180" s="26"/>
      <c r="J180" s="26"/>
      <c r="K180" s="26"/>
      <c r="L180" s="7">
        <v>1020.0</v>
      </c>
      <c r="M180" s="26"/>
      <c r="N180" s="26"/>
      <c r="O180" s="26"/>
      <c r="P180" s="26"/>
      <c r="Q180" s="26"/>
      <c r="R180" s="27"/>
      <c r="S180" s="27"/>
      <c r="T180" s="27"/>
      <c r="U180" s="27"/>
      <c r="V180" s="28">
        <v>2040.0</v>
      </c>
      <c r="W180" s="27"/>
      <c r="X180" s="27"/>
      <c r="Y180" s="27"/>
      <c r="Z180" s="27"/>
      <c r="AA180" s="27"/>
      <c r="AB180" s="28"/>
      <c r="AC180" s="28"/>
      <c r="AD180" s="27"/>
      <c r="AE180" s="27"/>
      <c r="AF180" s="27"/>
      <c r="AG180" s="27"/>
      <c r="AH180" s="27"/>
      <c r="AI180" s="28"/>
      <c r="AJ180" s="28"/>
      <c r="AK180" s="28"/>
      <c r="AL180" s="27"/>
      <c r="AM180" s="27"/>
      <c r="AN180" s="29">
        <f>G180+SUM(I180:AM180)-SUM(I181:AM181)</f>
        <v>3008</v>
      </c>
      <c r="AO180" s="236">
        <f>ROUNDDOWN((AN180/E180)/$H$4,1)</f>
        <v>50.1</v>
      </c>
      <c r="AP180" s="236">
        <f>$M$3+AO180</f>
        <v>1040.1</v>
      </c>
    </row>
    <row r="181">
      <c r="A181" s="31"/>
      <c r="B181" s="17"/>
      <c r="C181" s="17"/>
      <c r="D181" s="17"/>
      <c r="E181" s="17"/>
      <c r="F181" s="18"/>
      <c r="G181" s="26"/>
      <c r="H181" s="7" t="s">
        <v>23</v>
      </c>
      <c r="I181" s="7">
        <v>60.0</v>
      </c>
      <c r="J181" s="7">
        <v>40.0</v>
      </c>
      <c r="K181" s="7">
        <v>72.0</v>
      </c>
      <c r="L181" s="7">
        <v>68.0</v>
      </c>
      <c r="M181" s="7">
        <v>76.0</v>
      </c>
      <c r="N181" s="7">
        <v>70.0</v>
      </c>
      <c r="O181" s="7">
        <v>70.0</v>
      </c>
      <c r="P181" s="7"/>
      <c r="Q181" s="7">
        <v>72.0</v>
      </c>
      <c r="R181" s="28">
        <v>80.0</v>
      </c>
      <c r="S181" s="28">
        <v>66.0</v>
      </c>
      <c r="T181" s="28">
        <v>64.0</v>
      </c>
      <c r="U181" s="28">
        <v>66.0</v>
      </c>
      <c r="V181" s="28">
        <v>82.0</v>
      </c>
      <c r="W181" s="28"/>
      <c r="X181" s="28">
        <v>64.0</v>
      </c>
      <c r="Y181" s="28">
        <v>48.0</v>
      </c>
      <c r="Z181" s="28">
        <v>42.0</v>
      </c>
      <c r="AA181" s="28">
        <v>42.0</v>
      </c>
      <c r="AB181" s="28">
        <v>22.0</v>
      </c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32"/>
      <c r="AO181" s="32"/>
      <c r="AP181" s="32"/>
    </row>
    <row r="182">
      <c r="A182" s="33"/>
      <c r="B182" s="33"/>
      <c r="C182" s="33"/>
      <c r="D182" s="33"/>
      <c r="E182" s="25"/>
      <c r="F182" s="25"/>
      <c r="G182" s="7"/>
      <c r="H182" s="7"/>
      <c r="I182" s="37"/>
      <c r="J182" s="37"/>
      <c r="K182" s="37"/>
      <c r="L182" s="37"/>
      <c r="M182" s="37"/>
      <c r="N182" s="37"/>
      <c r="O182" s="37"/>
      <c r="P182" s="26"/>
      <c r="Q182" s="37"/>
      <c r="R182" s="6"/>
      <c r="S182" s="6"/>
      <c r="T182" s="6"/>
      <c r="U182" s="6"/>
      <c r="V182" s="6"/>
      <c r="W182" s="27"/>
      <c r="X182" s="6"/>
      <c r="Y182" s="6"/>
      <c r="Z182" s="6"/>
      <c r="AA182" s="6"/>
      <c r="AB182" s="6"/>
      <c r="AC182" s="10"/>
      <c r="AD182" s="27"/>
      <c r="AE182" s="27"/>
      <c r="AF182" s="27"/>
      <c r="AG182" s="27"/>
      <c r="AH182" s="27"/>
      <c r="AI182" s="28"/>
      <c r="AJ182" s="27"/>
      <c r="AK182" s="27"/>
      <c r="AL182" s="27"/>
      <c r="AM182" s="27"/>
      <c r="AN182" s="39"/>
      <c r="AO182" s="237"/>
      <c r="AP182" s="237"/>
    </row>
    <row r="183">
      <c r="A183" s="24" t="s">
        <v>85</v>
      </c>
      <c r="B183" s="17"/>
      <c r="C183" s="17"/>
      <c r="D183" s="18"/>
      <c r="E183" s="25">
        <v>6.0</v>
      </c>
      <c r="F183" s="25" t="s">
        <v>21</v>
      </c>
      <c r="G183" s="7">
        <v>3350.0</v>
      </c>
      <c r="H183" s="7" t="s">
        <v>22</v>
      </c>
      <c r="I183" s="7"/>
      <c r="J183" s="26"/>
      <c r="K183" s="26"/>
      <c r="L183" s="7">
        <v>3060.0</v>
      </c>
      <c r="M183" s="26"/>
      <c r="N183" s="26"/>
      <c r="O183" s="26"/>
      <c r="P183" s="26"/>
      <c r="Q183" s="26"/>
      <c r="R183" s="27"/>
      <c r="S183" s="27"/>
      <c r="T183" s="27"/>
      <c r="U183" s="27"/>
      <c r="V183" s="28">
        <v>6120.0</v>
      </c>
      <c r="W183" s="27"/>
      <c r="X183" s="27"/>
      <c r="Y183" s="27"/>
      <c r="Z183" s="27"/>
      <c r="AA183" s="27"/>
      <c r="AB183" s="28"/>
      <c r="AC183" s="28"/>
      <c r="AD183" s="27"/>
      <c r="AE183" s="27"/>
      <c r="AF183" s="27"/>
      <c r="AG183" s="27"/>
      <c r="AH183" s="27"/>
      <c r="AI183" s="28"/>
      <c r="AJ183" s="28"/>
      <c r="AK183" s="28"/>
      <c r="AL183" s="27"/>
      <c r="AM183" s="27"/>
      <c r="AN183" s="29">
        <f>G183+SUM(I183:AM183)-SUM(I184:AM184)</f>
        <v>9230</v>
      </c>
      <c r="AO183" s="236">
        <f>ROUNDDOWN((AN183/E183)/$H$4,1)</f>
        <v>51.2</v>
      </c>
      <c r="AP183" s="236">
        <f>$M$3+AO183</f>
        <v>1041.2</v>
      </c>
    </row>
    <row r="184">
      <c r="A184" s="31"/>
      <c r="B184" s="17"/>
      <c r="C184" s="17"/>
      <c r="D184" s="17"/>
      <c r="E184" s="17"/>
      <c r="F184" s="18"/>
      <c r="G184" s="26"/>
      <c r="H184" s="7" t="s">
        <v>23</v>
      </c>
      <c r="I184" s="7">
        <v>204.0</v>
      </c>
      <c r="J184" s="7">
        <v>90.0</v>
      </c>
      <c r="K184" s="7">
        <v>216.0</v>
      </c>
      <c r="L184" s="7">
        <v>204.0</v>
      </c>
      <c r="M184" s="7">
        <v>228.0</v>
      </c>
      <c r="N184" s="7">
        <v>210.0</v>
      </c>
      <c r="O184" s="7">
        <v>162.0</v>
      </c>
      <c r="P184" s="7"/>
      <c r="Q184" s="7">
        <v>216.0</v>
      </c>
      <c r="R184" s="28">
        <v>240.0</v>
      </c>
      <c r="S184" s="28">
        <v>198.0</v>
      </c>
      <c r="T184" s="28">
        <v>192.0</v>
      </c>
      <c r="U184" s="28">
        <v>198.0</v>
      </c>
      <c r="V184" s="28">
        <v>246.0</v>
      </c>
      <c r="W184" s="28"/>
      <c r="X184" s="28">
        <v>192.0</v>
      </c>
      <c r="Y184" s="28">
        <v>144.0</v>
      </c>
      <c r="Z184" s="28">
        <v>126.0</v>
      </c>
      <c r="AA184" s="28">
        <v>126.0</v>
      </c>
      <c r="AB184" s="28"/>
      <c r="AC184" s="28"/>
      <c r="AD184" s="28"/>
      <c r="AE184" s="28"/>
      <c r="AF184" s="28"/>
      <c r="AG184" s="28"/>
      <c r="AH184" s="28">
        <v>108.0</v>
      </c>
      <c r="AI184" s="28"/>
      <c r="AJ184" s="28"/>
      <c r="AK184" s="28"/>
      <c r="AL184" s="28"/>
      <c r="AM184" s="28"/>
      <c r="AN184" s="32"/>
      <c r="AO184" s="32"/>
      <c r="AP184" s="32"/>
    </row>
    <row r="185">
      <c r="A185" s="33"/>
      <c r="B185" s="33"/>
      <c r="C185" s="33"/>
      <c r="D185" s="33"/>
      <c r="E185" s="25"/>
      <c r="F185" s="25"/>
      <c r="G185" s="7"/>
      <c r="H185" s="7"/>
      <c r="I185" s="37"/>
      <c r="J185" s="37"/>
      <c r="K185" s="37"/>
      <c r="L185" s="37"/>
      <c r="M185" s="37"/>
      <c r="N185" s="37"/>
      <c r="O185" s="37"/>
      <c r="P185" s="26"/>
      <c r="Q185" s="37"/>
      <c r="R185" s="6"/>
      <c r="S185" s="6"/>
      <c r="T185" s="6"/>
      <c r="U185" s="6"/>
      <c r="V185" s="6"/>
      <c r="W185" s="27"/>
      <c r="X185" s="6"/>
      <c r="Y185" s="6"/>
      <c r="Z185" s="42"/>
      <c r="AA185" s="6"/>
      <c r="AB185" s="10"/>
      <c r="AC185" s="10"/>
      <c r="AD185" s="27"/>
      <c r="AE185" s="27"/>
      <c r="AF185" s="27"/>
      <c r="AG185" s="27"/>
      <c r="AH185" s="27"/>
      <c r="AI185" s="28"/>
      <c r="AJ185" s="27"/>
      <c r="AK185" s="27"/>
      <c r="AL185" s="27"/>
      <c r="AM185" s="27"/>
      <c r="AN185" s="39"/>
      <c r="AO185" s="237"/>
      <c r="AP185" s="237"/>
    </row>
    <row r="186">
      <c r="A186" s="24" t="s">
        <v>86</v>
      </c>
      <c r="B186" s="17"/>
      <c r="C186" s="17"/>
      <c r="D186" s="18"/>
      <c r="E186" s="25">
        <v>4.0</v>
      </c>
      <c r="F186" s="25" t="s">
        <v>21</v>
      </c>
      <c r="G186" s="7">
        <v>2105.0</v>
      </c>
      <c r="H186" s="7" t="s">
        <v>22</v>
      </c>
      <c r="I186" s="26"/>
      <c r="J186" s="26"/>
      <c r="K186" s="26"/>
      <c r="L186" s="7">
        <v>2040.0</v>
      </c>
      <c r="M186" s="26"/>
      <c r="N186" s="26"/>
      <c r="O186" s="26"/>
      <c r="P186" s="26"/>
      <c r="Q186" s="26"/>
      <c r="R186" s="27"/>
      <c r="S186" s="27"/>
      <c r="T186" s="27"/>
      <c r="U186" s="27"/>
      <c r="V186" s="28">
        <v>4080.0</v>
      </c>
      <c r="W186" s="27"/>
      <c r="X186" s="27"/>
      <c r="Y186" s="27"/>
      <c r="Z186" s="27"/>
      <c r="AA186" s="27"/>
      <c r="AB186" s="28"/>
      <c r="AC186" s="28"/>
      <c r="AD186" s="27"/>
      <c r="AE186" s="27"/>
      <c r="AF186" s="27"/>
      <c r="AG186" s="27"/>
      <c r="AH186" s="27"/>
      <c r="AI186" s="28"/>
      <c r="AJ186" s="28"/>
      <c r="AK186" s="28"/>
      <c r="AL186" s="27"/>
      <c r="AM186" s="27"/>
      <c r="AN186" s="29">
        <f>G186+SUM(I186:AM186)-SUM(I187:AM187)</f>
        <v>6018</v>
      </c>
      <c r="AO186" s="236">
        <f>ROUNDDOWN((AN186/E186)/$H$4,1)</f>
        <v>50.1</v>
      </c>
      <c r="AP186" s="236">
        <f>$M$3+AO186</f>
        <v>1040.1</v>
      </c>
    </row>
    <row r="187">
      <c r="A187" s="57"/>
      <c r="B187" s="57"/>
      <c r="C187" s="57"/>
      <c r="D187" s="57"/>
      <c r="E187" s="57"/>
      <c r="F187" s="26"/>
      <c r="G187" s="26"/>
      <c r="H187" s="7" t="s">
        <v>23</v>
      </c>
      <c r="I187" s="7">
        <v>136.0</v>
      </c>
      <c r="J187" s="7">
        <v>60.0</v>
      </c>
      <c r="K187" s="7">
        <v>144.0</v>
      </c>
      <c r="L187" s="7">
        <v>136.0</v>
      </c>
      <c r="M187" s="7">
        <v>152.0</v>
      </c>
      <c r="N187" s="7">
        <v>140.0</v>
      </c>
      <c r="O187" s="7">
        <v>108.0</v>
      </c>
      <c r="P187" s="7"/>
      <c r="Q187" s="7">
        <v>144.0</v>
      </c>
      <c r="R187" s="28">
        <v>160.0</v>
      </c>
      <c r="S187" s="28">
        <v>139.0</v>
      </c>
      <c r="T187" s="28">
        <v>128.0</v>
      </c>
      <c r="U187" s="28">
        <v>132.0</v>
      </c>
      <c r="V187" s="28">
        <v>164.0</v>
      </c>
      <c r="W187" s="28"/>
      <c r="X187" s="28">
        <v>128.0</v>
      </c>
      <c r="Y187" s="28">
        <v>96.0</v>
      </c>
      <c r="Z187" s="28">
        <v>84.0</v>
      </c>
      <c r="AA187" s="28">
        <v>84.0</v>
      </c>
      <c r="AB187" s="28"/>
      <c r="AC187" s="28"/>
      <c r="AD187" s="28"/>
      <c r="AE187" s="28"/>
      <c r="AF187" s="28"/>
      <c r="AG187" s="28"/>
      <c r="AH187" s="28">
        <v>72.0</v>
      </c>
      <c r="AI187" s="28"/>
      <c r="AJ187" s="28"/>
      <c r="AK187" s="28"/>
      <c r="AL187" s="28"/>
      <c r="AM187" s="28"/>
      <c r="AN187" s="32"/>
      <c r="AO187" s="32"/>
      <c r="AP187" s="32"/>
    </row>
    <row r="188">
      <c r="A188" s="74"/>
      <c r="B188" s="74"/>
      <c r="C188" s="74"/>
      <c r="D188" s="74"/>
      <c r="E188" s="74"/>
      <c r="F188" s="74"/>
      <c r="G188" s="26"/>
      <c r="H188" s="69"/>
      <c r="I188" s="37"/>
      <c r="J188" s="37"/>
      <c r="K188" s="37"/>
      <c r="L188" s="37"/>
      <c r="M188" s="37"/>
      <c r="N188" s="37"/>
      <c r="O188" s="37"/>
      <c r="P188" s="26"/>
      <c r="Q188" s="37"/>
      <c r="R188" s="6"/>
      <c r="S188" s="6"/>
      <c r="T188" s="6"/>
      <c r="U188" s="6"/>
      <c r="V188" s="6"/>
      <c r="W188" s="27"/>
      <c r="X188" s="6"/>
      <c r="Y188" s="6"/>
      <c r="Z188" s="6"/>
      <c r="AA188" s="6"/>
      <c r="AB188" s="10"/>
      <c r="AC188" s="10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48"/>
      <c r="AO188" s="48"/>
      <c r="AP188" s="48"/>
    </row>
    <row r="189">
      <c r="A189" s="76" t="s">
        <v>87</v>
      </c>
      <c r="B189" s="17"/>
      <c r="C189" s="17"/>
      <c r="D189" s="17"/>
      <c r="E189" s="17"/>
      <c r="F189" s="18"/>
      <c r="G189" s="77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</row>
    <row r="190">
      <c r="A190" s="24" t="s">
        <v>88</v>
      </c>
      <c r="B190" s="17"/>
      <c r="C190" s="17"/>
      <c r="D190" s="18"/>
      <c r="E190" s="25">
        <v>1.39</v>
      </c>
      <c r="F190" s="25" t="s">
        <v>89</v>
      </c>
      <c r="G190" s="78">
        <v>1305.0</v>
      </c>
      <c r="H190" s="7" t="s">
        <v>22</v>
      </c>
      <c r="I190" s="26"/>
      <c r="J190" s="7"/>
      <c r="K190" s="26"/>
      <c r="L190" s="26"/>
      <c r="M190" s="7"/>
      <c r="N190" s="26"/>
      <c r="O190" s="7">
        <v>380.0</v>
      </c>
      <c r="P190" s="26"/>
      <c r="Q190" s="26"/>
      <c r="R190" s="27"/>
      <c r="S190" s="27"/>
      <c r="T190" s="27"/>
      <c r="U190" s="27"/>
      <c r="V190" s="27"/>
      <c r="W190" s="27"/>
      <c r="X190" s="27"/>
      <c r="Y190" s="28">
        <v>1280.0</v>
      </c>
      <c r="Z190" s="27"/>
      <c r="AA190" s="27"/>
      <c r="AB190" s="27"/>
      <c r="AC190" s="27"/>
      <c r="AD190" s="27"/>
      <c r="AE190" s="28"/>
      <c r="AF190" s="27"/>
      <c r="AG190" s="28"/>
      <c r="AH190" s="28"/>
      <c r="AI190" s="28"/>
      <c r="AJ190" s="27"/>
      <c r="AK190" s="27"/>
      <c r="AL190" s="27"/>
      <c r="AM190" s="27"/>
      <c r="AN190" s="29">
        <f>G190+SUM(I190:AM190)-SUM(I191:AM191)</f>
        <v>2471</v>
      </c>
      <c r="AO190" s="236">
        <f>ROUNDDOWN((AN190/E190)/$H$4,1)</f>
        <v>59.2</v>
      </c>
      <c r="AP190" s="236">
        <f>$M$3+AO190</f>
        <v>1049.2</v>
      </c>
    </row>
    <row r="191">
      <c r="A191" s="31"/>
      <c r="B191" s="17"/>
      <c r="C191" s="17"/>
      <c r="D191" s="17"/>
      <c r="E191" s="17"/>
      <c r="F191" s="18"/>
      <c r="G191" s="27"/>
      <c r="H191" s="7" t="s">
        <v>23</v>
      </c>
      <c r="I191" s="7">
        <f>11</f>
        <v>11</v>
      </c>
      <c r="J191" s="7">
        <f>6+1+40</f>
        <v>47</v>
      </c>
      <c r="K191" s="7">
        <f>11+2</f>
        <v>13</v>
      </c>
      <c r="L191" s="7">
        <f>10+2+40</f>
        <v>52</v>
      </c>
      <c r="M191" s="7">
        <f>12+2+40</f>
        <v>54</v>
      </c>
      <c r="N191" s="7">
        <f>11+2</f>
        <v>13</v>
      </c>
      <c r="O191" s="7">
        <f>8+1</f>
        <v>9</v>
      </c>
      <c r="P191" s="7"/>
      <c r="Q191" s="7">
        <f>12+1+40</f>
        <v>53</v>
      </c>
      <c r="R191" s="28">
        <f>13+2</f>
        <v>15</v>
      </c>
      <c r="S191" s="28">
        <f>10+2+60</f>
        <v>72</v>
      </c>
      <c r="T191" s="28">
        <f>10+2</f>
        <v>12</v>
      </c>
      <c r="U191" s="28">
        <f>9+1+40</f>
        <v>50</v>
      </c>
      <c r="V191" s="28">
        <f>12+2</f>
        <v>14</v>
      </c>
      <c r="W191" s="28"/>
      <c r="X191" s="28">
        <f>10+1</f>
        <v>11</v>
      </c>
      <c r="Y191" s="28">
        <f>8+1+40</f>
        <v>49</v>
      </c>
      <c r="Z191" s="28">
        <f>6+1</f>
        <v>7</v>
      </c>
      <c r="AA191" s="28">
        <v>6.0</v>
      </c>
      <c r="AB191" s="28"/>
      <c r="AC191" s="28"/>
      <c r="AD191" s="28"/>
      <c r="AE191" s="28"/>
      <c r="AF191" s="28"/>
      <c r="AG191" s="28"/>
      <c r="AH191" s="28">
        <v>6.0</v>
      </c>
      <c r="AI191" s="28"/>
      <c r="AJ191" s="28"/>
      <c r="AK191" s="28"/>
      <c r="AL191" s="28"/>
      <c r="AM191" s="28"/>
      <c r="AN191" s="32"/>
      <c r="AO191" s="32"/>
      <c r="AP191" s="32"/>
    </row>
    <row r="192">
      <c r="A192" s="33"/>
      <c r="B192" s="33"/>
      <c r="C192" s="33"/>
      <c r="D192" s="33"/>
      <c r="E192" s="25"/>
      <c r="F192" s="25"/>
      <c r="G192" s="78"/>
      <c r="H192" s="7"/>
      <c r="I192" s="41"/>
      <c r="J192" s="37"/>
      <c r="K192" s="37"/>
      <c r="L192" s="41"/>
      <c r="M192" s="37"/>
      <c r="N192" s="37"/>
      <c r="O192" s="37"/>
      <c r="P192" s="26"/>
      <c r="Q192" s="37"/>
      <c r="R192" s="6"/>
      <c r="S192" s="6"/>
      <c r="T192" s="6"/>
      <c r="U192" s="6"/>
      <c r="V192" s="6"/>
      <c r="W192" s="27"/>
      <c r="X192" s="6"/>
      <c r="Y192" s="6"/>
      <c r="Z192" s="6"/>
      <c r="AA192" s="6"/>
      <c r="AB192" s="10"/>
      <c r="AC192" s="10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39"/>
      <c r="AO192" s="237"/>
      <c r="AP192" s="237"/>
    </row>
    <row r="193">
      <c r="A193" s="24" t="s">
        <v>90</v>
      </c>
      <c r="B193" s="17"/>
      <c r="C193" s="17"/>
      <c r="D193" s="18"/>
      <c r="E193" s="25">
        <v>0.4</v>
      </c>
      <c r="F193" s="25" t="s">
        <v>21</v>
      </c>
      <c r="G193" s="78">
        <f>171+9+6+9+10</f>
        <v>205</v>
      </c>
      <c r="H193" s="7" t="s">
        <v>22</v>
      </c>
      <c r="I193" s="26"/>
      <c r="J193" s="26"/>
      <c r="K193" s="26"/>
      <c r="L193" s="7"/>
      <c r="M193" s="7"/>
      <c r="N193" s="26"/>
      <c r="O193" s="26"/>
      <c r="P193" s="7"/>
      <c r="Q193" s="26"/>
      <c r="R193" s="27"/>
      <c r="S193" s="28">
        <v>153.0</v>
      </c>
      <c r="T193" s="27"/>
      <c r="U193" s="27"/>
      <c r="V193" s="27"/>
      <c r="W193" s="27"/>
      <c r="X193" s="27"/>
      <c r="Y193" s="28"/>
      <c r="Z193" s="28"/>
      <c r="AA193" s="28">
        <v>24.0</v>
      </c>
      <c r="AB193" s="28"/>
      <c r="AC193" s="28"/>
      <c r="AD193" s="27"/>
      <c r="AE193" s="27"/>
      <c r="AF193" s="27"/>
      <c r="AG193" s="27"/>
      <c r="AH193" s="27"/>
      <c r="AI193" s="27"/>
      <c r="AJ193" s="28"/>
      <c r="AK193" s="27"/>
      <c r="AL193" s="27"/>
      <c r="AM193" s="28"/>
      <c r="AN193" s="29">
        <f>G193+SUM(I193:AM193)-SUM(I194:AM194)</f>
        <v>249</v>
      </c>
      <c r="AO193" s="236">
        <f>ROUNDDOWN((AN193/E193)/$H$4,1)</f>
        <v>20.7</v>
      </c>
      <c r="AP193" s="236">
        <f>M5+AO193</f>
        <v>1009.7</v>
      </c>
    </row>
    <row r="194">
      <c r="A194" s="31"/>
      <c r="B194" s="17"/>
      <c r="C194" s="17"/>
      <c r="D194" s="17"/>
      <c r="E194" s="17"/>
      <c r="F194" s="18"/>
      <c r="G194" s="27"/>
      <c r="H194" s="7" t="s">
        <v>23</v>
      </c>
      <c r="I194" s="7">
        <v>9.0</v>
      </c>
      <c r="J194" s="7">
        <v>6.0</v>
      </c>
      <c r="K194" s="7">
        <v>9.0</v>
      </c>
      <c r="L194" s="7">
        <v>10.0</v>
      </c>
      <c r="M194" s="7">
        <v>11.0</v>
      </c>
      <c r="N194" s="7">
        <v>10.0</v>
      </c>
      <c r="O194" s="7">
        <v>8.0</v>
      </c>
      <c r="P194" s="7"/>
      <c r="Q194" s="7">
        <v>10.0</v>
      </c>
      <c r="R194" s="28">
        <v>9.0</v>
      </c>
      <c r="S194" s="28">
        <v>10.0</v>
      </c>
      <c r="T194" s="28">
        <v>10.0</v>
      </c>
      <c r="U194" s="28">
        <v>9.0</v>
      </c>
      <c r="V194" s="28"/>
      <c r="W194" s="28"/>
      <c r="X194" s="28">
        <v>9.0</v>
      </c>
      <c r="Y194" s="28">
        <v>7.0</v>
      </c>
      <c r="Z194" s="28">
        <v>6.0</v>
      </c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32"/>
      <c r="AO194" s="32"/>
      <c r="AP194" s="32"/>
    </row>
    <row r="195">
      <c r="A195" s="33"/>
      <c r="B195" s="33"/>
      <c r="C195" s="33"/>
      <c r="D195" s="33"/>
      <c r="E195" s="25"/>
      <c r="F195" s="25"/>
      <c r="G195" s="78"/>
      <c r="H195" s="7"/>
      <c r="I195" s="37"/>
      <c r="J195" s="37"/>
      <c r="K195" s="37"/>
      <c r="L195" s="37"/>
      <c r="M195" s="37"/>
      <c r="N195" s="37"/>
      <c r="O195" s="41"/>
      <c r="P195" s="26"/>
      <c r="Q195" s="37"/>
      <c r="R195" s="6"/>
      <c r="S195" s="6"/>
      <c r="T195" s="6"/>
      <c r="U195" s="6"/>
      <c r="V195" s="10"/>
      <c r="W195" s="27"/>
      <c r="X195" s="6"/>
      <c r="Y195" s="42"/>
      <c r="Z195" s="6"/>
      <c r="AA195" s="10"/>
      <c r="AB195" s="10"/>
      <c r="AC195" s="10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39"/>
      <c r="AO195" s="237"/>
      <c r="AP195" s="237"/>
    </row>
    <row r="196">
      <c r="A196" s="24" t="s">
        <v>91</v>
      </c>
      <c r="B196" s="17"/>
      <c r="C196" s="17"/>
      <c r="D196" s="18"/>
      <c r="E196" s="25">
        <v>0.24</v>
      </c>
      <c r="F196" s="25" t="s">
        <v>92</v>
      </c>
      <c r="G196" s="78">
        <v>126.0</v>
      </c>
      <c r="H196" s="7" t="s">
        <v>22</v>
      </c>
      <c r="I196" s="26"/>
      <c r="J196" s="26"/>
      <c r="K196" s="26"/>
      <c r="L196" s="26"/>
      <c r="M196" s="26"/>
      <c r="N196" s="26"/>
      <c r="O196" s="7"/>
      <c r="P196" s="26"/>
      <c r="Q196" s="26"/>
      <c r="R196" s="28"/>
      <c r="S196" s="27"/>
      <c r="T196" s="28">
        <v>84.0</v>
      </c>
      <c r="U196" s="27"/>
      <c r="V196" s="27"/>
      <c r="W196" s="28"/>
      <c r="X196" s="27"/>
      <c r="Y196" s="28"/>
      <c r="Z196" s="27"/>
      <c r="AA196" s="28"/>
      <c r="AB196" s="28">
        <v>162.0</v>
      </c>
      <c r="AC196" s="27"/>
      <c r="AD196" s="28"/>
      <c r="AE196" s="27"/>
      <c r="AF196" s="27"/>
      <c r="AG196" s="27"/>
      <c r="AH196" s="28"/>
      <c r="AI196" s="27"/>
      <c r="AJ196" s="28"/>
      <c r="AK196" s="27"/>
      <c r="AL196" s="27"/>
      <c r="AM196" s="27"/>
      <c r="AN196" s="29">
        <f>G196+SUM(I196:AM196)-SUM(I197:AM197)</f>
        <v>296</v>
      </c>
      <c r="AO196" s="236">
        <f>ROUNDDOWN((AN196/E196)/$H$4,1)</f>
        <v>41.1</v>
      </c>
      <c r="AP196" s="236">
        <f>M3+AO196</f>
        <v>1031.1</v>
      </c>
    </row>
    <row r="197">
      <c r="A197" s="31"/>
      <c r="B197" s="17"/>
      <c r="C197" s="17"/>
      <c r="D197" s="17"/>
      <c r="E197" s="17"/>
      <c r="F197" s="18"/>
      <c r="G197" s="27"/>
      <c r="H197" s="7" t="s">
        <v>23</v>
      </c>
      <c r="I197" s="7">
        <v>4.0</v>
      </c>
      <c r="J197" s="7">
        <v>4.0</v>
      </c>
      <c r="K197" s="7">
        <v>4.0</v>
      </c>
      <c r="L197" s="7">
        <v>4.0</v>
      </c>
      <c r="M197" s="7">
        <v>4.0</v>
      </c>
      <c r="N197" s="7">
        <v>4.0</v>
      </c>
      <c r="O197" s="7">
        <v>4.0</v>
      </c>
      <c r="P197" s="7"/>
      <c r="Q197" s="7">
        <v>4.0</v>
      </c>
      <c r="R197" s="28">
        <f>4+4</f>
        <v>8</v>
      </c>
      <c r="S197" s="28">
        <v>4.0</v>
      </c>
      <c r="T197" s="28">
        <v>4.0</v>
      </c>
      <c r="U197" s="28">
        <v>4.0</v>
      </c>
      <c r="V197" s="28"/>
      <c r="W197" s="28"/>
      <c r="X197" s="28">
        <v>4.0</v>
      </c>
      <c r="Y197" s="28">
        <v>4.0</v>
      </c>
      <c r="Z197" s="28">
        <v>4.0</v>
      </c>
      <c r="AA197" s="28">
        <v>4.0</v>
      </c>
      <c r="AB197" s="28">
        <v>4.0</v>
      </c>
      <c r="AC197" s="28"/>
      <c r="AD197" s="28"/>
      <c r="AE197" s="28"/>
      <c r="AF197" s="28"/>
      <c r="AG197" s="28"/>
      <c r="AH197" s="28">
        <v>4.0</v>
      </c>
      <c r="AI197" s="28"/>
      <c r="AJ197" s="28"/>
      <c r="AK197" s="28"/>
      <c r="AL197" s="28"/>
      <c r="AM197" s="28"/>
      <c r="AN197" s="32"/>
      <c r="AO197" s="32"/>
      <c r="AP197" s="32"/>
    </row>
    <row r="198">
      <c r="A198" s="33"/>
      <c r="B198" s="33"/>
      <c r="C198" s="33"/>
      <c r="D198" s="33"/>
      <c r="E198" s="57"/>
      <c r="F198" s="57"/>
      <c r="G198" s="78"/>
      <c r="H198" s="7"/>
      <c r="I198" s="37"/>
      <c r="J198" s="37"/>
      <c r="K198" s="37"/>
      <c r="L198" s="37"/>
      <c r="M198" s="37"/>
      <c r="N198" s="37"/>
      <c r="O198" s="37"/>
      <c r="P198" s="26"/>
      <c r="Q198" s="37"/>
      <c r="R198" s="6"/>
      <c r="S198" s="6"/>
      <c r="T198" s="6"/>
      <c r="U198" s="6"/>
      <c r="V198" s="10"/>
      <c r="W198" s="27"/>
      <c r="X198" s="6"/>
      <c r="Y198" s="6"/>
      <c r="Z198" s="6"/>
      <c r="AA198" s="42"/>
      <c r="AB198" s="42"/>
      <c r="AC198" s="38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39"/>
      <c r="AO198" s="237"/>
      <c r="AP198" s="237"/>
    </row>
    <row r="199">
      <c r="A199" s="24" t="s">
        <v>93</v>
      </c>
      <c r="B199" s="17"/>
      <c r="C199" s="17"/>
      <c r="D199" s="18"/>
      <c r="E199" s="25">
        <v>1.0</v>
      </c>
      <c r="F199" s="25" t="s">
        <v>177</v>
      </c>
      <c r="G199" s="78">
        <v>275.0</v>
      </c>
      <c r="H199" s="7" t="s">
        <v>22</v>
      </c>
      <c r="I199" s="26"/>
      <c r="J199" s="26"/>
      <c r="K199" s="26"/>
      <c r="L199" s="7">
        <v>600.0</v>
      </c>
      <c r="M199" s="7"/>
      <c r="N199" s="26"/>
      <c r="O199" s="26"/>
      <c r="P199" s="26"/>
      <c r="Q199" s="26"/>
      <c r="R199" s="27"/>
      <c r="S199" s="27"/>
      <c r="T199" s="28"/>
      <c r="U199" s="28"/>
      <c r="V199" s="27"/>
      <c r="W199" s="27"/>
      <c r="X199" s="27"/>
      <c r="Y199" s="27"/>
      <c r="Z199" s="27"/>
      <c r="AA199" s="28"/>
      <c r="AB199" s="28"/>
      <c r="AC199" s="28"/>
      <c r="AD199" s="28"/>
      <c r="AE199" s="27"/>
      <c r="AF199" s="27"/>
      <c r="AG199" s="28"/>
      <c r="AH199" s="27"/>
      <c r="AI199" s="27"/>
      <c r="AJ199" s="27"/>
      <c r="AK199" s="27"/>
      <c r="AL199" s="27"/>
      <c r="AM199" s="27"/>
      <c r="AN199" s="29">
        <f>G199+SUM(I199:AM199)-SUM(I200:AM200)</f>
        <v>525</v>
      </c>
      <c r="AO199" s="236"/>
      <c r="AP199" s="236"/>
    </row>
    <row r="200">
      <c r="A200" s="31"/>
      <c r="B200" s="17"/>
      <c r="C200" s="17"/>
      <c r="D200" s="17"/>
      <c r="E200" s="17"/>
      <c r="F200" s="18"/>
      <c r="G200" s="27"/>
      <c r="H200" s="7" t="s">
        <v>23</v>
      </c>
      <c r="I200" s="7"/>
      <c r="J200" s="7">
        <v>25.0</v>
      </c>
      <c r="K200" s="7">
        <v>25.0</v>
      </c>
      <c r="L200" s="7">
        <v>25.0</v>
      </c>
      <c r="M200" s="7">
        <v>25.0</v>
      </c>
      <c r="N200" s="7">
        <v>25.0</v>
      </c>
      <c r="O200" s="7"/>
      <c r="P200" s="7"/>
      <c r="Q200" s="7">
        <v>25.0</v>
      </c>
      <c r="R200" s="28">
        <v>25.0</v>
      </c>
      <c r="S200" s="28"/>
      <c r="T200" s="28">
        <v>25.0</v>
      </c>
      <c r="U200" s="28">
        <v>25.0</v>
      </c>
      <c r="V200" s="28"/>
      <c r="W200" s="28"/>
      <c r="X200" s="28">
        <v>25.0</v>
      </c>
      <c r="Y200" s="28">
        <v>25.0</v>
      </c>
      <c r="Z200" s="28">
        <v>25.0</v>
      </c>
      <c r="AA200" s="28"/>
      <c r="AB200" s="28"/>
      <c r="AC200" s="28"/>
      <c r="AD200" s="28"/>
      <c r="AE200" s="28"/>
      <c r="AF200" s="28"/>
      <c r="AG200" s="28"/>
      <c r="AH200" s="28"/>
      <c r="AI200" s="28"/>
      <c r="AJ200" s="28">
        <v>50.0</v>
      </c>
      <c r="AK200" s="28"/>
      <c r="AL200" s="28"/>
      <c r="AM200" s="28"/>
      <c r="AN200" s="32"/>
      <c r="AO200" s="32"/>
      <c r="AP200" s="32"/>
    </row>
    <row r="201">
      <c r="A201" s="33"/>
      <c r="B201" s="33"/>
      <c r="C201" s="33"/>
      <c r="D201" s="33"/>
      <c r="E201" s="57"/>
      <c r="F201" s="57"/>
      <c r="G201" s="78"/>
      <c r="H201" s="7"/>
      <c r="I201" s="36"/>
      <c r="J201" s="37"/>
      <c r="K201" s="37"/>
      <c r="L201" s="37"/>
      <c r="M201" s="37"/>
      <c r="N201" s="37"/>
      <c r="O201" s="36"/>
      <c r="P201" s="26"/>
      <c r="Q201" s="37"/>
      <c r="R201" s="6"/>
      <c r="S201" s="10"/>
      <c r="T201" s="6"/>
      <c r="U201" s="6"/>
      <c r="V201" s="10"/>
      <c r="W201" s="27"/>
      <c r="X201" s="6"/>
      <c r="Y201" s="6"/>
      <c r="Z201" s="6"/>
      <c r="AA201" s="10"/>
      <c r="AB201" s="38"/>
      <c r="AC201" s="38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39"/>
      <c r="AO201" s="237"/>
      <c r="AP201" s="237"/>
    </row>
    <row r="202">
      <c r="A202" s="24" t="s">
        <v>94</v>
      </c>
      <c r="B202" s="17"/>
      <c r="C202" s="17"/>
      <c r="D202" s="18"/>
      <c r="E202" s="25">
        <v>2.1</v>
      </c>
      <c r="F202" s="25" t="s">
        <v>177</v>
      </c>
      <c r="G202" s="78">
        <v>50.0</v>
      </c>
      <c r="H202" s="7" t="s">
        <v>22</v>
      </c>
      <c r="I202" s="26"/>
      <c r="J202" s="26"/>
      <c r="K202" s="26"/>
      <c r="L202" s="7">
        <v>275.0</v>
      </c>
      <c r="M202" s="7"/>
      <c r="N202" s="26"/>
      <c r="O202" s="26"/>
      <c r="P202" s="26"/>
      <c r="Q202" s="26"/>
      <c r="R202" s="27"/>
      <c r="S202" s="27"/>
      <c r="T202" s="28"/>
      <c r="U202" s="28"/>
      <c r="V202" s="27"/>
      <c r="W202" s="27"/>
      <c r="X202" s="27"/>
      <c r="Y202" s="27"/>
      <c r="Z202" s="27"/>
      <c r="AA202" s="27"/>
      <c r="AB202" s="28"/>
      <c r="AC202" s="28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9">
        <f>G202+SUM(I202:AM202)-SUM(I203:AM203)</f>
        <v>200</v>
      </c>
      <c r="AO202" s="236"/>
      <c r="AP202" s="236"/>
    </row>
    <row r="203">
      <c r="A203" s="31"/>
      <c r="B203" s="17"/>
      <c r="C203" s="17"/>
      <c r="D203" s="17"/>
      <c r="E203" s="17"/>
      <c r="F203" s="18"/>
      <c r="G203" s="27"/>
      <c r="H203" s="7" t="s">
        <v>23</v>
      </c>
      <c r="I203" s="7"/>
      <c r="J203" s="7"/>
      <c r="K203" s="7">
        <v>50.0</v>
      </c>
      <c r="L203" s="7"/>
      <c r="M203" s="7"/>
      <c r="N203" s="7"/>
      <c r="O203" s="26"/>
      <c r="P203" s="7"/>
      <c r="Q203" s="7"/>
      <c r="R203" s="28">
        <v>25.0</v>
      </c>
      <c r="S203" s="28"/>
      <c r="T203" s="28">
        <v>25.0</v>
      </c>
      <c r="U203" s="27"/>
      <c r="V203" s="28"/>
      <c r="W203" s="28"/>
      <c r="X203" s="28">
        <v>25.0</v>
      </c>
      <c r="Y203" s="28"/>
      <c r="Z203" s="28"/>
      <c r="AA203" s="28"/>
      <c r="AB203" s="27"/>
      <c r="AC203" s="28"/>
      <c r="AD203" s="28"/>
      <c r="AE203" s="28"/>
      <c r="AF203" s="28"/>
      <c r="AG203" s="28"/>
      <c r="AH203" s="28"/>
      <c r="AI203" s="27"/>
      <c r="AJ203" s="28"/>
      <c r="AK203" s="27"/>
      <c r="AL203" s="27"/>
      <c r="AM203" s="27"/>
      <c r="AN203" s="32"/>
      <c r="AO203" s="32"/>
      <c r="AP203" s="32"/>
    </row>
    <row r="204">
      <c r="A204" s="33"/>
      <c r="B204" s="33"/>
      <c r="C204" s="33"/>
      <c r="D204" s="33"/>
      <c r="E204" s="57"/>
      <c r="F204" s="57"/>
      <c r="G204" s="78"/>
      <c r="H204" s="7"/>
      <c r="I204" s="36"/>
      <c r="J204" s="36"/>
      <c r="K204" s="37"/>
      <c r="L204" s="36"/>
      <c r="M204" s="36"/>
      <c r="N204" s="36"/>
      <c r="O204" s="36"/>
      <c r="P204" s="26"/>
      <c r="Q204" s="36"/>
      <c r="R204" s="6"/>
      <c r="S204" s="10"/>
      <c r="T204" s="6"/>
      <c r="U204" s="10"/>
      <c r="V204" s="10"/>
      <c r="W204" s="27"/>
      <c r="X204" s="6"/>
      <c r="Y204" s="10"/>
      <c r="Z204" s="10"/>
      <c r="AA204" s="10"/>
      <c r="AB204" s="38"/>
      <c r="AC204" s="38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39"/>
      <c r="AO204" s="237"/>
      <c r="AP204" s="237"/>
    </row>
    <row r="205">
      <c r="A205" s="24" t="s">
        <v>95</v>
      </c>
      <c r="B205" s="17"/>
      <c r="C205" s="17"/>
      <c r="D205" s="18"/>
      <c r="E205" s="25">
        <v>1.3</v>
      </c>
      <c r="F205" s="25" t="s">
        <v>177</v>
      </c>
      <c r="G205" s="78">
        <v>460.0</v>
      </c>
      <c r="H205" s="7" t="s">
        <v>22</v>
      </c>
      <c r="I205" s="26"/>
      <c r="J205" s="26"/>
      <c r="K205" s="26"/>
      <c r="L205" s="7">
        <v>400.0</v>
      </c>
      <c r="M205" s="7"/>
      <c r="N205" s="26"/>
      <c r="O205" s="26"/>
      <c r="P205" s="26"/>
      <c r="Q205" s="26"/>
      <c r="R205" s="27"/>
      <c r="S205" s="27"/>
      <c r="T205" s="28"/>
      <c r="U205" s="28"/>
      <c r="V205" s="27"/>
      <c r="W205" s="27"/>
      <c r="X205" s="27"/>
      <c r="Y205" s="27"/>
      <c r="Z205" s="27"/>
      <c r="AA205" s="27"/>
      <c r="AB205" s="28"/>
      <c r="AC205" s="28"/>
      <c r="AD205" s="28"/>
      <c r="AE205" s="27"/>
      <c r="AF205" s="27"/>
      <c r="AG205" s="28"/>
      <c r="AH205" s="27"/>
      <c r="AI205" s="27"/>
      <c r="AJ205" s="27"/>
      <c r="AK205" s="27"/>
      <c r="AL205" s="27"/>
      <c r="AM205" s="27"/>
      <c r="AN205" s="29">
        <f>G205+SUM(I205:AM205)-SUM(I206:AM206)</f>
        <v>700</v>
      </c>
      <c r="AO205" s="236"/>
      <c r="AP205" s="236"/>
    </row>
    <row r="206">
      <c r="A206" s="31"/>
      <c r="B206" s="17"/>
      <c r="C206" s="17"/>
      <c r="D206" s="17"/>
      <c r="E206" s="17"/>
      <c r="F206" s="18"/>
      <c r="G206" s="27"/>
      <c r="H206" s="7" t="s">
        <v>23</v>
      </c>
      <c r="I206" s="7"/>
      <c r="J206" s="26"/>
      <c r="K206" s="7">
        <v>40.0</v>
      </c>
      <c r="L206" s="7"/>
      <c r="M206" s="7"/>
      <c r="N206" s="7">
        <v>20.0</v>
      </c>
      <c r="O206" s="26"/>
      <c r="P206" s="7"/>
      <c r="Q206" s="7">
        <v>20.0</v>
      </c>
      <c r="R206" s="28">
        <v>20.0</v>
      </c>
      <c r="S206" s="28"/>
      <c r="T206" s="28">
        <v>20.0</v>
      </c>
      <c r="U206" s="27"/>
      <c r="V206" s="28"/>
      <c r="W206" s="27"/>
      <c r="X206" s="28">
        <v>20.0</v>
      </c>
      <c r="Y206" s="28"/>
      <c r="Z206" s="28">
        <v>20.0</v>
      </c>
      <c r="AA206" s="27"/>
      <c r="AB206" s="28"/>
      <c r="AC206" s="28"/>
      <c r="AD206" s="28"/>
      <c r="AE206" s="28"/>
      <c r="AF206" s="27"/>
      <c r="AG206" s="28"/>
      <c r="AH206" s="28"/>
      <c r="AI206" s="27"/>
      <c r="AJ206" s="28"/>
      <c r="AK206" s="27"/>
      <c r="AL206" s="27"/>
      <c r="AM206" s="27"/>
      <c r="AN206" s="32"/>
      <c r="AO206" s="32"/>
      <c r="AP206" s="32"/>
    </row>
    <row r="207">
      <c r="A207" s="33"/>
      <c r="B207" s="33"/>
      <c r="C207" s="33"/>
      <c r="D207" s="33"/>
      <c r="E207" s="25"/>
      <c r="F207" s="25"/>
      <c r="G207" s="27"/>
      <c r="H207" s="7"/>
      <c r="I207" s="36"/>
      <c r="J207" s="36"/>
      <c r="K207" s="37"/>
      <c r="L207" s="36"/>
      <c r="M207" s="36"/>
      <c r="N207" s="37"/>
      <c r="O207" s="36"/>
      <c r="P207" s="26"/>
      <c r="Q207" s="37"/>
      <c r="R207" s="6"/>
      <c r="S207" s="10"/>
      <c r="T207" s="6"/>
      <c r="U207" s="10"/>
      <c r="V207" s="10"/>
      <c r="W207" s="27"/>
      <c r="X207" s="6"/>
      <c r="Y207" s="10"/>
      <c r="Z207" s="6"/>
      <c r="AA207" s="10"/>
      <c r="AB207" s="10"/>
      <c r="AC207" s="10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39"/>
      <c r="AO207" s="237"/>
      <c r="AP207" s="237"/>
    </row>
    <row r="208">
      <c r="A208" s="24" t="s">
        <v>98</v>
      </c>
      <c r="B208" s="17"/>
      <c r="C208" s="17"/>
      <c r="D208" s="18"/>
      <c r="E208" s="25">
        <v>0.03</v>
      </c>
      <c r="F208" s="25" t="s">
        <v>92</v>
      </c>
      <c r="G208" s="78">
        <v>0.0</v>
      </c>
      <c r="H208" s="7" t="s">
        <v>22</v>
      </c>
      <c r="I208" s="26"/>
      <c r="J208" s="26"/>
      <c r="K208" s="26"/>
      <c r="L208" s="7"/>
      <c r="M208" s="26"/>
      <c r="N208" s="26"/>
      <c r="O208" s="26"/>
      <c r="P208" s="7"/>
      <c r="Q208" s="26"/>
      <c r="R208" s="27"/>
      <c r="S208" s="28">
        <v>12.0</v>
      </c>
      <c r="T208" s="27"/>
      <c r="U208" s="27"/>
      <c r="V208" s="27"/>
      <c r="W208" s="27"/>
      <c r="X208" s="27"/>
      <c r="Y208" s="28"/>
      <c r="Z208" s="28"/>
      <c r="AA208" s="28">
        <v>23.0</v>
      </c>
      <c r="AB208" s="28"/>
      <c r="AC208" s="28"/>
      <c r="AD208" s="27"/>
      <c r="AE208" s="27"/>
      <c r="AF208" s="27"/>
      <c r="AG208" s="27"/>
      <c r="AH208" s="27"/>
      <c r="AI208" s="27"/>
      <c r="AJ208" s="28"/>
      <c r="AK208" s="28"/>
      <c r="AL208" s="27"/>
      <c r="AM208" s="28"/>
      <c r="AN208" s="29">
        <f>G208+SUM(I208:AM208)-SUM(I209:AM209)</f>
        <v>35</v>
      </c>
      <c r="AO208" s="236">
        <f>ROUNDDOWN((AN208/E208)/$H$4,1)</f>
        <v>38.8</v>
      </c>
      <c r="AP208" s="236">
        <f>$M$4+AO208</f>
        <v>1030.8</v>
      </c>
    </row>
    <row r="209">
      <c r="A209" s="31"/>
      <c r="B209" s="17"/>
      <c r="C209" s="17"/>
      <c r="D209" s="17"/>
      <c r="E209" s="17"/>
      <c r="F209" s="18"/>
      <c r="G209" s="27"/>
      <c r="H209" s="7" t="s">
        <v>23</v>
      </c>
      <c r="I209" s="7"/>
      <c r="J209" s="26"/>
      <c r="K209" s="7"/>
      <c r="L209" s="7"/>
      <c r="M209" s="26"/>
      <c r="N209" s="7"/>
      <c r="O209" s="26"/>
      <c r="P209" s="7"/>
      <c r="Q209" s="7"/>
      <c r="R209" s="28"/>
      <c r="S209" s="27"/>
      <c r="T209" s="28"/>
      <c r="U209" s="27"/>
      <c r="V209" s="27"/>
      <c r="W209" s="27"/>
      <c r="X209" s="27"/>
      <c r="Y209" s="27"/>
      <c r="Z209" s="28"/>
      <c r="AA209" s="28"/>
      <c r="AB209" s="28"/>
      <c r="AC209" s="28"/>
      <c r="AD209" s="28"/>
      <c r="AE209" s="27"/>
      <c r="AF209" s="27"/>
      <c r="AG209" s="27"/>
      <c r="AH209" s="28"/>
      <c r="AI209" s="27"/>
      <c r="AJ209" s="27"/>
      <c r="AK209" s="27"/>
      <c r="AL209" s="27"/>
      <c r="AM209" s="28"/>
      <c r="AN209" s="32"/>
      <c r="AO209" s="32"/>
      <c r="AP209" s="32"/>
    </row>
    <row r="210">
      <c r="A210" s="33"/>
      <c r="B210" s="33"/>
      <c r="C210" s="33"/>
      <c r="D210" s="33"/>
      <c r="E210" s="25"/>
      <c r="F210" s="25"/>
      <c r="G210" s="78"/>
      <c r="H210" s="7"/>
      <c r="I210" s="36"/>
      <c r="J210" s="36"/>
      <c r="K210" s="36"/>
      <c r="L210" s="36"/>
      <c r="M210" s="36"/>
      <c r="N210" s="36"/>
      <c r="O210" s="36"/>
      <c r="P210" s="26"/>
      <c r="Q210" s="36"/>
      <c r="R210" s="10"/>
      <c r="S210" s="10"/>
      <c r="T210" s="10"/>
      <c r="U210" s="10"/>
      <c r="V210" s="38"/>
      <c r="W210" s="27"/>
      <c r="X210" s="10"/>
      <c r="Y210" s="10"/>
      <c r="Z210" s="10"/>
      <c r="AA210" s="10"/>
      <c r="AB210" s="10"/>
      <c r="AC210" s="10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39"/>
      <c r="AO210" s="237"/>
      <c r="AP210" s="237"/>
    </row>
    <row r="211">
      <c r="A211" s="24" t="s">
        <v>99</v>
      </c>
      <c r="B211" s="17"/>
      <c r="C211" s="17"/>
      <c r="D211" s="18"/>
      <c r="E211" s="25">
        <v>0.03</v>
      </c>
      <c r="F211" s="25" t="s">
        <v>92</v>
      </c>
      <c r="G211" s="78">
        <v>0.0</v>
      </c>
      <c r="H211" s="7" t="s">
        <v>22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7"/>
      <c r="S211" s="28">
        <v>5.0</v>
      </c>
      <c r="T211" s="27"/>
      <c r="U211" s="27"/>
      <c r="V211" s="28">
        <v>9.0</v>
      </c>
      <c r="W211" s="27"/>
      <c r="X211" s="27"/>
      <c r="Y211" s="28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8"/>
      <c r="AK211" s="27"/>
      <c r="AL211" s="27"/>
      <c r="AM211" s="27"/>
      <c r="AN211" s="29">
        <f>G211+SUM(I211:AM211)-SUM(I212:AM212)</f>
        <v>4</v>
      </c>
      <c r="AO211" s="236">
        <f>ROUNDDOWN((AN211/E211)/$H$4,1)</f>
        <v>4.4</v>
      </c>
      <c r="AP211" s="236">
        <f>$M$4+AO211</f>
        <v>996.4</v>
      </c>
    </row>
    <row r="212">
      <c r="A212" s="31"/>
      <c r="B212" s="17"/>
      <c r="C212" s="17"/>
      <c r="D212" s="17"/>
      <c r="E212" s="17"/>
      <c r="F212" s="18"/>
      <c r="G212" s="27"/>
      <c r="H212" s="7" t="s">
        <v>23</v>
      </c>
      <c r="I212" s="26"/>
      <c r="J212" s="26"/>
      <c r="K212" s="7"/>
      <c r="L212" s="26"/>
      <c r="M212" s="7"/>
      <c r="N212" s="7"/>
      <c r="O212" s="26"/>
      <c r="P212" s="7"/>
      <c r="Q212" s="7"/>
      <c r="R212" s="28"/>
      <c r="S212" s="27"/>
      <c r="T212" s="27"/>
      <c r="U212" s="28"/>
      <c r="V212" s="27"/>
      <c r="W212" s="27"/>
      <c r="X212" s="27"/>
      <c r="Y212" s="27"/>
      <c r="Z212" s="28"/>
      <c r="AA212" s="28">
        <v>10.0</v>
      </c>
      <c r="AB212" s="27"/>
      <c r="AC212" s="27"/>
      <c r="AD212" s="28"/>
      <c r="AE212" s="27"/>
      <c r="AF212" s="27"/>
      <c r="AG212" s="27"/>
      <c r="AH212" s="28"/>
      <c r="AI212" s="27"/>
      <c r="AJ212" s="27"/>
      <c r="AK212" s="27"/>
      <c r="AL212" s="27"/>
      <c r="AM212" s="27"/>
      <c r="AN212" s="32"/>
      <c r="AO212" s="32"/>
      <c r="AP212" s="32"/>
    </row>
    <row r="213">
      <c r="A213" s="33"/>
      <c r="B213" s="33"/>
      <c r="C213" s="33"/>
      <c r="D213" s="33"/>
      <c r="E213" s="25"/>
      <c r="F213" s="25"/>
      <c r="G213" s="78"/>
      <c r="H213" s="7"/>
      <c r="I213" s="36"/>
      <c r="J213" s="36"/>
      <c r="K213" s="36"/>
      <c r="L213" s="36"/>
      <c r="M213" s="36"/>
      <c r="N213" s="36"/>
      <c r="O213" s="36"/>
      <c r="P213" s="26"/>
      <c r="Q213" s="36"/>
      <c r="R213" s="10"/>
      <c r="S213" s="10"/>
      <c r="T213" s="10"/>
      <c r="U213" s="10"/>
      <c r="V213" s="10"/>
      <c r="W213" s="27"/>
      <c r="X213" s="10"/>
      <c r="Y213" s="10"/>
      <c r="Z213" s="10"/>
      <c r="AA213" s="42"/>
      <c r="AB213" s="10"/>
      <c r="AC213" s="10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39"/>
      <c r="AO213" s="237"/>
      <c r="AP213" s="237"/>
    </row>
    <row r="214">
      <c r="A214" s="24" t="s">
        <v>100</v>
      </c>
      <c r="B214" s="17"/>
      <c r="C214" s="17"/>
      <c r="D214" s="18"/>
      <c r="E214" s="25">
        <v>0.014</v>
      </c>
      <c r="F214" s="25" t="s">
        <v>101</v>
      </c>
      <c r="G214" s="78">
        <v>28.0</v>
      </c>
      <c r="H214" s="7" t="s">
        <v>22</v>
      </c>
      <c r="I214" s="26"/>
      <c r="J214" s="26"/>
      <c r="K214" s="26"/>
      <c r="L214" s="7"/>
      <c r="M214" s="26"/>
      <c r="N214" s="26"/>
      <c r="O214" s="26"/>
      <c r="P214" s="7"/>
      <c r="Q214" s="26"/>
      <c r="R214" s="27"/>
      <c r="S214" s="27"/>
      <c r="T214" s="27"/>
      <c r="U214" s="27"/>
      <c r="V214" s="27"/>
      <c r="W214" s="27"/>
      <c r="X214" s="27"/>
      <c r="Y214" s="27"/>
      <c r="Z214" s="27"/>
      <c r="AA214" s="28"/>
      <c r="AB214" s="27"/>
      <c r="AC214" s="27"/>
      <c r="AD214" s="27"/>
      <c r="AE214" s="27"/>
      <c r="AG214" s="27"/>
      <c r="AH214" s="27"/>
      <c r="AI214" s="27"/>
      <c r="AJ214" s="27"/>
      <c r="AK214" s="27"/>
      <c r="AL214" s="27"/>
      <c r="AM214" s="27"/>
      <c r="AN214" s="29">
        <f>G214+SUM(I214:AM214)-SUM(I215:AM215)</f>
        <v>18</v>
      </c>
      <c r="AO214" s="236">
        <f>ROUNDDOWN((AN214/E214)/$H$4,1)</f>
        <v>42.8</v>
      </c>
      <c r="AP214" s="236">
        <f>$M$4+AO214</f>
        <v>1034.8</v>
      </c>
    </row>
    <row r="215">
      <c r="A215" s="57"/>
      <c r="B215" s="57"/>
      <c r="C215" s="57"/>
      <c r="D215" s="57"/>
      <c r="E215" s="57"/>
      <c r="F215" s="27"/>
      <c r="G215" s="27"/>
      <c r="H215" s="7" t="s">
        <v>23</v>
      </c>
      <c r="I215" s="7"/>
      <c r="J215" s="7">
        <v>1.0</v>
      </c>
      <c r="K215" s="7"/>
      <c r="L215" s="7">
        <v>1.0</v>
      </c>
      <c r="M215" s="7">
        <v>1.0</v>
      </c>
      <c r="N215" s="7"/>
      <c r="O215" s="7"/>
      <c r="P215" s="7"/>
      <c r="Q215" s="7">
        <v>1.0</v>
      </c>
      <c r="R215" s="28"/>
      <c r="S215" s="28">
        <v>1.0</v>
      </c>
      <c r="T215" s="27"/>
      <c r="U215" s="28">
        <v>2.0</v>
      </c>
      <c r="V215" s="28"/>
      <c r="W215" s="28"/>
      <c r="X215" s="28"/>
      <c r="Y215" s="28">
        <v>1.0</v>
      </c>
      <c r="Z215" s="28">
        <v>1.0</v>
      </c>
      <c r="AA215" s="28"/>
      <c r="AB215" s="28">
        <v>1.0</v>
      </c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7"/>
      <c r="AN215" s="32"/>
      <c r="AO215" s="32"/>
      <c r="AP215" s="32"/>
    </row>
    <row r="216">
      <c r="A216" s="33"/>
      <c r="B216" s="33"/>
      <c r="C216" s="33"/>
      <c r="D216" s="33"/>
      <c r="E216" s="25"/>
      <c r="F216" s="25"/>
      <c r="G216" s="78"/>
      <c r="H216" s="7"/>
      <c r="I216" s="36"/>
      <c r="J216" s="37"/>
      <c r="K216" s="36"/>
      <c r="L216" s="37"/>
      <c r="M216" s="37"/>
      <c r="N216" s="36"/>
      <c r="O216" s="36"/>
      <c r="P216" s="26"/>
      <c r="Q216" s="37"/>
      <c r="R216" s="10"/>
      <c r="S216" s="6"/>
      <c r="T216" s="10"/>
      <c r="U216" s="6"/>
      <c r="V216" s="10"/>
      <c r="W216" s="27"/>
      <c r="X216" s="10"/>
      <c r="Y216" s="6"/>
      <c r="Z216" s="6"/>
      <c r="AA216" s="38"/>
      <c r="AB216" s="6"/>
      <c r="AC216" s="10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39"/>
      <c r="AO216" s="237"/>
      <c r="AP216" s="237"/>
    </row>
    <row r="217">
      <c r="A217" s="16" t="s">
        <v>102</v>
      </c>
      <c r="B217" s="17"/>
      <c r="C217" s="17"/>
      <c r="D217" s="17"/>
      <c r="E217" s="17"/>
      <c r="F217" s="17"/>
      <c r="G217" s="18"/>
      <c r="H217" s="21"/>
      <c r="I217" s="21"/>
      <c r="J217" s="21"/>
      <c r="K217" s="21"/>
      <c r="L217" s="20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</row>
    <row r="218">
      <c r="A218" s="24" t="s">
        <v>103</v>
      </c>
      <c r="B218" s="17"/>
      <c r="C218" s="17"/>
      <c r="D218" s="18"/>
      <c r="E218" s="25">
        <v>0.2</v>
      </c>
      <c r="F218" s="25" t="s">
        <v>104</v>
      </c>
      <c r="G218" s="78">
        <v>98.0</v>
      </c>
      <c r="H218" s="7" t="s">
        <v>22</v>
      </c>
      <c r="I218" s="26"/>
      <c r="J218" s="26"/>
      <c r="K218" s="7">
        <v>63.0</v>
      </c>
      <c r="L218" s="26"/>
      <c r="M218" s="7"/>
      <c r="N218" s="26"/>
      <c r="O218" s="26"/>
      <c r="P218" s="26"/>
      <c r="Q218" s="26"/>
      <c r="R218" s="27"/>
      <c r="S218" s="27"/>
      <c r="T218" s="27"/>
      <c r="U218" s="27"/>
      <c r="V218" s="28">
        <v>144.0</v>
      </c>
      <c r="W218" s="27"/>
      <c r="X218" s="27"/>
      <c r="Y218" s="27"/>
      <c r="Z218" s="27"/>
      <c r="AA218" s="27"/>
      <c r="AB218" s="27"/>
      <c r="AC218" s="27"/>
      <c r="AD218" s="28"/>
      <c r="AE218" s="27"/>
      <c r="AF218" s="27"/>
      <c r="AG218" s="27"/>
      <c r="AH218" s="27"/>
      <c r="AI218" s="27"/>
      <c r="AJ218" s="28"/>
      <c r="AK218" s="27"/>
      <c r="AL218" s="27"/>
      <c r="AM218" s="27"/>
      <c r="AN218" s="29">
        <f>G218+SUM(I218:AM218)-SUM(I219:AM219)</f>
        <v>241</v>
      </c>
      <c r="AO218" s="236">
        <f>ROUNDDOWN((AN218/E218)/$H$4,1)</f>
        <v>40.1</v>
      </c>
      <c r="AP218" s="236">
        <f>$M$4+AO218</f>
        <v>1032.1</v>
      </c>
    </row>
    <row r="219">
      <c r="A219" s="31"/>
      <c r="B219" s="17"/>
      <c r="C219" s="17"/>
      <c r="D219" s="17"/>
      <c r="E219" s="17"/>
      <c r="F219" s="18"/>
      <c r="G219" s="27"/>
      <c r="H219" s="7" t="s">
        <v>23</v>
      </c>
      <c r="I219" s="7"/>
      <c r="J219" s="7">
        <f>1+1+1+2</f>
        <v>5</v>
      </c>
      <c r="K219" s="7">
        <f>1+1+1+1</f>
        <v>4</v>
      </c>
      <c r="L219" s="7">
        <v>1.0</v>
      </c>
      <c r="M219" s="7"/>
      <c r="N219" s="7">
        <f>3+1+1+1</f>
        <v>6</v>
      </c>
      <c r="O219" s="7">
        <f>1</f>
        <v>1</v>
      </c>
      <c r="P219" s="7"/>
      <c r="Q219" s="7">
        <f>1+1+3</f>
        <v>5</v>
      </c>
      <c r="R219" s="28">
        <f>2+1+2</f>
        <v>5</v>
      </c>
      <c r="S219" s="28">
        <f>5+2+1+1</f>
        <v>9</v>
      </c>
      <c r="T219" s="28">
        <f>2+2</f>
        <v>4</v>
      </c>
      <c r="U219" s="28">
        <f>1+2</f>
        <v>3</v>
      </c>
      <c r="V219" s="28"/>
      <c r="W219" s="28"/>
      <c r="X219" s="28">
        <f>3+2</f>
        <v>5</v>
      </c>
      <c r="Y219" s="28">
        <f>2+1+3</f>
        <v>6</v>
      </c>
      <c r="Z219" s="28">
        <f>1+1</f>
        <v>2</v>
      </c>
      <c r="AA219" s="28">
        <f>1+5</f>
        <v>6</v>
      </c>
      <c r="AB219" s="28">
        <v>2.0</v>
      </c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32"/>
      <c r="AO219" s="32"/>
      <c r="AP219" s="32"/>
    </row>
    <row r="220">
      <c r="A220" s="33"/>
      <c r="B220" s="33"/>
      <c r="C220" s="33"/>
      <c r="D220" s="33"/>
      <c r="E220" s="25"/>
      <c r="F220" s="25"/>
      <c r="G220" s="27"/>
      <c r="H220" s="7"/>
      <c r="I220" s="36"/>
      <c r="J220" s="37"/>
      <c r="K220" s="37"/>
      <c r="L220" s="37"/>
      <c r="M220" s="36"/>
      <c r="N220" s="37"/>
      <c r="O220" s="41"/>
      <c r="P220" s="7"/>
      <c r="Q220" s="37"/>
      <c r="R220" s="42"/>
      <c r="S220" s="42"/>
      <c r="T220" s="6"/>
      <c r="U220" s="42"/>
      <c r="V220" s="10"/>
      <c r="W220" s="27"/>
      <c r="X220" s="6"/>
      <c r="Y220" s="6"/>
      <c r="Z220" s="6"/>
      <c r="AA220" s="6"/>
      <c r="AB220" s="42"/>
      <c r="AC220" s="38"/>
      <c r="AD220" s="27"/>
      <c r="AE220" s="27"/>
      <c r="AF220" s="27"/>
      <c r="AG220" s="28"/>
      <c r="AH220" s="27"/>
      <c r="AI220" s="27"/>
      <c r="AJ220" s="27"/>
      <c r="AK220" s="28"/>
      <c r="AL220" s="27"/>
      <c r="AM220" s="27"/>
      <c r="AN220" s="39"/>
      <c r="AO220" s="237"/>
      <c r="AP220" s="237"/>
    </row>
    <row r="221">
      <c r="A221" s="24" t="s">
        <v>105</v>
      </c>
      <c r="B221" s="17"/>
      <c r="C221" s="17"/>
      <c r="D221" s="18"/>
      <c r="E221" s="25">
        <v>1.1</v>
      </c>
      <c r="F221" s="25" t="s">
        <v>106</v>
      </c>
      <c r="G221" s="28">
        <v>34.0</v>
      </c>
      <c r="H221" s="7" t="s">
        <v>22</v>
      </c>
      <c r="I221" s="7"/>
      <c r="J221" s="7"/>
      <c r="K221" s="7"/>
      <c r="L221" s="7">
        <f>20+20</f>
        <v>40</v>
      </c>
      <c r="M221" s="7"/>
      <c r="N221" s="7">
        <v>30.0</v>
      </c>
      <c r="O221" s="7"/>
      <c r="P221" s="7"/>
      <c r="Q221" s="7"/>
      <c r="R221" s="28">
        <f>13+17</f>
        <v>30</v>
      </c>
      <c r="S221" s="28"/>
      <c r="T221" s="28"/>
      <c r="U221" s="28">
        <v>30.0</v>
      </c>
      <c r="V221" s="28"/>
      <c r="W221" s="28"/>
      <c r="X221" s="28"/>
      <c r="Y221" s="27"/>
      <c r="Z221" s="27">
        <f>20+50</f>
        <v>70</v>
      </c>
      <c r="AA221" s="28"/>
      <c r="AB221" s="28"/>
      <c r="AC221" s="28"/>
      <c r="AD221" s="28"/>
      <c r="AE221" s="28"/>
      <c r="AF221" s="27"/>
      <c r="AG221" s="28"/>
      <c r="AH221" s="28"/>
      <c r="AI221" s="28"/>
      <c r="AJ221" s="28"/>
      <c r="AK221" s="28"/>
      <c r="AL221" s="27"/>
      <c r="AM221" s="28"/>
      <c r="AN221" s="29">
        <f>G221+SUM(I221:AM221)-SUM(I222:AM222)</f>
        <v>78</v>
      </c>
      <c r="AO221" s="236">
        <f>ROUNDDOWN((AN221/E221)/$H$4,1)</f>
        <v>2.3</v>
      </c>
      <c r="AP221" s="236">
        <f>$M$4+AO221</f>
        <v>994.3</v>
      </c>
    </row>
    <row r="222">
      <c r="A222" s="31"/>
      <c r="B222" s="17"/>
      <c r="C222" s="17"/>
      <c r="D222" s="17"/>
      <c r="E222" s="17"/>
      <c r="F222" s="18"/>
      <c r="G222" s="27"/>
      <c r="H222" s="7" t="s">
        <v>23</v>
      </c>
      <c r="I222" s="7"/>
      <c r="J222" s="7">
        <v>14.0</v>
      </c>
      <c r="K222" s="7">
        <v>10.0</v>
      </c>
      <c r="L222" s="7">
        <f>11+9</f>
        <v>20</v>
      </c>
      <c r="M222" s="7"/>
      <c r="N222" s="7">
        <v>7.0</v>
      </c>
      <c r="O222" s="7">
        <f>15+7+1</f>
        <v>23</v>
      </c>
      <c r="P222" s="26"/>
      <c r="Q222" s="7">
        <v>1.0</v>
      </c>
      <c r="R222" s="28">
        <v>15.0</v>
      </c>
      <c r="S222" s="28">
        <f>1+14</f>
        <v>15</v>
      </c>
      <c r="T222" s="28">
        <v>18.0</v>
      </c>
      <c r="U222" s="28">
        <v>9.0</v>
      </c>
      <c r="V222" s="27"/>
      <c r="W222" s="28"/>
      <c r="X222" s="28"/>
      <c r="Y222" s="28">
        <v>9.0</v>
      </c>
      <c r="Z222" s="28">
        <v>8.0</v>
      </c>
      <c r="AA222" s="28">
        <v>7.0</v>
      </c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32"/>
      <c r="AO222" s="32"/>
      <c r="AP222" s="32"/>
    </row>
    <row r="223">
      <c r="A223" s="58"/>
      <c r="B223" s="58"/>
      <c r="C223" s="58"/>
      <c r="D223" s="58"/>
      <c r="E223" s="58"/>
      <c r="F223" s="58"/>
      <c r="G223" s="58"/>
      <c r="H223" s="68"/>
      <c r="I223" s="79"/>
      <c r="J223" s="80"/>
      <c r="K223" s="80"/>
      <c r="L223" s="80"/>
      <c r="M223" s="79"/>
      <c r="N223" s="80"/>
      <c r="O223" s="80"/>
      <c r="P223" s="274"/>
      <c r="Q223" s="80"/>
      <c r="R223" s="6"/>
      <c r="S223" s="6"/>
      <c r="T223" s="6"/>
      <c r="U223" s="6"/>
      <c r="V223" s="10"/>
      <c r="W223" s="27"/>
      <c r="X223" s="10"/>
      <c r="Y223" s="6"/>
      <c r="Z223" s="6"/>
      <c r="AA223" s="6"/>
      <c r="AB223" s="10"/>
      <c r="AC223" s="10"/>
      <c r="AD223" s="27"/>
      <c r="AE223" s="27"/>
      <c r="AF223" s="275"/>
      <c r="AG223" s="27"/>
      <c r="AH223" s="27"/>
      <c r="AI223" s="27"/>
      <c r="AJ223" s="27"/>
      <c r="AK223" s="27"/>
      <c r="AL223" s="27"/>
      <c r="AM223" s="27"/>
      <c r="AN223" s="48"/>
      <c r="AO223" s="48"/>
      <c r="AP223" s="48"/>
    </row>
    <row r="224">
      <c r="A224" s="16" t="s">
        <v>109</v>
      </c>
      <c r="B224" s="17"/>
      <c r="C224" s="17"/>
      <c r="D224" s="17"/>
      <c r="E224" s="17"/>
      <c r="F224" s="17"/>
      <c r="G224" s="18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</row>
    <row r="225">
      <c r="A225" s="24" t="s">
        <v>110</v>
      </c>
      <c r="B225" s="17"/>
      <c r="C225" s="17"/>
      <c r="D225" s="18"/>
      <c r="E225" s="25">
        <v>0.3</v>
      </c>
      <c r="F225" s="25" t="s">
        <v>21</v>
      </c>
      <c r="G225" s="78">
        <v>108.0</v>
      </c>
      <c r="H225" s="7" t="s">
        <v>22</v>
      </c>
      <c r="I225" s="26"/>
      <c r="J225" s="26"/>
      <c r="K225" s="26"/>
      <c r="L225" s="7"/>
      <c r="M225" s="26"/>
      <c r="N225" s="26"/>
      <c r="O225" s="7"/>
      <c r="P225" s="26"/>
      <c r="Q225" s="26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9">
        <f>G225+SUM(I225:AM225)-SUM(I226:AM226)</f>
        <v>58</v>
      </c>
      <c r="AO225" s="236">
        <f>ROUNDDOWN((AN225/E225)/$H$4,1)</f>
        <v>6.4</v>
      </c>
      <c r="AP225" s="236">
        <f>$M$4+AO225</f>
        <v>998.4</v>
      </c>
    </row>
    <row r="226">
      <c r="A226" s="31"/>
      <c r="B226" s="17"/>
      <c r="C226" s="17"/>
      <c r="D226" s="17"/>
      <c r="E226" s="17"/>
      <c r="F226" s="18"/>
      <c r="G226" s="27"/>
      <c r="H226" s="7" t="s">
        <v>23</v>
      </c>
      <c r="I226" s="7"/>
      <c r="J226" s="26"/>
      <c r="K226" s="7"/>
      <c r="L226" s="26"/>
      <c r="M226" s="26"/>
      <c r="N226" s="26"/>
      <c r="O226" s="26"/>
      <c r="P226" s="26"/>
      <c r="Q226" s="7"/>
      <c r="R226" s="28"/>
      <c r="S226" s="28">
        <v>25.0</v>
      </c>
      <c r="T226" s="27"/>
      <c r="U226" s="27"/>
      <c r="V226" s="28"/>
      <c r="W226" s="27"/>
      <c r="X226" s="27"/>
      <c r="Y226" s="27"/>
      <c r="Z226" s="28"/>
      <c r="AA226" s="28">
        <v>25.0</v>
      </c>
      <c r="AB226" s="28"/>
      <c r="AC226" s="28"/>
      <c r="AD226" s="28"/>
      <c r="AE226" s="27"/>
      <c r="AF226" s="28"/>
      <c r="AG226" s="28"/>
      <c r="AH226" s="27"/>
      <c r="AI226" s="27"/>
      <c r="AJ226" s="27"/>
      <c r="AK226" s="27"/>
      <c r="AL226" s="27"/>
      <c r="AM226" s="27"/>
      <c r="AN226" s="32"/>
      <c r="AO226" s="32"/>
      <c r="AP226" s="32"/>
    </row>
    <row r="227">
      <c r="A227" s="33"/>
      <c r="B227" s="33"/>
      <c r="C227" s="33"/>
      <c r="D227" s="33"/>
      <c r="E227" s="25"/>
      <c r="F227" s="25"/>
      <c r="G227" s="78"/>
      <c r="H227" s="7"/>
      <c r="I227" s="36"/>
      <c r="J227" s="36"/>
      <c r="K227" s="36"/>
      <c r="L227" s="36"/>
      <c r="M227" s="36"/>
      <c r="N227" s="36"/>
      <c r="O227" s="36"/>
      <c r="P227" s="26"/>
      <c r="Q227" s="36"/>
      <c r="R227" s="10"/>
      <c r="S227" s="6"/>
      <c r="T227" s="10"/>
      <c r="U227" s="10"/>
      <c r="V227" s="10"/>
      <c r="W227" s="27"/>
      <c r="X227" s="10"/>
      <c r="Y227" s="10"/>
      <c r="Z227" s="10"/>
      <c r="AA227" s="6"/>
      <c r="AB227" s="10"/>
      <c r="AC227" s="10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39"/>
      <c r="AO227" s="237"/>
      <c r="AP227" s="237"/>
    </row>
    <row r="228">
      <c r="A228" s="24" t="s">
        <v>111</v>
      </c>
      <c r="B228" s="17"/>
      <c r="C228" s="17"/>
      <c r="D228" s="18"/>
      <c r="E228" s="25">
        <v>3.0</v>
      </c>
      <c r="F228" s="25" t="s">
        <v>21</v>
      </c>
      <c r="G228" s="78">
        <v>1870.0</v>
      </c>
      <c r="H228" s="7" t="s">
        <v>22</v>
      </c>
      <c r="I228" s="26"/>
      <c r="J228" s="26"/>
      <c r="K228" s="26"/>
      <c r="L228" s="7">
        <v>1350.0</v>
      </c>
      <c r="M228" s="26"/>
      <c r="N228" s="26"/>
      <c r="O228" s="7"/>
      <c r="P228" s="7"/>
      <c r="Q228" s="26"/>
      <c r="R228" s="27"/>
      <c r="S228" s="27"/>
      <c r="T228" s="27"/>
      <c r="U228" s="27"/>
      <c r="V228" s="27"/>
      <c r="W228" s="27"/>
      <c r="X228" s="28">
        <v>3060.0</v>
      </c>
      <c r="Y228" s="27"/>
      <c r="Z228" s="28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8"/>
      <c r="AN228" s="29">
        <f>G228+SUM(I228:AM228)-SUM(I229:AM229)</f>
        <v>4630</v>
      </c>
      <c r="AO228" s="236">
        <f>ROUNDDOWN((AN228/E228)/$H$4,1)</f>
        <v>51.4</v>
      </c>
      <c r="AP228" s="236">
        <f>$M$4+AO228</f>
        <v>1043.4</v>
      </c>
    </row>
    <row r="229">
      <c r="A229" s="31"/>
      <c r="B229" s="17"/>
      <c r="C229" s="17"/>
      <c r="D229" s="17"/>
      <c r="E229" s="17"/>
      <c r="F229" s="18"/>
      <c r="G229" s="27"/>
      <c r="H229" s="7" t="s">
        <v>23</v>
      </c>
      <c r="I229" s="7"/>
      <c r="J229" s="7">
        <v>100.0</v>
      </c>
      <c r="K229" s="7">
        <v>100.0</v>
      </c>
      <c r="L229" s="7">
        <v>100.0</v>
      </c>
      <c r="M229" s="7">
        <v>100.0</v>
      </c>
      <c r="N229" s="7">
        <v>100.0</v>
      </c>
      <c r="O229" s="7">
        <v>100.0</v>
      </c>
      <c r="P229" s="7"/>
      <c r="Q229" s="7">
        <v>100.0</v>
      </c>
      <c r="R229" s="28">
        <v>75.0</v>
      </c>
      <c r="S229" s="28">
        <v>100.0</v>
      </c>
      <c r="T229" s="28">
        <v>100.0</v>
      </c>
      <c r="U229" s="28">
        <v>75.0</v>
      </c>
      <c r="V229" s="28">
        <f>100+100</f>
        <v>200</v>
      </c>
      <c r="W229" s="28"/>
      <c r="X229" s="28"/>
      <c r="Y229" s="28">
        <v>100.0</v>
      </c>
      <c r="Z229" s="28">
        <v>75.0</v>
      </c>
      <c r="AA229" s="28">
        <v>125.0</v>
      </c>
      <c r="AB229" s="28"/>
      <c r="AC229" s="28"/>
      <c r="AD229" s="28"/>
      <c r="AE229" s="28"/>
      <c r="AF229" s="28"/>
      <c r="AG229" s="28"/>
      <c r="AH229" s="28"/>
      <c r="AI229" s="28"/>
      <c r="AJ229" s="28">
        <v>100.0</v>
      </c>
      <c r="AK229" s="28"/>
      <c r="AL229" s="28"/>
      <c r="AM229" s="28"/>
      <c r="AN229" s="32"/>
      <c r="AO229" s="32"/>
      <c r="AP229" s="32"/>
    </row>
    <row r="230">
      <c r="A230" s="33"/>
      <c r="B230" s="33"/>
      <c r="C230" s="33"/>
      <c r="D230" s="33"/>
      <c r="E230" s="25"/>
      <c r="F230" s="25"/>
      <c r="G230" s="78"/>
      <c r="H230" s="7"/>
      <c r="I230" s="36"/>
      <c r="J230" s="37"/>
      <c r="K230" s="37"/>
      <c r="L230" s="37"/>
      <c r="M230" s="37"/>
      <c r="N230" s="37"/>
      <c r="O230" s="37"/>
      <c r="P230" s="26"/>
      <c r="Q230" s="37"/>
      <c r="R230" s="6"/>
      <c r="S230" s="6"/>
      <c r="T230" s="42"/>
      <c r="U230" s="6"/>
      <c r="V230" s="42"/>
      <c r="W230" s="27"/>
      <c r="X230" s="10"/>
      <c r="Y230" s="6"/>
      <c r="Z230" s="6"/>
      <c r="AA230" s="6"/>
      <c r="AB230" s="10"/>
      <c r="AC230" s="10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39"/>
      <c r="AO230" s="237"/>
      <c r="AP230" s="237"/>
    </row>
    <row r="231">
      <c r="A231" s="24" t="s">
        <v>112</v>
      </c>
      <c r="B231" s="17"/>
      <c r="C231" s="17"/>
      <c r="D231" s="18"/>
      <c r="E231" s="25">
        <v>1.88</v>
      </c>
      <c r="F231" s="25" t="s">
        <v>21</v>
      </c>
      <c r="G231" s="78">
        <v>704.0</v>
      </c>
      <c r="H231" s="7" t="s">
        <v>22</v>
      </c>
      <c r="I231" s="26"/>
      <c r="J231" s="26"/>
      <c r="K231" s="26"/>
      <c r="L231" s="26"/>
      <c r="M231" s="26"/>
      <c r="N231" s="26"/>
      <c r="O231" s="7"/>
      <c r="P231" s="7"/>
      <c r="Q231" s="26"/>
      <c r="R231" s="27"/>
      <c r="S231" s="28">
        <v>510.0</v>
      </c>
      <c r="T231" s="27"/>
      <c r="U231" s="27"/>
      <c r="V231" s="28"/>
      <c r="W231" s="27"/>
      <c r="X231" s="27"/>
      <c r="Y231" s="28"/>
      <c r="Z231" s="27"/>
      <c r="AA231" s="28">
        <v>1020.0</v>
      </c>
      <c r="AB231" s="28"/>
      <c r="AC231" s="28"/>
      <c r="AD231" s="28"/>
      <c r="AE231" s="27"/>
      <c r="AF231" s="27"/>
      <c r="AG231" s="27"/>
      <c r="AH231" s="27"/>
      <c r="AI231" s="27"/>
      <c r="AJ231" s="28"/>
      <c r="AK231" s="27"/>
      <c r="AL231" s="27"/>
      <c r="AM231" s="27"/>
      <c r="AN231" s="29">
        <f>G231+SUM(I231:AM231)-SUM(I232:AM232)</f>
        <v>1609</v>
      </c>
      <c r="AO231" s="236">
        <f>ROUNDDOWN((AN231/E231)/$H$4,1)</f>
        <v>28.5</v>
      </c>
      <c r="AP231" s="236">
        <f>$M$4+AO231</f>
        <v>1020.5</v>
      </c>
    </row>
    <row r="232">
      <c r="A232" s="56"/>
      <c r="B232" s="56"/>
      <c r="C232" s="56"/>
      <c r="D232" s="56"/>
      <c r="E232" s="57"/>
      <c r="F232" s="57"/>
      <c r="G232" s="78"/>
      <c r="H232" s="7" t="s">
        <v>23</v>
      </c>
      <c r="I232" s="7"/>
      <c r="J232" s="7">
        <v>50.0</v>
      </c>
      <c r="K232" s="7">
        <v>25.0</v>
      </c>
      <c r="L232" s="7">
        <v>50.0</v>
      </c>
      <c r="M232" s="7">
        <v>50.0</v>
      </c>
      <c r="N232" s="7">
        <v>50.0</v>
      </c>
      <c r="O232" s="7">
        <v>50.0</v>
      </c>
      <c r="P232" s="7"/>
      <c r="Q232" s="7"/>
      <c r="R232" s="28"/>
      <c r="S232" s="28">
        <v>25.0</v>
      </c>
      <c r="T232" s="28">
        <v>50.0</v>
      </c>
      <c r="U232" s="28">
        <v>50.0</v>
      </c>
      <c r="V232" s="28">
        <f>50+25</f>
        <v>75</v>
      </c>
      <c r="W232" s="28"/>
      <c r="X232" s="28"/>
      <c r="Y232" s="28">
        <v>50.0</v>
      </c>
      <c r="Z232" s="28">
        <v>25.0</v>
      </c>
      <c r="AA232" s="28">
        <v>50.0</v>
      </c>
      <c r="AB232" s="28"/>
      <c r="AC232" s="28"/>
      <c r="AD232" s="28"/>
      <c r="AE232" s="28"/>
      <c r="AF232" s="28"/>
      <c r="AG232" s="28"/>
      <c r="AH232" s="28"/>
      <c r="AI232" s="28"/>
      <c r="AJ232" s="28">
        <v>25.0</v>
      </c>
      <c r="AK232" s="28"/>
      <c r="AL232" s="28"/>
      <c r="AM232" s="28"/>
      <c r="AN232" s="32"/>
      <c r="AO232" s="32"/>
      <c r="AP232" s="32"/>
    </row>
    <row r="233">
      <c r="A233" s="72"/>
      <c r="B233" s="72"/>
      <c r="C233" s="72"/>
      <c r="D233" s="72"/>
      <c r="E233" s="72"/>
      <c r="F233" s="72"/>
      <c r="G233" s="78"/>
      <c r="H233" s="69"/>
      <c r="I233" s="36"/>
      <c r="J233" s="37"/>
      <c r="K233" s="37"/>
      <c r="L233" s="37"/>
      <c r="M233" s="41"/>
      <c r="N233" s="37"/>
      <c r="O233" s="37"/>
      <c r="P233" s="26"/>
      <c r="Q233" s="36"/>
      <c r="R233" s="10"/>
      <c r="S233" s="6"/>
      <c r="T233" s="6"/>
      <c r="U233" s="6"/>
      <c r="V233" s="6"/>
      <c r="W233" s="27"/>
      <c r="X233" s="10"/>
      <c r="Y233" s="6"/>
      <c r="Z233" s="6"/>
      <c r="AA233" s="6"/>
      <c r="AB233" s="10"/>
      <c r="AC233" s="10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48"/>
      <c r="AO233" s="48"/>
      <c r="AP233" s="48"/>
    </row>
    <row r="234">
      <c r="A234" s="73" t="s">
        <v>113</v>
      </c>
      <c r="B234" s="17"/>
      <c r="C234" s="17"/>
      <c r="D234" s="17"/>
      <c r="E234" s="17"/>
      <c r="F234" s="17"/>
      <c r="G234" s="18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</row>
    <row r="235">
      <c r="A235" s="24" t="s">
        <v>114</v>
      </c>
      <c r="B235" s="17"/>
      <c r="C235" s="17"/>
      <c r="D235" s="18"/>
      <c r="E235" s="25">
        <v>0.03</v>
      </c>
      <c r="F235" s="25" t="s">
        <v>21</v>
      </c>
      <c r="G235" s="78">
        <v>13.0</v>
      </c>
      <c r="H235" s="7" t="s">
        <v>22</v>
      </c>
      <c r="I235" s="26"/>
      <c r="J235" s="26"/>
      <c r="K235" s="26"/>
      <c r="L235" s="7"/>
      <c r="M235" s="26"/>
      <c r="N235" s="26"/>
      <c r="O235" s="26"/>
      <c r="P235" s="26"/>
      <c r="Q235" s="26"/>
      <c r="R235" s="27"/>
      <c r="S235" s="28"/>
      <c r="T235" s="27"/>
      <c r="U235" s="27"/>
      <c r="V235" s="28">
        <v>6.0</v>
      </c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9">
        <f>G235+SUM(I235:AM235)-SUM(I236:AM236)</f>
        <v>19</v>
      </c>
      <c r="AO235" s="236">
        <f>ROUNDDOWN((AN235/E235)/$H$4,1)</f>
        <v>21.1</v>
      </c>
      <c r="AP235" s="236">
        <f>$M$4+AO235</f>
        <v>1013.1</v>
      </c>
    </row>
    <row r="236">
      <c r="A236" s="31"/>
      <c r="B236" s="17"/>
      <c r="C236" s="17"/>
      <c r="D236" s="17"/>
      <c r="E236" s="17"/>
      <c r="F236" s="18"/>
      <c r="G236" s="27"/>
      <c r="H236" s="7" t="s">
        <v>23</v>
      </c>
      <c r="I236" s="26"/>
      <c r="J236" s="26"/>
      <c r="K236" s="26"/>
      <c r="L236" s="26"/>
      <c r="M236" s="26"/>
      <c r="N236" s="26"/>
      <c r="O236" s="26"/>
      <c r="P236" s="26"/>
      <c r="Q236" s="26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8"/>
      <c r="AD236" s="27"/>
      <c r="AE236" s="27"/>
      <c r="AF236" s="27"/>
      <c r="AG236" s="27"/>
      <c r="AH236" s="27"/>
      <c r="AI236" s="27"/>
      <c r="AJ236" s="27"/>
      <c r="AK236" s="28"/>
      <c r="AL236" s="27"/>
      <c r="AM236" s="27"/>
      <c r="AN236" s="32"/>
      <c r="AO236" s="32"/>
      <c r="AP236" s="32"/>
    </row>
    <row r="237">
      <c r="A237" s="33"/>
      <c r="B237" s="33"/>
      <c r="C237" s="33"/>
      <c r="D237" s="33"/>
      <c r="E237" s="25"/>
      <c r="F237" s="25"/>
      <c r="G237" s="78"/>
      <c r="H237" s="7"/>
      <c r="I237" s="36"/>
      <c r="J237" s="36"/>
      <c r="K237" s="36"/>
      <c r="L237" s="35"/>
      <c r="M237" s="36"/>
      <c r="N237" s="36"/>
      <c r="O237" s="36"/>
      <c r="P237" s="26"/>
      <c r="Q237" s="36"/>
      <c r="R237" s="10"/>
      <c r="S237" s="10"/>
      <c r="T237" s="10"/>
      <c r="U237" s="10"/>
      <c r="V237" s="10"/>
      <c r="W237" s="27"/>
      <c r="X237" s="10"/>
      <c r="Y237" s="10"/>
      <c r="Z237" s="10"/>
      <c r="AA237" s="10"/>
      <c r="AB237" s="10"/>
      <c r="AC237" s="10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39"/>
      <c r="AO237" s="237"/>
      <c r="AP237" s="237"/>
    </row>
    <row r="238">
      <c r="A238" s="24" t="s">
        <v>115</v>
      </c>
      <c r="B238" s="17"/>
      <c r="C238" s="17"/>
      <c r="D238" s="18"/>
      <c r="E238" s="25">
        <v>0.04</v>
      </c>
      <c r="F238" s="25" t="s">
        <v>21</v>
      </c>
      <c r="G238" s="78">
        <v>20.0</v>
      </c>
      <c r="H238" s="7" t="s">
        <v>22</v>
      </c>
      <c r="I238" s="26"/>
      <c r="J238" s="26"/>
      <c r="K238" s="26"/>
      <c r="L238" s="7"/>
      <c r="M238" s="7"/>
      <c r="N238" s="26"/>
      <c r="O238" s="26"/>
      <c r="P238" s="26"/>
      <c r="Q238" s="26"/>
      <c r="R238" s="27"/>
      <c r="S238" s="28">
        <v>5.0</v>
      </c>
      <c r="T238" s="27"/>
      <c r="U238" s="27"/>
      <c r="V238" s="27"/>
      <c r="W238" s="27"/>
      <c r="X238" s="27"/>
      <c r="Y238" s="28"/>
      <c r="Z238" s="28"/>
      <c r="AA238" s="28">
        <v>30.0</v>
      </c>
      <c r="AB238" s="27"/>
      <c r="AC238" s="27"/>
      <c r="AD238" s="27"/>
      <c r="AE238" s="27"/>
      <c r="AF238" s="27"/>
      <c r="AG238" s="27"/>
      <c r="AH238" s="27"/>
      <c r="AI238" s="27"/>
      <c r="AJ238" s="28"/>
      <c r="AK238" s="27"/>
      <c r="AL238" s="27"/>
      <c r="AM238" s="27"/>
      <c r="AN238" s="29">
        <f>G238+SUM(I238:AM238)-SUM(I239:AM239)</f>
        <v>40</v>
      </c>
      <c r="AO238" s="236">
        <f>ROUNDDOWN((AN238/E238)/$H$4,1)</f>
        <v>33.3</v>
      </c>
      <c r="AP238" s="236">
        <f>$M$4+AO238</f>
        <v>1025.3</v>
      </c>
    </row>
    <row r="239">
      <c r="A239" s="31"/>
      <c r="B239" s="17"/>
      <c r="C239" s="17"/>
      <c r="D239" s="17"/>
      <c r="E239" s="17"/>
      <c r="F239" s="18"/>
      <c r="G239" s="27"/>
      <c r="H239" s="7" t="s">
        <v>23</v>
      </c>
      <c r="I239" s="26"/>
      <c r="J239" s="26"/>
      <c r="K239" s="26"/>
      <c r="L239" s="7"/>
      <c r="M239" s="7"/>
      <c r="N239" s="7"/>
      <c r="O239" s="26"/>
      <c r="P239" s="26"/>
      <c r="Q239" s="7"/>
      <c r="R239" s="27"/>
      <c r="S239" s="28"/>
      <c r="T239" s="28">
        <v>15.0</v>
      </c>
      <c r="U239" s="27"/>
      <c r="V239" s="27"/>
      <c r="W239" s="28"/>
      <c r="X239" s="28"/>
      <c r="Y239" s="27"/>
      <c r="Z239" s="28"/>
      <c r="AA239" s="28"/>
      <c r="AB239" s="28"/>
      <c r="AC239" s="27"/>
      <c r="AD239" s="27"/>
      <c r="AE239" s="28"/>
      <c r="AF239" s="27"/>
      <c r="AG239" s="27"/>
      <c r="AH239" s="28"/>
      <c r="AI239" s="27"/>
      <c r="AJ239" s="28"/>
      <c r="AK239" s="28"/>
      <c r="AL239" s="27"/>
      <c r="AM239" s="27"/>
      <c r="AN239" s="32"/>
      <c r="AO239" s="32"/>
      <c r="AP239" s="32"/>
    </row>
    <row r="240">
      <c r="A240" s="33"/>
      <c r="B240" s="33"/>
      <c r="C240" s="33"/>
      <c r="D240" s="33"/>
      <c r="E240" s="25"/>
      <c r="F240" s="25"/>
      <c r="G240" s="25"/>
      <c r="H240" s="7"/>
      <c r="I240" s="36"/>
      <c r="J240" s="36"/>
      <c r="K240" s="36"/>
      <c r="L240" s="36"/>
      <c r="M240" s="36"/>
      <c r="N240" s="36"/>
      <c r="O240" s="36"/>
      <c r="P240" s="26"/>
      <c r="Q240" s="36"/>
      <c r="R240" s="10"/>
      <c r="S240" s="10"/>
      <c r="T240" s="6"/>
      <c r="U240" s="10"/>
      <c r="V240" s="10"/>
      <c r="W240" s="27"/>
      <c r="X240" s="10"/>
      <c r="Y240" s="10"/>
      <c r="Z240" s="10"/>
      <c r="AA240" s="10"/>
      <c r="AB240" s="10"/>
      <c r="AC240" s="10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39"/>
      <c r="AO240" s="237"/>
      <c r="AP240" s="256"/>
    </row>
    <row r="241">
      <c r="A241" s="24" t="s">
        <v>116</v>
      </c>
      <c r="B241" s="17"/>
      <c r="C241" s="17"/>
      <c r="D241" s="18"/>
      <c r="E241" s="25">
        <v>0.66</v>
      </c>
      <c r="F241" s="25" t="s">
        <v>21</v>
      </c>
      <c r="G241" s="78">
        <v>127.0</v>
      </c>
      <c r="H241" s="7" t="s">
        <v>22</v>
      </c>
      <c r="I241" s="26"/>
      <c r="J241" s="26"/>
      <c r="K241" s="26"/>
      <c r="L241" s="7"/>
      <c r="M241" s="7"/>
      <c r="N241" s="26"/>
      <c r="O241" s="26"/>
      <c r="P241" s="26"/>
      <c r="Q241" s="26"/>
      <c r="R241" s="27"/>
      <c r="S241" s="27"/>
      <c r="T241" s="27"/>
      <c r="U241" s="28">
        <v>168.0</v>
      </c>
      <c r="V241" s="27"/>
      <c r="W241" s="27"/>
      <c r="X241" s="27"/>
      <c r="Y241" s="27"/>
      <c r="Z241" s="27"/>
      <c r="AA241" s="27"/>
      <c r="AB241" s="28">
        <v>100.0</v>
      </c>
      <c r="AC241" s="27"/>
      <c r="AD241" s="28"/>
      <c r="AE241" s="27"/>
      <c r="AF241" s="27"/>
      <c r="AG241" s="27"/>
      <c r="AH241" s="27"/>
      <c r="AI241" s="27"/>
      <c r="AJ241" s="28"/>
      <c r="AK241" s="27"/>
      <c r="AL241" s="27"/>
      <c r="AM241" s="27"/>
      <c r="AN241" s="29">
        <f>G241+SUM(I241:AM241)-SUM(I242:AM242)</f>
        <v>200.7</v>
      </c>
      <c r="AO241" s="236">
        <f>ROUNDDOWN((AN241/E241)/$H$4,1)</f>
        <v>10.1</v>
      </c>
      <c r="AP241" s="257">
        <f>M3+AO241</f>
        <v>1000.1</v>
      </c>
    </row>
    <row r="242">
      <c r="A242" s="31"/>
      <c r="B242" s="17"/>
      <c r="C242" s="17"/>
      <c r="D242" s="17"/>
      <c r="E242" s="17"/>
      <c r="F242" s="18"/>
      <c r="G242" s="27"/>
      <c r="H242" s="7" t="s">
        <v>23</v>
      </c>
      <c r="I242" s="7"/>
      <c r="J242" s="7">
        <f>8+4+4</f>
        <v>16</v>
      </c>
      <c r="K242" s="7">
        <f>4+4+4</f>
        <v>12</v>
      </c>
      <c r="L242" s="7">
        <f>5+4+4</f>
        <v>13</v>
      </c>
      <c r="M242" s="7">
        <f>5+8+8</f>
        <v>21</v>
      </c>
      <c r="N242" s="7">
        <f>8+4</f>
        <v>12</v>
      </c>
      <c r="O242" s="7">
        <f>8</f>
        <v>8</v>
      </c>
      <c r="P242" s="7"/>
      <c r="Q242" s="7">
        <f>5+8+4</f>
        <v>17</v>
      </c>
      <c r="R242" s="28">
        <f>14+4</f>
        <v>18</v>
      </c>
      <c r="S242" s="28">
        <f>5+4</f>
        <v>9</v>
      </c>
      <c r="T242" s="28">
        <v>1.0</v>
      </c>
      <c r="U242" s="28">
        <f>5+5</f>
        <v>10</v>
      </c>
      <c r="V242" s="28">
        <f>2+2.5</f>
        <v>4.5</v>
      </c>
      <c r="W242" s="28"/>
      <c r="X242" s="28">
        <f>2.5+3+2.3</f>
        <v>7.8</v>
      </c>
      <c r="Y242" s="28">
        <f>5+2.5+3</f>
        <v>10.5</v>
      </c>
      <c r="Z242" s="28">
        <f>5+5+1</f>
        <v>11</v>
      </c>
      <c r="AA242" s="28">
        <v>5.0</v>
      </c>
      <c r="AB242" s="28">
        <f>1+2.5</f>
        <v>3.5</v>
      </c>
      <c r="AC242" s="28"/>
      <c r="AD242" s="28"/>
      <c r="AE242" s="28"/>
      <c r="AF242" s="28"/>
      <c r="AG242" s="28"/>
      <c r="AH242" s="28">
        <f>5+5</f>
        <v>10</v>
      </c>
      <c r="AI242" s="28"/>
      <c r="AJ242" s="28">
        <v>5.0</v>
      </c>
      <c r="AK242" s="28"/>
      <c r="AL242" s="28"/>
      <c r="AM242" s="28"/>
      <c r="AN242" s="32"/>
      <c r="AO242" s="32"/>
      <c r="AP242" s="32"/>
    </row>
    <row r="243">
      <c r="A243" s="33"/>
      <c r="B243" s="33"/>
      <c r="C243" s="33"/>
      <c r="D243" s="33"/>
      <c r="E243" s="25"/>
      <c r="F243" s="25"/>
      <c r="G243" s="25"/>
      <c r="H243" s="7"/>
      <c r="I243" s="35"/>
      <c r="J243" s="37"/>
      <c r="K243" s="41"/>
      <c r="L243" s="37"/>
      <c r="M243" s="37"/>
      <c r="N243" s="41"/>
      <c r="O243" s="37"/>
      <c r="P243" s="26"/>
      <c r="Q243" s="37"/>
      <c r="R243" s="42"/>
      <c r="S243" s="6"/>
      <c r="T243" s="42"/>
      <c r="U243" s="42"/>
      <c r="V243" s="42"/>
      <c r="W243" s="27"/>
      <c r="X243" s="6"/>
      <c r="Y243" s="6"/>
      <c r="Z243" s="42"/>
      <c r="AA243" s="6"/>
      <c r="AB243" s="6"/>
      <c r="AC243" s="10"/>
      <c r="AD243" s="27"/>
      <c r="AE243" s="28"/>
      <c r="AF243" s="27"/>
      <c r="AG243" s="27"/>
      <c r="AH243" s="28"/>
      <c r="AI243" s="28"/>
      <c r="AJ243" s="28"/>
      <c r="AK243" s="27"/>
      <c r="AL243" s="27"/>
      <c r="AM243" s="27"/>
      <c r="AN243" s="39"/>
      <c r="AO243" s="237"/>
      <c r="AP243" s="256"/>
    </row>
    <row r="244">
      <c r="A244" s="24" t="s">
        <v>117</v>
      </c>
      <c r="B244" s="17"/>
      <c r="C244" s="17"/>
      <c r="D244" s="18"/>
      <c r="E244" s="25">
        <v>0.17</v>
      </c>
      <c r="F244" s="25" t="s">
        <v>167</v>
      </c>
      <c r="G244" s="78">
        <v>52.4</v>
      </c>
      <c r="H244" s="7" t="s">
        <v>22</v>
      </c>
      <c r="I244" s="7"/>
      <c r="J244" s="26"/>
      <c r="K244" s="7"/>
      <c r="L244" s="7"/>
      <c r="M244" s="26"/>
      <c r="N244" s="7"/>
      <c r="O244" s="26"/>
      <c r="P244" s="26"/>
      <c r="Q244" s="26"/>
      <c r="R244" s="28"/>
      <c r="S244" s="27"/>
      <c r="T244" s="28"/>
      <c r="U244" s="28">
        <v>41.0</v>
      </c>
      <c r="V244" s="27"/>
      <c r="W244" s="27"/>
      <c r="X244" s="27"/>
      <c r="Y244" s="27"/>
      <c r="Z244" s="28"/>
      <c r="AA244" s="27"/>
      <c r="AB244" s="28">
        <f>82+26</f>
        <v>108</v>
      </c>
      <c r="AC244" s="27"/>
      <c r="AD244" s="28"/>
      <c r="AE244" s="28"/>
      <c r="AF244" s="27"/>
      <c r="AG244" s="27"/>
      <c r="AH244" s="28"/>
      <c r="AI244" s="28"/>
      <c r="AJ244" s="28"/>
      <c r="AK244" s="28"/>
      <c r="AL244" s="27"/>
      <c r="AM244" s="27"/>
      <c r="AN244" s="29">
        <f>G244+SUM(I244:AM244)-SUM(I245:AM245)</f>
        <v>187.9</v>
      </c>
      <c r="AO244" s="236">
        <f>ROUNDDOWN((AN244/E244)/$H$4,1)</f>
        <v>36.8</v>
      </c>
      <c r="AP244" s="257">
        <f>$M$4+AO244</f>
        <v>1028.8</v>
      </c>
    </row>
    <row r="245">
      <c r="A245" s="31"/>
      <c r="B245" s="17"/>
      <c r="C245" s="17"/>
      <c r="D245" s="17"/>
      <c r="E245" s="17"/>
      <c r="F245" s="18"/>
      <c r="G245" s="27"/>
      <c r="H245" s="7" t="s">
        <v>23</v>
      </c>
      <c r="I245" s="7"/>
      <c r="J245" s="26"/>
      <c r="K245" s="7"/>
      <c r="L245" s="7"/>
      <c r="M245" s="26"/>
      <c r="N245" s="7">
        <v>1.5</v>
      </c>
      <c r="O245" s="7">
        <v>2.0</v>
      </c>
      <c r="P245" s="7"/>
      <c r="Q245" s="26"/>
      <c r="R245" s="28">
        <v>2.0</v>
      </c>
      <c r="S245" s="28"/>
      <c r="T245" s="28">
        <f>3+2.5</f>
        <v>5.5</v>
      </c>
      <c r="U245" s="28"/>
      <c r="V245" s="28"/>
      <c r="W245" s="28"/>
      <c r="X245" s="28"/>
      <c r="Y245" s="28"/>
      <c r="Z245" s="28">
        <v>2.5</v>
      </c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32"/>
      <c r="AO245" s="32"/>
      <c r="AP245" s="32"/>
    </row>
    <row r="246">
      <c r="A246" s="33"/>
      <c r="B246" s="33"/>
      <c r="C246" s="33"/>
      <c r="D246" s="33"/>
      <c r="E246" s="25"/>
      <c r="F246" s="25"/>
      <c r="G246" s="25"/>
      <c r="H246" s="7"/>
      <c r="I246" s="35"/>
      <c r="J246" s="36"/>
      <c r="K246" s="35"/>
      <c r="L246" s="36"/>
      <c r="M246" s="36"/>
      <c r="N246" s="41"/>
      <c r="O246" s="37"/>
      <c r="P246" s="26"/>
      <c r="Q246" s="36"/>
      <c r="R246" s="42"/>
      <c r="S246" s="10"/>
      <c r="T246" s="42"/>
      <c r="U246" s="38"/>
      <c r="V246" s="10"/>
      <c r="W246" s="27"/>
      <c r="X246" s="10"/>
      <c r="Y246" s="10"/>
      <c r="Z246" s="42"/>
      <c r="AA246" s="10"/>
      <c r="AB246" s="10"/>
      <c r="AC246" s="10"/>
      <c r="AD246" s="27"/>
      <c r="AE246" s="28"/>
      <c r="AF246" s="27"/>
      <c r="AG246" s="27"/>
      <c r="AH246" s="28"/>
      <c r="AI246" s="28"/>
      <c r="AJ246" s="27"/>
      <c r="AK246" s="28"/>
      <c r="AL246" s="27"/>
      <c r="AM246" s="27"/>
      <c r="AN246" s="39"/>
      <c r="AO246" s="237"/>
      <c r="AP246" s="237"/>
    </row>
    <row r="247" hidden="1">
      <c r="A247" s="24" t="s">
        <v>118</v>
      </c>
      <c r="B247" s="17"/>
      <c r="C247" s="17"/>
      <c r="D247" s="18"/>
      <c r="E247" s="25">
        <v>8.0</v>
      </c>
      <c r="F247" s="25" t="s">
        <v>21</v>
      </c>
      <c r="G247" s="27"/>
      <c r="H247" s="7" t="s">
        <v>22</v>
      </c>
      <c r="I247" s="7"/>
      <c r="J247" s="26"/>
      <c r="K247" s="7"/>
      <c r="L247" s="26"/>
      <c r="M247" s="26"/>
      <c r="N247" s="7"/>
      <c r="O247" s="26"/>
      <c r="P247" s="7"/>
      <c r="Q247" s="7"/>
      <c r="R247" s="28"/>
      <c r="S247" s="27"/>
      <c r="T247" s="28"/>
      <c r="U247" s="28"/>
      <c r="V247" s="27"/>
      <c r="W247" s="27"/>
      <c r="X247" s="27"/>
      <c r="Y247" s="27"/>
      <c r="Z247" s="28"/>
      <c r="AA247" s="27"/>
      <c r="AB247" s="27"/>
      <c r="AC247" s="27"/>
      <c r="AD247" s="27"/>
      <c r="AE247" s="28"/>
      <c r="AF247" s="27"/>
      <c r="AG247" s="28"/>
      <c r="AH247" s="28"/>
      <c r="AI247" s="28"/>
      <c r="AJ247" s="27"/>
      <c r="AK247" s="28"/>
      <c r="AL247" s="27"/>
      <c r="AM247" s="27"/>
      <c r="AN247" s="29">
        <f>G247+SUM(I247:AM247)-SUM(I248:AM248)</f>
        <v>0</v>
      </c>
      <c r="AO247" s="236"/>
      <c r="AP247" s="236"/>
    </row>
    <row r="248" hidden="1">
      <c r="A248" s="31"/>
      <c r="B248" s="17"/>
      <c r="C248" s="17"/>
      <c r="D248" s="17"/>
      <c r="E248" s="17"/>
      <c r="F248" s="18"/>
      <c r="G248" s="27"/>
      <c r="H248" s="7" t="s">
        <v>23</v>
      </c>
      <c r="I248" s="7"/>
      <c r="J248" s="26"/>
      <c r="K248" s="7"/>
      <c r="L248" s="26"/>
      <c r="M248" s="26"/>
      <c r="N248" s="7"/>
      <c r="O248" s="26"/>
      <c r="P248" s="7"/>
      <c r="Q248" s="7"/>
      <c r="R248" s="28"/>
      <c r="S248" s="27"/>
      <c r="T248" s="28"/>
      <c r="U248" s="28"/>
      <c r="V248" s="27"/>
      <c r="W248" s="27"/>
      <c r="X248" s="27"/>
      <c r="Y248" s="27"/>
      <c r="Z248" s="28"/>
      <c r="AA248" s="27"/>
      <c r="AB248" s="27"/>
      <c r="AC248" s="27"/>
      <c r="AD248" s="27"/>
      <c r="AE248" s="28"/>
      <c r="AF248" s="27"/>
      <c r="AG248" s="28"/>
      <c r="AH248" s="28"/>
      <c r="AI248" s="28"/>
      <c r="AJ248" s="27"/>
      <c r="AK248" s="28"/>
      <c r="AL248" s="27"/>
      <c r="AM248" s="27"/>
      <c r="AN248" s="32"/>
      <c r="AO248" s="32"/>
      <c r="AP248" s="32"/>
    </row>
    <row r="249" hidden="1">
      <c r="A249" s="33"/>
      <c r="B249" s="33"/>
      <c r="C249" s="33"/>
      <c r="D249" s="33"/>
      <c r="E249" s="25"/>
      <c r="F249" s="25"/>
      <c r="G249" s="25"/>
      <c r="H249" s="7"/>
      <c r="I249" s="28"/>
      <c r="J249" s="28"/>
      <c r="K249" s="28"/>
      <c r="L249" s="7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7"/>
      <c r="AK249" s="28"/>
      <c r="AL249" s="27"/>
      <c r="AM249" s="27"/>
      <c r="AN249" s="39"/>
      <c r="AO249" s="237"/>
      <c r="AP249" s="237"/>
    </row>
    <row r="250">
      <c r="A250" s="24" t="s">
        <v>119</v>
      </c>
      <c r="B250" s="17"/>
      <c r="C250" s="17"/>
      <c r="D250" s="18"/>
      <c r="E250" s="25">
        <v>1.0</v>
      </c>
      <c r="F250" s="25" t="s">
        <v>21</v>
      </c>
      <c r="G250" s="27"/>
      <c r="H250" s="7" t="s">
        <v>22</v>
      </c>
      <c r="I250" s="28"/>
      <c r="J250" s="28">
        <v>15.0</v>
      </c>
      <c r="K250" s="28"/>
      <c r="L250" s="7"/>
      <c r="M250" s="28"/>
      <c r="N250" s="28"/>
      <c r="O250" s="28">
        <v>15.0</v>
      </c>
      <c r="P250" s="28"/>
      <c r="Q250" s="28">
        <v>15.0</v>
      </c>
      <c r="R250" s="28"/>
      <c r="S250" s="28">
        <v>15.0</v>
      </c>
      <c r="T250" s="28"/>
      <c r="U250" s="28">
        <v>15.0</v>
      </c>
      <c r="V250" s="28"/>
      <c r="W250" s="28"/>
      <c r="X250" s="28"/>
      <c r="Y250" s="28"/>
      <c r="Z250" s="28">
        <v>15.0</v>
      </c>
      <c r="AA250" s="28"/>
      <c r="AB250" s="28"/>
      <c r="AC250" s="28">
        <v>15.0</v>
      </c>
      <c r="AD250" s="28"/>
      <c r="AE250" s="28"/>
      <c r="AF250" s="28"/>
      <c r="AG250" s="28"/>
      <c r="AH250" s="28"/>
      <c r="AI250" s="28"/>
      <c r="AJ250" s="28"/>
      <c r="AK250" s="28"/>
      <c r="AL250" s="27"/>
      <c r="AM250" s="28"/>
      <c r="AN250" s="29">
        <f>G250+SUM(I250:AM250)-SUM(I251:AM251)</f>
        <v>0</v>
      </c>
      <c r="AO250" s="236"/>
      <c r="AP250" s="236"/>
    </row>
    <row r="251">
      <c r="A251" s="31"/>
      <c r="B251" s="17"/>
      <c r="C251" s="17"/>
      <c r="D251" s="17"/>
      <c r="E251" s="17"/>
      <c r="F251" s="18"/>
      <c r="G251" s="27"/>
      <c r="H251" s="7" t="s">
        <v>23</v>
      </c>
      <c r="I251" s="28"/>
      <c r="J251" s="28">
        <v>15.0</v>
      </c>
      <c r="K251" s="28"/>
      <c r="L251" s="7"/>
      <c r="M251" s="28"/>
      <c r="N251" s="28"/>
      <c r="O251" s="28">
        <v>15.0</v>
      </c>
      <c r="P251" s="28"/>
      <c r="Q251" s="28">
        <v>15.0</v>
      </c>
      <c r="R251" s="28"/>
      <c r="S251" s="28">
        <v>15.0</v>
      </c>
      <c r="T251" s="28"/>
      <c r="U251" s="28">
        <v>15.0</v>
      </c>
      <c r="V251" s="28"/>
      <c r="W251" s="28"/>
      <c r="X251" s="28"/>
      <c r="Y251" s="28"/>
      <c r="Z251" s="28">
        <v>15.0</v>
      </c>
      <c r="AA251" s="28"/>
      <c r="AB251" s="28"/>
      <c r="AC251" s="28">
        <v>15.0</v>
      </c>
      <c r="AD251" s="28"/>
      <c r="AE251" s="28"/>
      <c r="AF251" s="28"/>
      <c r="AG251" s="28"/>
      <c r="AH251" s="28"/>
      <c r="AI251" s="28"/>
      <c r="AJ251" s="28"/>
      <c r="AK251" s="28"/>
      <c r="AL251" s="27"/>
      <c r="AM251" s="28"/>
      <c r="AN251" s="32"/>
      <c r="AO251" s="32"/>
      <c r="AP251" s="32"/>
    </row>
    <row r="252">
      <c r="A252" s="33"/>
      <c r="B252" s="33"/>
      <c r="C252" s="33"/>
      <c r="D252" s="33"/>
      <c r="E252" s="25"/>
      <c r="F252" s="25"/>
      <c r="G252" s="25"/>
      <c r="H252" s="7"/>
      <c r="I252" s="38"/>
      <c r="J252" s="42"/>
      <c r="K252" s="38"/>
      <c r="L252" s="35"/>
      <c r="M252" s="38"/>
      <c r="N252" s="38"/>
      <c r="O252" s="42"/>
      <c r="P252" s="28"/>
      <c r="Q252" s="42"/>
      <c r="R252" s="38"/>
      <c r="S252" s="42"/>
      <c r="T252" s="38"/>
      <c r="U252" s="42"/>
      <c r="V252" s="38"/>
      <c r="W252" s="28"/>
      <c r="X252" s="258"/>
      <c r="Y252" s="38"/>
      <c r="Z252" s="42"/>
      <c r="AA252" s="38"/>
      <c r="AB252" s="38"/>
      <c r="AC252" s="42"/>
      <c r="AD252" s="28"/>
      <c r="AE252" s="28"/>
      <c r="AF252" s="28"/>
      <c r="AG252" s="28"/>
      <c r="AH252" s="28"/>
      <c r="AI252" s="28"/>
      <c r="AJ252" s="27"/>
      <c r="AK252" s="28"/>
      <c r="AL252" s="27"/>
      <c r="AM252" s="27"/>
      <c r="AN252" s="39"/>
      <c r="AO252" s="237"/>
      <c r="AP252" s="237"/>
    </row>
    <row r="253">
      <c r="A253" s="24" t="s">
        <v>120</v>
      </c>
      <c r="B253" s="17"/>
      <c r="C253" s="17"/>
      <c r="D253" s="18"/>
      <c r="E253" s="25">
        <v>1.0</v>
      </c>
      <c r="F253" s="25" t="s">
        <v>21</v>
      </c>
      <c r="G253" s="27"/>
      <c r="H253" s="7" t="s">
        <v>22</v>
      </c>
      <c r="I253" s="28"/>
      <c r="J253" s="28">
        <v>30.0</v>
      </c>
      <c r="K253" s="28">
        <v>30.0</v>
      </c>
      <c r="L253" s="7">
        <f t="shared" ref="L253:L254" si="6">30+15</f>
        <v>45</v>
      </c>
      <c r="M253" s="28">
        <v>30.0</v>
      </c>
      <c r="N253" s="28">
        <v>30.0</v>
      </c>
      <c r="O253" s="28">
        <f t="shared" ref="O253:O254" si="7">30+15</f>
        <v>45</v>
      </c>
      <c r="P253" s="28"/>
      <c r="Q253" s="28">
        <v>30.0</v>
      </c>
      <c r="R253" s="28">
        <v>30.0</v>
      </c>
      <c r="S253" s="28">
        <v>30.0</v>
      </c>
      <c r="T253" s="28">
        <v>30.0</v>
      </c>
      <c r="U253" s="275">
        <v>30.0</v>
      </c>
      <c r="V253" s="28">
        <v>30.0</v>
      </c>
      <c r="W253" s="97"/>
      <c r="X253" s="28">
        <f t="shared" ref="X253:X254" si="8">15+30</f>
        <v>45</v>
      </c>
      <c r="Y253" s="28">
        <v>30.0</v>
      </c>
      <c r="Z253" s="28">
        <v>30.0</v>
      </c>
      <c r="AA253" s="28">
        <v>30.0</v>
      </c>
      <c r="AB253" s="28">
        <v>30.0</v>
      </c>
      <c r="AC253" s="28">
        <v>30.0</v>
      </c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9">
        <f>G253+SUM(I253:AL253)-SUM(I254:AL254)</f>
        <v>0</v>
      </c>
      <c r="AO253" s="236"/>
      <c r="AP253" s="236"/>
    </row>
    <row r="254">
      <c r="A254" s="31"/>
      <c r="B254" s="17"/>
      <c r="C254" s="17"/>
      <c r="D254" s="17"/>
      <c r="E254" s="17"/>
      <c r="F254" s="18"/>
      <c r="G254" s="27"/>
      <c r="H254" s="7" t="s">
        <v>23</v>
      </c>
      <c r="I254" s="28"/>
      <c r="J254" s="28">
        <v>30.0</v>
      </c>
      <c r="K254" s="28">
        <v>30.0</v>
      </c>
      <c r="L254" s="7">
        <f t="shared" si="6"/>
        <v>45</v>
      </c>
      <c r="M254" s="28">
        <v>30.0</v>
      </c>
      <c r="N254" s="28">
        <v>30.0</v>
      </c>
      <c r="O254" s="28">
        <f t="shared" si="7"/>
        <v>45</v>
      </c>
      <c r="P254" s="28"/>
      <c r="Q254" s="28">
        <v>30.0</v>
      </c>
      <c r="R254" s="28">
        <v>30.0</v>
      </c>
      <c r="S254" s="28">
        <v>30.0</v>
      </c>
      <c r="T254" s="28">
        <v>30.0</v>
      </c>
      <c r="U254" s="275">
        <v>30.0</v>
      </c>
      <c r="V254" s="28">
        <v>30.0</v>
      </c>
      <c r="W254" s="97"/>
      <c r="X254" s="28">
        <f t="shared" si="8"/>
        <v>45</v>
      </c>
      <c r="Y254" s="28">
        <v>30.0</v>
      </c>
      <c r="Z254" s="28">
        <v>30.0</v>
      </c>
      <c r="AA254" s="28">
        <v>30.0</v>
      </c>
      <c r="AB254" s="28">
        <v>30.0</v>
      </c>
      <c r="AC254" s="28">
        <v>30.0</v>
      </c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32"/>
      <c r="AO254" s="32"/>
      <c r="AP254" s="32"/>
    </row>
    <row r="255">
      <c r="A255" s="33"/>
      <c r="B255" s="33"/>
      <c r="C255" s="33"/>
      <c r="D255" s="33"/>
      <c r="E255" s="25"/>
      <c r="F255" s="25"/>
      <c r="G255" s="25"/>
      <c r="H255" s="7"/>
      <c r="I255" s="35"/>
      <c r="J255" s="41"/>
      <c r="K255" s="41"/>
      <c r="L255" s="41"/>
      <c r="M255" s="41"/>
      <c r="N255" s="41"/>
      <c r="O255" s="41"/>
      <c r="P255" s="7"/>
      <c r="Q255" s="41"/>
      <c r="R255" s="41"/>
      <c r="S255" s="41"/>
      <c r="T255" s="41"/>
      <c r="U255" s="41"/>
      <c r="V255" s="41"/>
      <c r="W255" s="7"/>
      <c r="X255" s="41"/>
      <c r="Y255" s="41"/>
      <c r="Z255" s="41"/>
      <c r="AA255" s="41"/>
      <c r="AB255" s="41"/>
      <c r="AC255" s="41"/>
      <c r="AD255" s="7"/>
      <c r="AE255" s="7"/>
      <c r="AF255" s="7"/>
      <c r="AG255" s="7"/>
      <c r="AH255" s="28"/>
      <c r="AI255" s="28"/>
      <c r="AJ255" s="27"/>
      <c r="AK255" s="28"/>
      <c r="AL255" s="271"/>
      <c r="AM255" s="27"/>
      <c r="AN255" s="39"/>
      <c r="AO255" s="237"/>
      <c r="AP255" s="237"/>
    </row>
    <row r="256" hidden="1">
      <c r="A256" s="260" t="s">
        <v>183</v>
      </c>
      <c r="B256" s="261"/>
      <c r="C256" s="261"/>
      <c r="D256" s="261"/>
      <c r="E256" s="85"/>
      <c r="F256" s="86" t="s">
        <v>21</v>
      </c>
      <c r="G256" s="87"/>
      <c r="H256" s="88" t="s">
        <v>22</v>
      </c>
      <c r="I256" s="85"/>
      <c r="J256" s="85"/>
      <c r="K256" s="88"/>
      <c r="L256" s="247"/>
      <c r="M256" s="85"/>
      <c r="N256" s="88"/>
      <c r="O256" s="88"/>
      <c r="P256" s="88"/>
      <c r="Q256" s="85"/>
      <c r="R256" s="89"/>
      <c r="S256" s="89"/>
      <c r="T256" s="85"/>
      <c r="U256" s="89"/>
      <c r="V256" s="89"/>
      <c r="W256" s="89"/>
      <c r="X256" s="85"/>
      <c r="Y256" s="85"/>
      <c r="Z256" s="89"/>
      <c r="AA256" s="85"/>
      <c r="AB256" s="85"/>
      <c r="AC256" s="85"/>
      <c r="AD256" s="89"/>
      <c r="AE256" s="85"/>
      <c r="AF256" s="90"/>
      <c r="AG256" s="90"/>
      <c r="AH256" s="90"/>
      <c r="AI256" s="90"/>
      <c r="AJ256" s="90"/>
      <c r="AK256" s="89"/>
      <c r="AL256" s="85"/>
      <c r="AM256" s="85"/>
      <c r="AN256" s="91">
        <f>G256+SUM(I256:AL256)-SUM(I257:AL257)</f>
        <v>0</v>
      </c>
      <c r="AO256" s="91"/>
      <c r="AP256" s="237"/>
    </row>
    <row r="257" hidden="1">
      <c r="A257" s="92"/>
      <c r="B257" s="17"/>
      <c r="C257" s="17"/>
      <c r="D257" s="17"/>
      <c r="E257" s="17"/>
      <c r="F257" s="18"/>
      <c r="G257" s="87"/>
      <c r="H257" s="88" t="s">
        <v>23</v>
      </c>
      <c r="I257" s="85"/>
      <c r="J257" s="85"/>
      <c r="K257" s="88"/>
      <c r="L257" s="247"/>
      <c r="M257" s="85"/>
      <c r="N257" s="88"/>
      <c r="O257" s="88"/>
      <c r="P257" s="88"/>
      <c r="Q257" s="85"/>
      <c r="R257" s="89"/>
      <c r="S257" s="89"/>
      <c r="T257" s="85"/>
      <c r="U257" s="89"/>
      <c r="V257" s="89"/>
      <c r="W257" s="89"/>
      <c r="X257" s="85"/>
      <c r="Y257" s="85"/>
      <c r="Z257" s="89"/>
      <c r="AA257" s="85"/>
      <c r="AB257" s="85"/>
      <c r="AC257" s="85"/>
      <c r="AD257" s="89"/>
      <c r="AE257" s="85"/>
      <c r="AF257" s="90"/>
      <c r="AG257" s="90"/>
      <c r="AH257" s="90"/>
      <c r="AI257" s="90"/>
      <c r="AJ257" s="90"/>
      <c r="AK257" s="89"/>
      <c r="AL257" s="85"/>
      <c r="AM257" s="85"/>
      <c r="AN257" s="32"/>
      <c r="AO257" s="32"/>
      <c r="AP257" s="237"/>
    </row>
    <row r="258" hidden="1">
      <c r="A258" s="87"/>
      <c r="B258" s="87"/>
      <c r="C258" s="87"/>
      <c r="D258" s="87"/>
      <c r="E258" s="85"/>
      <c r="F258" s="87"/>
      <c r="G258" s="87"/>
      <c r="H258" s="87"/>
      <c r="I258" s="85"/>
      <c r="J258" s="85"/>
      <c r="K258" s="87"/>
      <c r="L258" s="247"/>
      <c r="M258" s="85"/>
      <c r="N258" s="87"/>
      <c r="O258" s="87"/>
      <c r="P258" s="87"/>
      <c r="Q258" s="85"/>
      <c r="R258" s="87"/>
      <c r="S258" s="87"/>
      <c r="T258" s="85"/>
      <c r="U258" s="87"/>
      <c r="V258" s="87"/>
      <c r="W258" s="87"/>
      <c r="X258" s="85"/>
      <c r="Y258" s="85"/>
      <c r="Z258" s="87"/>
      <c r="AA258" s="85"/>
      <c r="AB258" s="85"/>
      <c r="AC258" s="85"/>
      <c r="AD258" s="87"/>
      <c r="AE258" s="85"/>
      <c r="AF258" s="85"/>
      <c r="AG258" s="85"/>
      <c r="AH258" s="85"/>
      <c r="AI258" s="85"/>
      <c r="AJ258" s="85"/>
      <c r="AK258" s="87"/>
      <c r="AL258" s="85"/>
      <c r="AM258" s="85"/>
      <c r="AN258" s="85"/>
      <c r="AO258" s="87"/>
      <c r="AP258" s="237"/>
    </row>
    <row r="259" hidden="1">
      <c r="A259" s="260" t="s">
        <v>122</v>
      </c>
      <c r="B259" s="261"/>
      <c r="C259" s="261"/>
      <c r="D259" s="261"/>
      <c r="E259" s="85"/>
      <c r="F259" s="86" t="s">
        <v>21</v>
      </c>
      <c r="G259" s="87"/>
      <c r="H259" s="88" t="s">
        <v>22</v>
      </c>
      <c r="I259" s="85"/>
      <c r="J259" s="85"/>
      <c r="K259" s="88"/>
      <c r="L259" s="247"/>
      <c r="M259" s="85"/>
      <c r="N259" s="88"/>
      <c r="O259" s="88"/>
      <c r="P259" s="88"/>
      <c r="Q259" s="85"/>
      <c r="R259" s="89"/>
      <c r="S259" s="89"/>
      <c r="T259" s="85"/>
      <c r="U259" s="89"/>
      <c r="V259" s="89"/>
      <c r="W259" s="89"/>
      <c r="X259" s="85"/>
      <c r="Y259" s="85"/>
      <c r="Z259" s="89"/>
      <c r="AA259" s="85"/>
      <c r="AB259" s="85"/>
      <c r="AC259" s="85"/>
      <c r="AD259" s="89"/>
      <c r="AE259" s="85"/>
      <c r="AF259" s="90"/>
      <c r="AG259" s="90"/>
      <c r="AH259" s="90"/>
      <c r="AI259" s="90"/>
      <c r="AJ259" s="90"/>
      <c r="AK259" s="89"/>
      <c r="AL259" s="85"/>
      <c r="AM259" s="85"/>
      <c r="AN259" s="91">
        <f>G259+SUM(I259:AL259)-SUM(I260:AL260)</f>
        <v>0</v>
      </c>
      <c r="AO259" s="91"/>
      <c r="AP259" s="237"/>
    </row>
    <row r="260" hidden="1">
      <c r="A260" s="92"/>
      <c r="B260" s="17"/>
      <c r="C260" s="17"/>
      <c r="D260" s="17"/>
      <c r="E260" s="17"/>
      <c r="F260" s="18"/>
      <c r="G260" s="87"/>
      <c r="H260" s="88" t="s">
        <v>23</v>
      </c>
      <c r="I260" s="85"/>
      <c r="J260" s="85"/>
      <c r="K260" s="88"/>
      <c r="L260" s="247"/>
      <c r="M260" s="85"/>
      <c r="N260" s="88"/>
      <c r="O260" s="88"/>
      <c r="P260" s="88"/>
      <c r="Q260" s="85"/>
      <c r="R260" s="89"/>
      <c r="S260" s="89"/>
      <c r="T260" s="85"/>
      <c r="U260" s="89"/>
      <c r="V260" s="89"/>
      <c r="W260" s="89"/>
      <c r="X260" s="85"/>
      <c r="Y260" s="85"/>
      <c r="Z260" s="89"/>
      <c r="AA260" s="85"/>
      <c r="AB260" s="85"/>
      <c r="AC260" s="85"/>
      <c r="AD260" s="89"/>
      <c r="AE260" s="85"/>
      <c r="AF260" s="90"/>
      <c r="AG260" s="90"/>
      <c r="AH260" s="90"/>
      <c r="AI260" s="90"/>
      <c r="AJ260" s="90"/>
      <c r="AK260" s="89"/>
      <c r="AL260" s="85"/>
      <c r="AM260" s="85"/>
      <c r="AN260" s="32"/>
      <c r="AO260" s="32"/>
      <c r="AP260" s="237"/>
    </row>
    <row r="261" hidden="1">
      <c r="A261" s="87"/>
      <c r="B261" s="87"/>
      <c r="C261" s="87"/>
      <c r="D261" s="87"/>
      <c r="E261" s="85"/>
      <c r="F261" s="87"/>
      <c r="G261" s="87"/>
      <c r="H261" s="87"/>
      <c r="I261" s="85"/>
      <c r="J261" s="85"/>
      <c r="K261" s="87"/>
      <c r="L261" s="247"/>
      <c r="M261" s="85"/>
      <c r="N261" s="87"/>
      <c r="O261" s="87"/>
      <c r="P261" s="87"/>
      <c r="Q261" s="85"/>
      <c r="R261" s="87"/>
      <c r="S261" s="87"/>
      <c r="T261" s="85"/>
      <c r="U261" s="87"/>
      <c r="V261" s="87"/>
      <c r="W261" s="87"/>
      <c r="X261" s="85"/>
      <c r="Y261" s="85"/>
      <c r="Z261" s="87"/>
      <c r="AA261" s="85"/>
      <c r="AB261" s="85"/>
      <c r="AC261" s="85"/>
      <c r="AD261" s="87"/>
      <c r="AE261" s="85"/>
      <c r="AF261" s="85"/>
      <c r="AG261" s="85"/>
      <c r="AH261" s="85"/>
      <c r="AI261" s="85"/>
      <c r="AJ261" s="85"/>
      <c r="AK261" s="87"/>
      <c r="AL261" s="85"/>
      <c r="AM261" s="85"/>
      <c r="AN261" s="85"/>
      <c r="AO261" s="87"/>
      <c r="AP261" s="237"/>
    </row>
    <row r="262" hidden="1">
      <c r="A262" s="262" t="s">
        <v>123</v>
      </c>
      <c r="B262" s="87"/>
      <c r="C262" s="87"/>
      <c r="D262" s="87"/>
      <c r="E262" s="85"/>
      <c r="F262" s="86" t="s">
        <v>21</v>
      </c>
      <c r="G262" s="87"/>
      <c r="H262" s="88" t="s">
        <v>22</v>
      </c>
      <c r="I262" s="85"/>
      <c r="J262" s="85"/>
      <c r="K262" s="87"/>
      <c r="L262" s="247"/>
      <c r="M262" s="85"/>
      <c r="N262" s="87"/>
      <c r="O262" s="87"/>
      <c r="P262" s="87"/>
      <c r="Q262" s="85"/>
      <c r="R262" s="87"/>
      <c r="S262" s="87"/>
      <c r="T262" s="85"/>
      <c r="U262" s="87"/>
      <c r="V262" s="87"/>
      <c r="W262" s="87"/>
      <c r="X262" s="85"/>
      <c r="Y262" s="85"/>
      <c r="Z262" s="87"/>
      <c r="AA262" s="85"/>
      <c r="AB262" s="85"/>
      <c r="AC262" s="85"/>
      <c r="AD262" s="87"/>
      <c r="AE262" s="85"/>
      <c r="AF262" s="85"/>
      <c r="AG262" s="85"/>
      <c r="AH262" s="85"/>
      <c r="AI262" s="85"/>
      <c r="AJ262" s="85"/>
      <c r="AK262" s="87"/>
      <c r="AL262" s="85"/>
      <c r="AM262" s="85"/>
      <c r="AN262" s="91">
        <f>G262+SUM(I262:AL262)-SUM(I263:AL263)</f>
        <v>0</v>
      </c>
      <c r="AO262" s="91"/>
      <c r="AP262" s="237"/>
    </row>
    <row r="263" hidden="1">
      <c r="A263" s="96"/>
      <c r="B263" s="17"/>
      <c r="C263" s="17"/>
      <c r="D263" s="17"/>
      <c r="E263" s="17"/>
      <c r="F263" s="18"/>
      <c r="G263" s="87"/>
      <c r="H263" s="88" t="s">
        <v>23</v>
      </c>
      <c r="I263" s="85"/>
      <c r="J263" s="85"/>
      <c r="K263" s="87"/>
      <c r="L263" s="247"/>
      <c r="M263" s="85"/>
      <c r="N263" s="87"/>
      <c r="O263" s="87"/>
      <c r="P263" s="87"/>
      <c r="Q263" s="85"/>
      <c r="R263" s="87"/>
      <c r="S263" s="87"/>
      <c r="T263" s="85"/>
      <c r="U263" s="87"/>
      <c r="V263" s="87"/>
      <c r="W263" s="87"/>
      <c r="X263" s="85"/>
      <c r="Y263" s="85"/>
      <c r="Z263" s="87"/>
      <c r="AA263" s="85"/>
      <c r="AB263" s="85"/>
      <c r="AC263" s="85"/>
      <c r="AD263" s="87"/>
      <c r="AE263" s="85"/>
      <c r="AF263" s="85"/>
      <c r="AG263" s="85"/>
      <c r="AH263" s="85"/>
      <c r="AI263" s="85"/>
      <c r="AJ263" s="85"/>
      <c r="AK263" s="87"/>
      <c r="AL263" s="85"/>
      <c r="AM263" s="85"/>
      <c r="AN263" s="32"/>
      <c r="AO263" s="32"/>
      <c r="AP263" s="237"/>
    </row>
    <row r="264" hidden="1">
      <c r="A264" s="87"/>
      <c r="B264" s="87"/>
      <c r="C264" s="87"/>
      <c r="D264" s="87"/>
      <c r="E264" s="85"/>
      <c r="F264" s="87"/>
      <c r="G264" s="87"/>
      <c r="H264" s="87"/>
      <c r="I264" s="85"/>
      <c r="J264" s="85"/>
      <c r="K264" s="87"/>
      <c r="L264" s="247"/>
      <c r="M264" s="85"/>
      <c r="N264" s="87"/>
      <c r="O264" s="87"/>
      <c r="P264" s="87"/>
      <c r="Q264" s="85"/>
      <c r="R264" s="87"/>
      <c r="S264" s="87"/>
      <c r="T264" s="85"/>
      <c r="U264" s="87"/>
      <c r="V264" s="87"/>
      <c r="W264" s="87"/>
      <c r="X264" s="85"/>
      <c r="Y264" s="85"/>
      <c r="Z264" s="87"/>
      <c r="AA264" s="85"/>
      <c r="AB264" s="85"/>
      <c r="AC264" s="85"/>
      <c r="AD264" s="87"/>
      <c r="AE264" s="85"/>
      <c r="AF264" s="85"/>
      <c r="AG264" s="85"/>
      <c r="AH264" s="85"/>
      <c r="AI264" s="85"/>
      <c r="AJ264" s="85"/>
      <c r="AK264" s="87"/>
      <c r="AL264" s="85"/>
      <c r="AM264" s="85"/>
      <c r="AN264" s="85"/>
      <c r="AO264" s="87"/>
      <c r="AP264" s="237"/>
    </row>
    <row r="265">
      <c r="A265" s="24" t="s">
        <v>124</v>
      </c>
      <c r="B265" s="17"/>
      <c r="C265" s="17"/>
      <c r="D265" s="18"/>
      <c r="E265" s="57"/>
      <c r="F265" s="25"/>
      <c r="G265" s="28">
        <v>0.0</v>
      </c>
      <c r="H265" s="7" t="s">
        <v>22</v>
      </c>
      <c r="I265" s="7"/>
      <c r="J265" s="7"/>
      <c r="K265" s="7"/>
      <c r="L265" s="7">
        <v>8.0</v>
      </c>
      <c r="M265" s="7"/>
      <c r="N265" s="7"/>
      <c r="O265" s="7"/>
      <c r="P265" s="7"/>
      <c r="Q265" s="7"/>
      <c r="R265" s="7"/>
      <c r="S265" s="7">
        <v>8.0</v>
      </c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28"/>
      <c r="AI265" s="28"/>
      <c r="AJ265" s="27"/>
      <c r="AK265" s="28"/>
      <c r="AL265" s="27"/>
      <c r="AM265" s="27"/>
      <c r="AN265" s="29">
        <f>G265+SUM(I265:AM265)-SUM(I266:AM266)</f>
        <v>6</v>
      </c>
      <c r="AO265" s="236"/>
      <c r="AP265" s="236"/>
    </row>
    <row r="266">
      <c r="A266" s="31"/>
      <c r="B266" s="17"/>
      <c r="C266" s="17"/>
      <c r="D266" s="17"/>
      <c r="E266" s="17"/>
      <c r="F266" s="18"/>
      <c r="G266" s="27"/>
      <c r="H266" s="7" t="s">
        <v>23</v>
      </c>
      <c r="I266" s="7"/>
      <c r="J266" s="7"/>
      <c r="K266" s="7"/>
      <c r="L266" s="7"/>
      <c r="M266" s="7">
        <v>1.0</v>
      </c>
      <c r="N266" s="7">
        <v>1.0</v>
      </c>
      <c r="O266" s="7"/>
      <c r="P266" s="7"/>
      <c r="Q266" s="7">
        <v>1.0</v>
      </c>
      <c r="R266" s="7"/>
      <c r="S266" s="7"/>
      <c r="T266" s="7">
        <f>1+1</f>
        <v>2</v>
      </c>
      <c r="U266" s="7">
        <v>1.0</v>
      </c>
      <c r="V266" s="7"/>
      <c r="W266" s="7"/>
      <c r="X266" s="7">
        <v>1.0</v>
      </c>
      <c r="Y266" s="7">
        <v>1.0</v>
      </c>
      <c r="Z266" s="7"/>
      <c r="AA266" s="7">
        <f>1+1</f>
        <v>2</v>
      </c>
      <c r="AB266" s="7"/>
      <c r="AC266" s="7"/>
      <c r="AD266" s="7"/>
      <c r="AE266" s="7"/>
      <c r="AF266" s="7"/>
      <c r="AG266" s="7"/>
      <c r="AH266" s="28"/>
      <c r="AI266" s="28"/>
      <c r="AJ266" s="28"/>
      <c r="AK266" s="28"/>
      <c r="AL266" s="28"/>
      <c r="AM266" s="28"/>
      <c r="AN266" s="32"/>
      <c r="AO266" s="32"/>
      <c r="AP266" s="32"/>
    </row>
    <row r="267">
      <c r="A267" s="33"/>
      <c r="B267" s="33"/>
      <c r="C267" s="33"/>
      <c r="D267" s="33"/>
      <c r="E267" s="25"/>
      <c r="F267" s="25"/>
      <c r="G267" s="25"/>
      <c r="H267" s="25"/>
      <c r="I267" s="35"/>
      <c r="J267" s="35"/>
      <c r="K267" s="35"/>
      <c r="L267" s="35"/>
      <c r="M267" s="263"/>
      <c r="N267" s="263"/>
      <c r="O267" s="35"/>
      <c r="P267" s="7"/>
      <c r="Q267" s="263"/>
      <c r="R267" s="35"/>
      <c r="S267" s="35"/>
      <c r="T267" s="263"/>
      <c r="U267" s="263"/>
      <c r="V267" s="35"/>
      <c r="W267" s="7"/>
      <c r="X267" s="279"/>
      <c r="Y267" s="263"/>
      <c r="Z267" s="35"/>
      <c r="AA267" s="263"/>
      <c r="AB267" s="35"/>
      <c r="AC267" s="35"/>
      <c r="AD267" s="7"/>
      <c r="AE267" s="7"/>
      <c r="AF267" s="7"/>
      <c r="AG267" s="7"/>
      <c r="AH267" s="28"/>
      <c r="AI267" s="28"/>
      <c r="AJ267" s="27"/>
      <c r="AK267" s="28"/>
      <c r="AL267" s="27"/>
      <c r="AM267" s="27"/>
      <c r="AN267" s="39"/>
      <c r="AO267" s="237"/>
      <c r="AP267" s="237"/>
    </row>
    <row r="268">
      <c r="A268" s="24" t="s">
        <v>126</v>
      </c>
      <c r="B268" s="17"/>
      <c r="C268" s="17"/>
      <c r="D268" s="18"/>
      <c r="E268" s="57"/>
      <c r="F268" s="25"/>
      <c r="G268" s="28">
        <v>0.0</v>
      </c>
      <c r="H268" s="7" t="s">
        <v>22</v>
      </c>
      <c r="I268" s="7"/>
      <c r="J268" s="7"/>
      <c r="K268" s="7"/>
      <c r="L268" s="7">
        <v>11.0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28"/>
      <c r="AI268" s="28"/>
      <c r="AJ268" s="27"/>
      <c r="AK268" s="28"/>
      <c r="AL268" s="27"/>
      <c r="AM268" s="27"/>
      <c r="AN268" s="29">
        <f>G268+SUM(I268:AM268)-SUM(I269:AM269)</f>
        <v>-4</v>
      </c>
      <c r="AO268" s="236"/>
      <c r="AP268" s="236"/>
    </row>
    <row r="269">
      <c r="A269" s="24"/>
      <c r="B269" s="17"/>
      <c r="C269" s="17"/>
      <c r="D269" s="17"/>
      <c r="E269" s="17"/>
      <c r="F269" s="18"/>
      <c r="G269" s="27"/>
      <c r="H269" s="7" t="s">
        <v>23</v>
      </c>
      <c r="I269" s="7"/>
      <c r="J269" s="7">
        <v>2.0</v>
      </c>
      <c r="K269" s="7"/>
      <c r="L269" s="7">
        <v>2.0</v>
      </c>
      <c r="M269" s="7">
        <v>1.0</v>
      </c>
      <c r="N269" s="7">
        <v>1.0</v>
      </c>
      <c r="O269" s="7"/>
      <c r="P269" s="7"/>
      <c r="Q269" s="7">
        <v>1.0</v>
      </c>
      <c r="R269" s="28">
        <v>1.0</v>
      </c>
      <c r="S269" s="28">
        <v>1.0</v>
      </c>
      <c r="T269" s="28">
        <v>1.0</v>
      </c>
      <c r="U269" s="28">
        <v>1.0</v>
      </c>
      <c r="V269" s="28"/>
      <c r="W269" s="28"/>
      <c r="X269" s="28">
        <v>1.0</v>
      </c>
      <c r="Y269" s="28"/>
      <c r="Z269" s="28"/>
      <c r="AA269" s="28">
        <v>1.0</v>
      </c>
      <c r="AB269" s="28"/>
      <c r="AC269" s="28"/>
      <c r="AD269" s="28"/>
      <c r="AE269" s="28"/>
      <c r="AF269" s="28"/>
      <c r="AG269" s="28"/>
      <c r="AH269" s="28"/>
      <c r="AI269" s="28"/>
      <c r="AJ269" s="28">
        <v>2.0</v>
      </c>
      <c r="AK269" s="28"/>
      <c r="AL269" s="28"/>
      <c r="AM269" s="28"/>
      <c r="AN269" s="32"/>
      <c r="AO269" s="32"/>
      <c r="AP269" s="32"/>
    </row>
    <row r="270">
      <c r="A270" s="97"/>
      <c r="B270" s="97"/>
      <c r="C270" s="97"/>
      <c r="D270" s="97"/>
      <c r="E270" s="97"/>
      <c r="F270" s="97"/>
      <c r="G270" s="97"/>
      <c r="H270" s="97"/>
      <c r="I270" s="98"/>
      <c r="J270" s="209"/>
      <c r="K270" s="98"/>
      <c r="L270" s="276"/>
      <c r="M270" s="209"/>
      <c r="N270" s="209"/>
      <c r="O270" s="98"/>
      <c r="P270" s="97"/>
      <c r="Q270" s="209"/>
      <c r="R270" s="209"/>
      <c r="S270" s="209"/>
      <c r="T270" s="209"/>
      <c r="U270" s="209"/>
      <c r="V270" s="98"/>
      <c r="W270" s="97"/>
      <c r="X270" s="209"/>
      <c r="Y270" s="98"/>
      <c r="Z270" s="98"/>
      <c r="AA270" s="209"/>
      <c r="AB270" s="98"/>
      <c r="AC270" s="98"/>
      <c r="AD270" s="97"/>
      <c r="AE270" s="97"/>
      <c r="AF270" s="97"/>
      <c r="AG270" s="97"/>
      <c r="AH270" s="97"/>
      <c r="AI270" s="97"/>
      <c r="AJ270" s="97"/>
      <c r="AK270" s="97"/>
      <c r="AL270" s="97"/>
      <c r="AM270" s="97"/>
      <c r="AN270" s="97"/>
      <c r="AO270" s="97"/>
      <c r="AP270" s="97"/>
    </row>
    <row r="271" hidden="1">
      <c r="A271" s="24" t="s">
        <v>179</v>
      </c>
      <c r="B271" s="17"/>
      <c r="C271" s="17"/>
      <c r="D271" s="18"/>
      <c r="E271" s="57"/>
      <c r="F271" s="25"/>
      <c r="G271" s="28"/>
      <c r="H271" s="7" t="s">
        <v>22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28"/>
      <c r="AI271" s="28"/>
      <c r="AJ271" s="27"/>
      <c r="AK271" s="28"/>
      <c r="AL271" s="27"/>
      <c r="AM271" s="27"/>
      <c r="AN271" s="29">
        <f>G271+SUM(I271:AL271)-SUM(I272:AL272)</f>
        <v>0</v>
      </c>
      <c r="AO271" s="236"/>
      <c r="AP271" s="236"/>
    </row>
    <row r="272" hidden="1">
      <c r="A272" s="24"/>
      <c r="B272" s="17"/>
      <c r="C272" s="17"/>
      <c r="D272" s="17"/>
      <c r="E272" s="17"/>
      <c r="F272" s="18"/>
      <c r="G272" s="27"/>
      <c r="H272" s="7" t="s">
        <v>23</v>
      </c>
      <c r="I272" s="7"/>
      <c r="J272" s="7"/>
      <c r="K272" s="7"/>
      <c r="L272" s="7"/>
      <c r="M272" s="7"/>
      <c r="N272" s="7"/>
      <c r="O272" s="7"/>
      <c r="P272" s="7"/>
      <c r="Q272" s="7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32"/>
      <c r="AO272" s="32"/>
      <c r="AP272" s="32"/>
    </row>
    <row r="273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26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  <c r="AI273" s="97"/>
      <c r="AJ273" s="97"/>
      <c r="AK273" s="97"/>
      <c r="AL273" s="97"/>
      <c r="AM273" s="97"/>
      <c r="AN273" s="97"/>
      <c r="AO273" s="97"/>
      <c r="AP273" s="97"/>
    </row>
    <row r="274" hidden="1">
      <c r="A274" s="223"/>
      <c r="B274" s="223"/>
      <c r="C274" s="223"/>
      <c r="D274" s="223"/>
      <c r="E274" s="224"/>
      <c r="F274" s="225"/>
      <c r="G274" s="1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"/>
      <c r="AI274" s="1"/>
      <c r="AJ274" s="2"/>
      <c r="AK274" s="1"/>
      <c r="AL274" s="2"/>
      <c r="AM274" s="2"/>
      <c r="AN274" s="30"/>
    </row>
    <row r="275">
      <c r="A275" s="227" t="s">
        <v>169</v>
      </c>
      <c r="B275" s="223"/>
      <c r="C275" s="223"/>
      <c r="D275" s="223"/>
      <c r="E275" s="224"/>
      <c r="F275" s="225"/>
      <c r="G275" s="1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"/>
      <c r="AI275" s="1"/>
      <c r="AJ275" s="2"/>
      <c r="AK275" s="1"/>
      <c r="AL275" s="2"/>
      <c r="AM275" s="2"/>
      <c r="AN275" s="30"/>
    </row>
    <row r="276">
      <c r="A276" s="24" t="s">
        <v>170</v>
      </c>
      <c r="B276" s="17"/>
      <c r="C276" s="17"/>
      <c r="D276" s="18"/>
      <c r="E276" s="57"/>
      <c r="F276" s="25"/>
      <c r="G276" s="28"/>
      <c r="H276" s="7" t="s">
        <v>139</v>
      </c>
      <c r="I276" s="35"/>
      <c r="J276" s="35"/>
      <c r="K276" s="35"/>
      <c r="L276" s="41"/>
      <c r="M276" s="41"/>
      <c r="N276" s="41"/>
      <c r="O276" s="41"/>
      <c r="P276" s="7"/>
      <c r="Q276" s="41"/>
      <c r="R276" s="41"/>
      <c r="S276" s="41"/>
      <c r="T276" s="41"/>
      <c r="U276" s="41"/>
      <c r="V276" s="41"/>
      <c r="W276" s="7"/>
      <c r="X276" s="41"/>
      <c r="Y276" s="41"/>
      <c r="Z276" s="41"/>
      <c r="AA276" s="41"/>
      <c r="AB276" s="41"/>
      <c r="AC276" s="35"/>
      <c r="AD276" s="7"/>
      <c r="AE276" s="7"/>
      <c r="AF276" s="7"/>
      <c r="AG276" s="7"/>
      <c r="AH276" s="28"/>
      <c r="AI276" s="28"/>
      <c r="AJ276" s="27"/>
      <c r="AK276" s="28"/>
      <c r="AL276" s="27"/>
      <c r="AM276" s="27"/>
      <c r="AN276" s="29"/>
    </row>
    <row r="277">
      <c r="A277" s="31"/>
      <c r="B277" s="17"/>
      <c r="C277" s="17"/>
      <c r="D277" s="17"/>
      <c r="E277" s="17"/>
      <c r="F277" s="18"/>
      <c r="G277" s="27"/>
      <c r="H277" s="7" t="s">
        <v>140</v>
      </c>
      <c r="I277" s="35"/>
      <c r="J277" s="35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35"/>
      <c r="V277" s="41"/>
      <c r="W277" s="7"/>
      <c r="X277" s="41"/>
      <c r="Y277" s="41"/>
      <c r="Z277" s="41"/>
      <c r="AA277" s="41"/>
      <c r="AB277" s="35"/>
      <c r="AC277" s="35"/>
      <c r="AD277" s="7"/>
      <c r="AE277" s="7"/>
      <c r="AF277" s="7"/>
      <c r="AG277" s="7"/>
      <c r="AH277" s="28"/>
      <c r="AI277" s="28"/>
      <c r="AJ277" s="27"/>
      <c r="AK277" s="28"/>
      <c r="AL277" s="28"/>
      <c r="AM277" s="28"/>
      <c r="AN277" s="32"/>
    </row>
    <row r="278">
      <c r="A278" s="24" t="s">
        <v>171</v>
      </c>
      <c r="B278" s="17"/>
      <c r="C278" s="17"/>
      <c r="D278" s="18"/>
      <c r="E278" s="57"/>
      <c r="F278" s="25"/>
      <c r="G278" s="28"/>
      <c r="H278" s="7" t="s">
        <v>140</v>
      </c>
      <c r="I278" s="35"/>
      <c r="J278" s="35"/>
      <c r="K278" s="35"/>
      <c r="L278" s="35"/>
      <c r="M278" s="35"/>
      <c r="N278" s="35"/>
      <c r="O278" s="41"/>
      <c r="P278" s="7"/>
      <c r="Q278" s="41"/>
      <c r="R278" s="35"/>
      <c r="S278" s="41"/>
      <c r="T278" s="35"/>
      <c r="U278" s="35"/>
      <c r="V278" s="35"/>
      <c r="W278" s="7"/>
      <c r="X278" s="35"/>
      <c r="Y278" s="35"/>
      <c r="Z278" s="35"/>
      <c r="AA278" s="35"/>
      <c r="AB278" s="35"/>
      <c r="AC278" s="35"/>
      <c r="AD278" s="7"/>
      <c r="AE278" s="7"/>
      <c r="AF278" s="7"/>
      <c r="AG278" s="7"/>
      <c r="AH278" s="28"/>
      <c r="AI278" s="28"/>
      <c r="AJ278" s="27"/>
      <c r="AK278" s="28"/>
      <c r="AL278" s="27"/>
      <c r="AM278" s="27"/>
      <c r="AN278" s="39"/>
    </row>
    <row r="279">
      <c r="L279" s="254"/>
    </row>
    <row r="280">
      <c r="L280" s="254"/>
    </row>
  </sheetData>
  <mergeCells count="430">
    <mergeCell ref="AO97:AO98"/>
    <mergeCell ref="AP97:AP98"/>
    <mergeCell ref="AN90:AN91"/>
    <mergeCell ref="AO90:AO91"/>
    <mergeCell ref="AP90:AP91"/>
    <mergeCell ref="AN94:AN95"/>
    <mergeCell ref="AO94:AO95"/>
    <mergeCell ref="AP94:AP95"/>
    <mergeCell ref="AN97:AN98"/>
    <mergeCell ref="AO126:AO127"/>
    <mergeCell ref="AP126:AP127"/>
    <mergeCell ref="AN120:AN121"/>
    <mergeCell ref="AO120:AO121"/>
    <mergeCell ref="AP120:AP121"/>
    <mergeCell ref="AN123:AN124"/>
    <mergeCell ref="AO123:AO124"/>
    <mergeCell ref="AP123:AP124"/>
    <mergeCell ref="AN126:AN127"/>
    <mergeCell ref="AO135:AO136"/>
    <mergeCell ref="AP135:AP136"/>
    <mergeCell ref="AN129:AN130"/>
    <mergeCell ref="AO129:AO130"/>
    <mergeCell ref="AP129:AP130"/>
    <mergeCell ref="AN132:AN133"/>
    <mergeCell ref="AO132:AO133"/>
    <mergeCell ref="AP132:AP133"/>
    <mergeCell ref="AN135:AN136"/>
    <mergeCell ref="AO144:AO145"/>
    <mergeCell ref="AP144:AP145"/>
    <mergeCell ref="AN138:AN139"/>
    <mergeCell ref="AO138:AO139"/>
    <mergeCell ref="AP138:AP139"/>
    <mergeCell ref="AN141:AN142"/>
    <mergeCell ref="AO141:AO142"/>
    <mergeCell ref="AP141:AP142"/>
    <mergeCell ref="AN144:AN145"/>
    <mergeCell ref="AO153:AO154"/>
    <mergeCell ref="AP153:AP154"/>
    <mergeCell ref="AN147:AN148"/>
    <mergeCell ref="AO147:AO148"/>
    <mergeCell ref="AP147:AP148"/>
    <mergeCell ref="AN150:AN151"/>
    <mergeCell ref="AO150:AO151"/>
    <mergeCell ref="AP150:AP151"/>
    <mergeCell ref="AN153:AN154"/>
    <mergeCell ref="AO162:AO163"/>
    <mergeCell ref="AP162:AP163"/>
    <mergeCell ref="AN156:AN157"/>
    <mergeCell ref="AO156:AO157"/>
    <mergeCell ref="AP156:AP157"/>
    <mergeCell ref="AN159:AN160"/>
    <mergeCell ref="AO159:AO160"/>
    <mergeCell ref="AP159:AP160"/>
    <mergeCell ref="AN162:AN163"/>
    <mergeCell ref="AO171:AO172"/>
    <mergeCell ref="AP171:AP172"/>
    <mergeCell ref="AN165:AN166"/>
    <mergeCell ref="AO165:AO166"/>
    <mergeCell ref="AP165:AP166"/>
    <mergeCell ref="AN168:AN169"/>
    <mergeCell ref="AO168:AO169"/>
    <mergeCell ref="AP168:AP169"/>
    <mergeCell ref="AN171:AN172"/>
    <mergeCell ref="A180:D180"/>
    <mergeCell ref="A181:F181"/>
    <mergeCell ref="A183:D183"/>
    <mergeCell ref="A184:F184"/>
    <mergeCell ref="A186:D186"/>
    <mergeCell ref="A189:F189"/>
    <mergeCell ref="A190:D190"/>
    <mergeCell ref="A191:F191"/>
    <mergeCell ref="A193:D193"/>
    <mergeCell ref="A194:F194"/>
    <mergeCell ref="A196:D196"/>
    <mergeCell ref="A197:F197"/>
    <mergeCell ref="A199:D199"/>
    <mergeCell ref="A200:F200"/>
    <mergeCell ref="A212:F212"/>
    <mergeCell ref="A214:D214"/>
    <mergeCell ref="A217:G217"/>
    <mergeCell ref="A218:D218"/>
    <mergeCell ref="A219:F219"/>
    <mergeCell ref="A221:D221"/>
    <mergeCell ref="A222:F222"/>
    <mergeCell ref="A224:G224"/>
    <mergeCell ref="A225:D225"/>
    <mergeCell ref="A226:F226"/>
    <mergeCell ref="A228:D228"/>
    <mergeCell ref="A229:F229"/>
    <mergeCell ref="A231:D231"/>
    <mergeCell ref="A234:G234"/>
    <mergeCell ref="A235:D235"/>
    <mergeCell ref="A236:F236"/>
    <mergeCell ref="A238:D238"/>
    <mergeCell ref="A239:F239"/>
    <mergeCell ref="A241:D241"/>
    <mergeCell ref="A242:F242"/>
    <mergeCell ref="A244:D244"/>
    <mergeCell ref="A245:F245"/>
    <mergeCell ref="A247:D247"/>
    <mergeCell ref="A248:F248"/>
    <mergeCell ref="A250:D250"/>
    <mergeCell ref="A251:F251"/>
    <mergeCell ref="A253:D253"/>
    <mergeCell ref="A254:F254"/>
    <mergeCell ref="A271:D271"/>
    <mergeCell ref="A272:F272"/>
    <mergeCell ref="A276:D276"/>
    <mergeCell ref="A277:F277"/>
    <mergeCell ref="A278:D278"/>
    <mergeCell ref="A257:F257"/>
    <mergeCell ref="A260:F260"/>
    <mergeCell ref="A263:F263"/>
    <mergeCell ref="A265:D265"/>
    <mergeCell ref="A266:F266"/>
    <mergeCell ref="A268:D268"/>
    <mergeCell ref="A269:F269"/>
    <mergeCell ref="A117:D117"/>
    <mergeCell ref="A118:F118"/>
    <mergeCell ref="A120:D120"/>
    <mergeCell ref="A121:F121"/>
    <mergeCell ref="A123:D123"/>
    <mergeCell ref="A124:F124"/>
    <mergeCell ref="A126:D126"/>
    <mergeCell ref="A127:F127"/>
    <mergeCell ref="A129:D129"/>
    <mergeCell ref="A130:F130"/>
    <mergeCell ref="A132:D132"/>
    <mergeCell ref="A133:F133"/>
    <mergeCell ref="A135:D135"/>
    <mergeCell ref="A136:F136"/>
    <mergeCell ref="A138:D138"/>
    <mergeCell ref="A139:F139"/>
    <mergeCell ref="A141:D141"/>
    <mergeCell ref="A142:F142"/>
    <mergeCell ref="A144:D144"/>
    <mergeCell ref="A145:F145"/>
    <mergeCell ref="A147:D147"/>
    <mergeCell ref="A148:F148"/>
    <mergeCell ref="A150:D150"/>
    <mergeCell ref="A151:F151"/>
    <mergeCell ref="A153:D153"/>
    <mergeCell ref="A154:F154"/>
    <mergeCell ref="A156:D156"/>
    <mergeCell ref="A157:F157"/>
    <mergeCell ref="A159:D159"/>
    <mergeCell ref="A160:F160"/>
    <mergeCell ref="A162:D162"/>
    <mergeCell ref="A163:F163"/>
    <mergeCell ref="A165:D165"/>
    <mergeCell ref="A166:F166"/>
    <mergeCell ref="A168:D168"/>
    <mergeCell ref="A169:F169"/>
    <mergeCell ref="A171:D171"/>
    <mergeCell ref="A172:F172"/>
    <mergeCell ref="A174:D174"/>
    <mergeCell ref="A175:F175"/>
    <mergeCell ref="A177:D177"/>
    <mergeCell ref="A178:F178"/>
    <mergeCell ref="A202:D202"/>
    <mergeCell ref="A203:F203"/>
    <mergeCell ref="A205:D205"/>
    <mergeCell ref="A206:F206"/>
    <mergeCell ref="A208:D208"/>
    <mergeCell ref="A209:F209"/>
    <mergeCell ref="A211:D211"/>
    <mergeCell ref="P3:R3"/>
    <mergeCell ref="A5:E5"/>
    <mergeCell ref="A7:E7"/>
    <mergeCell ref="A9:F9"/>
    <mergeCell ref="AN10:AN11"/>
    <mergeCell ref="AO10:AO11"/>
    <mergeCell ref="AP10:AP11"/>
    <mergeCell ref="AO19:AO20"/>
    <mergeCell ref="AP19:AP20"/>
    <mergeCell ref="A10:D10"/>
    <mergeCell ref="A11:F11"/>
    <mergeCell ref="A13:D13"/>
    <mergeCell ref="A14:F14"/>
    <mergeCell ref="A16:D16"/>
    <mergeCell ref="A17:F17"/>
    <mergeCell ref="A19:D19"/>
    <mergeCell ref="AN13:AN14"/>
    <mergeCell ref="AO13:AO14"/>
    <mergeCell ref="AP13:AP14"/>
    <mergeCell ref="AN16:AN17"/>
    <mergeCell ref="AO16:AO17"/>
    <mergeCell ref="AP16:AP17"/>
    <mergeCell ref="AN19:AN20"/>
    <mergeCell ref="A20:F20"/>
    <mergeCell ref="A22:D22"/>
    <mergeCell ref="A23:F23"/>
    <mergeCell ref="A25:D25"/>
    <mergeCell ref="A26:F26"/>
    <mergeCell ref="A28:D28"/>
    <mergeCell ref="A29:F29"/>
    <mergeCell ref="AN32:AN33"/>
    <mergeCell ref="AO32:AO33"/>
    <mergeCell ref="AP32:AP33"/>
    <mergeCell ref="A31:F31"/>
    <mergeCell ref="A32:D32"/>
    <mergeCell ref="A33:F33"/>
    <mergeCell ref="A35:D35"/>
    <mergeCell ref="A36:F36"/>
    <mergeCell ref="A38:D38"/>
    <mergeCell ref="A39:F39"/>
    <mergeCell ref="AO59:AO60"/>
    <mergeCell ref="AP59:AP60"/>
    <mergeCell ref="AN53:AN54"/>
    <mergeCell ref="AO53:AO54"/>
    <mergeCell ref="AP53:AP54"/>
    <mergeCell ref="AN56:AN57"/>
    <mergeCell ref="AO56:AO57"/>
    <mergeCell ref="AP56:AP57"/>
    <mergeCell ref="AN59:AN60"/>
    <mergeCell ref="AO68:AO69"/>
    <mergeCell ref="AP68:AP69"/>
    <mergeCell ref="AN62:AN63"/>
    <mergeCell ref="AO62:AO63"/>
    <mergeCell ref="AP62:AP63"/>
    <mergeCell ref="AN65:AN66"/>
    <mergeCell ref="AO65:AO66"/>
    <mergeCell ref="AP65:AP66"/>
    <mergeCell ref="AN68:AN69"/>
    <mergeCell ref="AO77:AO78"/>
    <mergeCell ref="AP77:AP78"/>
    <mergeCell ref="AN71:AN72"/>
    <mergeCell ref="AO71:AO72"/>
    <mergeCell ref="AP71:AP72"/>
    <mergeCell ref="AN74:AN75"/>
    <mergeCell ref="AO74:AO75"/>
    <mergeCell ref="AP74:AP75"/>
    <mergeCell ref="AN77:AN78"/>
    <mergeCell ref="AO87:AO88"/>
    <mergeCell ref="AP87:AP88"/>
    <mergeCell ref="AN80:AN81"/>
    <mergeCell ref="AO80:AO81"/>
    <mergeCell ref="AP80:AP81"/>
    <mergeCell ref="AN84:AN85"/>
    <mergeCell ref="AO84:AO85"/>
    <mergeCell ref="AP84:AP85"/>
    <mergeCell ref="AN87:AN88"/>
    <mergeCell ref="AO107:AO108"/>
    <mergeCell ref="AP107:AP108"/>
    <mergeCell ref="AN101:AN102"/>
    <mergeCell ref="AO101:AO102"/>
    <mergeCell ref="AP101:AP102"/>
    <mergeCell ref="AN104:AN105"/>
    <mergeCell ref="AO104:AO105"/>
    <mergeCell ref="AP104:AP105"/>
    <mergeCell ref="AN107:AN108"/>
    <mergeCell ref="A41:D41"/>
    <mergeCell ref="A42:F42"/>
    <mergeCell ref="A44:D44"/>
    <mergeCell ref="A45:F45"/>
    <mergeCell ref="A47:D47"/>
    <mergeCell ref="A48:F48"/>
    <mergeCell ref="A50:D50"/>
    <mergeCell ref="A51:F51"/>
    <mergeCell ref="A53:D53"/>
    <mergeCell ref="A54:F54"/>
    <mergeCell ref="A56:D56"/>
    <mergeCell ref="A57:F57"/>
    <mergeCell ref="A59:D59"/>
    <mergeCell ref="A60:F60"/>
    <mergeCell ref="A62:D62"/>
    <mergeCell ref="A63:F63"/>
    <mergeCell ref="A65:D65"/>
    <mergeCell ref="A66:F66"/>
    <mergeCell ref="A68:D68"/>
    <mergeCell ref="A69:F69"/>
    <mergeCell ref="A71:D71"/>
    <mergeCell ref="A72:F72"/>
    <mergeCell ref="A74:D74"/>
    <mergeCell ref="A75:F75"/>
    <mergeCell ref="A77:D77"/>
    <mergeCell ref="A78:F78"/>
    <mergeCell ref="A80:D80"/>
    <mergeCell ref="A83:F83"/>
    <mergeCell ref="A84:D84"/>
    <mergeCell ref="A85:F85"/>
    <mergeCell ref="A87:D87"/>
    <mergeCell ref="A88:F88"/>
    <mergeCell ref="A90:D90"/>
    <mergeCell ref="A93:F93"/>
    <mergeCell ref="A94:D94"/>
    <mergeCell ref="A95:F95"/>
    <mergeCell ref="A97:D97"/>
    <mergeCell ref="A100:F100"/>
    <mergeCell ref="A101:D101"/>
    <mergeCell ref="A102:F102"/>
    <mergeCell ref="A104:D104"/>
    <mergeCell ref="A105:F105"/>
    <mergeCell ref="A107:D107"/>
    <mergeCell ref="A108:F108"/>
    <mergeCell ref="A110:D110"/>
    <mergeCell ref="A111:F111"/>
    <mergeCell ref="A113:D113"/>
    <mergeCell ref="A114:F114"/>
    <mergeCell ref="A116:F116"/>
    <mergeCell ref="AO238:AO239"/>
    <mergeCell ref="AP238:AP239"/>
    <mergeCell ref="AN231:AN232"/>
    <mergeCell ref="AO231:AO232"/>
    <mergeCell ref="AP231:AP232"/>
    <mergeCell ref="AN235:AN236"/>
    <mergeCell ref="AO235:AO236"/>
    <mergeCell ref="AP235:AP236"/>
    <mergeCell ref="AN238:AN239"/>
    <mergeCell ref="AO247:AO248"/>
    <mergeCell ref="AP247:AP248"/>
    <mergeCell ref="AN241:AN242"/>
    <mergeCell ref="AO241:AO242"/>
    <mergeCell ref="AP241:AP242"/>
    <mergeCell ref="AN244:AN245"/>
    <mergeCell ref="AO244:AO245"/>
    <mergeCell ref="AP244:AP245"/>
    <mergeCell ref="AN247:AN248"/>
    <mergeCell ref="AN250:AN251"/>
    <mergeCell ref="AO250:AO251"/>
    <mergeCell ref="AP250:AP251"/>
    <mergeCell ref="AN253:AN254"/>
    <mergeCell ref="AO253:AO254"/>
    <mergeCell ref="AP253:AP254"/>
    <mergeCell ref="AO256:AO257"/>
    <mergeCell ref="AN256:AN257"/>
    <mergeCell ref="AN259:AN260"/>
    <mergeCell ref="AO259:AO260"/>
    <mergeCell ref="AN262:AN263"/>
    <mergeCell ref="AO262:AO263"/>
    <mergeCell ref="AO265:AO266"/>
    <mergeCell ref="AP265:AP266"/>
    <mergeCell ref="AO28:AO29"/>
    <mergeCell ref="AP28:AP29"/>
    <mergeCell ref="AN22:AN23"/>
    <mergeCell ref="AO22:AO23"/>
    <mergeCell ref="AP22:AP23"/>
    <mergeCell ref="AN25:AN26"/>
    <mergeCell ref="AO25:AO26"/>
    <mergeCell ref="AP25:AP26"/>
    <mergeCell ref="AN28:AN29"/>
    <mergeCell ref="AO41:AO42"/>
    <mergeCell ref="AP41:AP42"/>
    <mergeCell ref="AN35:AN36"/>
    <mergeCell ref="AO35:AO36"/>
    <mergeCell ref="AP35:AP36"/>
    <mergeCell ref="AN38:AN39"/>
    <mergeCell ref="AO38:AO39"/>
    <mergeCell ref="AP38:AP39"/>
    <mergeCell ref="AN41:AN42"/>
    <mergeCell ref="AO50:AO51"/>
    <mergeCell ref="AP50:AP51"/>
    <mergeCell ref="AN44:AN45"/>
    <mergeCell ref="AO44:AO45"/>
    <mergeCell ref="AP44:AP45"/>
    <mergeCell ref="AN47:AN48"/>
    <mergeCell ref="AO47:AO48"/>
    <mergeCell ref="AP47:AP48"/>
    <mergeCell ref="AN50:AN51"/>
    <mergeCell ref="AN265:AN266"/>
    <mergeCell ref="AN268:AN269"/>
    <mergeCell ref="AO268:AO269"/>
    <mergeCell ref="AP268:AP269"/>
    <mergeCell ref="AN271:AN272"/>
    <mergeCell ref="AO271:AO272"/>
    <mergeCell ref="AP271:AP272"/>
    <mergeCell ref="AN276:AN277"/>
    <mergeCell ref="AO117:AO118"/>
    <mergeCell ref="AP117:AP118"/>
    <mergeCell ref="AN110:AN111"/>
    <mergeCell ref="AO110:AO111"/>
    <mergeCell ref="AP110:AP111"/>
    <mergeCell ref="AN113:AN114"/>
    <mergeCell ref="AO113:AO114"/>
    <mergeCell ref="AP113:AP114"/>
    <mergeCell ref="AN117:AN118"/>
    <mergeCell ref="AO180:AO181"/>
    <mergeCell ref="AP180:AP181"/>
    <mergeCell ref="AN174:AN175"/>
    <mergeCell ref="AO174:AO175"/>
    <mergeCell ref="AP174:AP175"/>
    <mergeCell ref="AN177:AN178"/>
    <mergeCell ref="AO177:AO178"/>
    <mergeCell ref="AP177:AP178"/>
    <mergeCell ref="AN180:AN181"/>
    <mergeCell ref="AO190:AO191"/>
    <mergeCell ref="AP190:AP191"/>
    <mergeCell ref="AN183:AN184"/>
    <mergeCell ref="AO183:AO184"/>
    <mergeCell ref="AP183:AP184"/>
    <mergeCell ref="AN186:AN187"/>
    <mergeCell ref="AO186:AO187"/>
    <mergeCell ref="AP186:AP187"/>
    <mergeCell ref="AN190:AN191"/>
    <mergeCell ref="AO199:AO200"/>
    <mergeCell ref="AP199:AP200"/>
    <mergeCell ref="AN193:AN194"/>
    <mergeCell ref="AO193:AO194"/>
    <mergeCell ref="AP193:AP194"/>
    <mergeCell ref="AN196:AN197"/>
    <mergeCell ref="AO196:AO197"/>
    <mergeCell ref="AP196:AP197"/>
    <mergeCell ref="AN199:AN200"/>
    <mergeCell ref="AO208:AO209"/>
    <mergeCell ref="AP208:AP209"/>
    <mergeCell ref="AN202:AN203"/>
    <mergeCell ref="AO202:AO203"/>
    <mergeCell ref="AP202:AP203"/>
    <mergeCell ref="AN205:AN206"/>
    <mergeCell ref="AO205:AO206"/>
    <mergeCell ref="AP205:AP206"/>
    <mergeCell ref="AN208:AN209"/>
    <mergeCell ref="AO218:AO219"/>
    <mergeCell ref="AP218:AP219"/>
    <mergeCell ref="AN211:AN212"/>
    <mergeCell ref="AO211:AO212"/>
    <mergeCell ref="AP211:AP212"/>
    <mergeCell ref="AN214:AN215"/>
    <mergeCell ref="AO214:AO215"/>
    <mergeCell ref="AP214:AP215"/>
    <mergeCell ref="AN218:AN219"/>
    <mergeCell ref="AO228:AO229"/>
    <mergeCell ref="AP228:AP229"/>
    <mergeCell ref="AN221:AN222"/>
    <mergeCell ref="AO221:AO222"/>
    <mergeCell ref="AP221:AP222"/>
    <mergeCell ref="AN225:AN226"/>
    <mergeCell ref="AO225:AO226"/>
    <mergeCell ref="AP225:AP226"/>
    <mergeCell ref="AN228:AN229"/>
  </mergeCells>
  <conditionalFormatting sqref="AO10:AP269 AN256:AN257 AN259:AN260 AN262:AN263 AO271:AP272">
    <cfRule type="colorScale" priority="1">
      <colorScale>
        <cfvo type="min"/>
        <cfvo type="formula" val="8"/>
        <cfvo type="formula" val="268.1"/>
        <color rgb="FFE67C73"/>
        <color rgb="FFFFFFFF"/>
        <color rgb="FF57BB8A"/>
      </colorScale>
    </cfRule>
  </conditionalFormatting>
  <conditionalFormatting sqref="AP6:AP269 AP271:AP272">
    <cfRule type="colorScale" priority="2">
      <colorScale>
        <cfvo type="percentile" val="0"/>
        <cfvo type="percentile" val="50"/>
        <cfvo type="percentile" val="100"/>
        <color rgb="FFFF0000"/>
        <color rgb="FFFFFFFF"/>
        <color rgb="FF57BB8A"/>
      </colorScale>
    </cfRule>
  </conditionalFormatting>
  <drawing r:id="rId2"/>
  <legacyDrawing r:id="rId3"/>
</worksheet>
</file>